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anamoto isami\ベストパートナーズ Dropbox\isami kanamoto\原価計算2026\"/>
    </mc:Choice>
  </mc:AlternateContent>
  <xr:revisionPtr revIDLastSave="0" documentId="13_ncr:1_{765A20B6-2F52-4072-A699-006991273083}" xr6:coauthVersionLast="47" xr6:coauthVersionMax="47" xr10:uidLastSave="{00000000-0000-0000-0000-000000000000}"/>
  <bookViews>
    <workbookView xWindow="-110" yWindow="-110" windowWidth="19420" windowHeight="10300" tabRatio="821" xr2:uid="{00000000-000D-0000-FFFF-FFFF00000000}"/>
  </bookViews>
  <sheets>
    <sheet name="SC決算仕訳 仕掛品" sheetId="19" r:id="rId1"/>
    <sheet name="仕掛品SC総括" sheetId="13" r:id="rId2"/>
    <sheet name="仕掛品SC明細" sheetId="1" r:id="rId3"/>
    <sheet name="労務費経費単価SC" sheetId="18" r:id="rId4"/>
    <sheet name="仕掛品標準単価一覧表（貼付）" sheetId="15" r:id="rId5"/>
    <sheet name="仕掛品名寄（貼付）" sheetId="16" r:id="rId6"/>
    <sheet name="DBより貼付⇒" sheetId="14" r:id="rId7"/>
    <sheet name="2.1④異種原液" sheetId="3" r:id="rId8"/>
    <sheet name="2.7製造部生産分" sheetId="9" r:id="rId9"/>
    <sheet name="1.3②原材料使用" sheetId="2" r:id="rId10"/>
    <sheet name="2.10原液別作業時間" sheetId="12" r:id="rId11"/>
    <sheet name="2.2⑤純増減→前工程費" sheetId="4" r:id="rId12"/>
    <sheet name="2.3研究費" sheetId="5" r:id="rId13"/>
    <sheet name="2.4販促費" sheetId="6" r:id="rId14"/>
    <sheet name="2.5廃棄処分" sheetId="7" r:id="rId15"/>
    <sheet name="2.6完成品" sheetId="8" r:id="rId16"/>
    <sheet name="2.8SC戻り" sheetId="10" r:id="rId17"/>
    <sheet name="2.9原液在庫" sheetId="11" r:id="rId18"/>
  </sheets>
  <externalReferences>
    <externalReference r:id="rId19"/>
  </externalReferences>
  <definedNames>
    <definedName name="_xlnm._FilterDatabase" localSheetId="2" hidden="1">仕掛品SC明細!$A$4:$Y$942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9" l="1"/>
  <c r="C14" i="13" l="1"/>
  <c r="H5" i="1" l="1"/>
  <c r="K5" i="1"/>
  <c r="D941" i="1"/>
  <c r="E941" i="1" s="1"/>
  <c r="D939" i="1"/>
  <c r="E939" i="1" s="1"/>
  <c r="D937" i="1"/>
  <c r="E937" i="1" s="1"/>
  <c r="D935" i="1"/>
  <c r="E935" i="1" s="1"/>
  <c r="D933" i="1"/>
  <c r="E933" i="1" s="1"/>
  <c r="D931" i="1"/>
  <c r="E931" i="1" s="1"/>
  <c r="D929" i="1"/>
  <c r="E929" i="1" s="1"/>
  <c r="D927" i="1"/>
  <c r="E927" i="1" s="1"/>
  <c r="D925" i="1"/>
  <c r="E925" i="1" s="1"/>
  <c r="D923" i="1"/>
  <c r="E923" i="1" s="1"/>
  <c r="D921" i="1"/>
  <c r="E921" i="1" s="1"/>
  <c r="D919" i="1"/>
  <c r="E919" i="1" s="1"/>
  <c r="D917" i="1"/>
  <c r="E917" i="1" s="1"/>
  <c r="D915" i="1"/>
  <c r="E915" i="1" s="1"/>
  <c r="D913" i="1"/>
  <c r="E913" i="1" s="1"/>
  <c r="D911" i="1"/>
  <c r="E911" i="1" s="1"/>
  <c r="D909" i="1"/>
  <c r="E909" i="1" s="1"/>
  <c r="D907" i="1"/>
  <c r="E907" i="1" s="1"/>
  <c r="D905" i="1"/>
  <c r="E905" i="1" s="1"/>
  <c r="D903" i="1"/>
  <c r="E903" i="1" s="1"/>
  <c r="D901" i="1"/>
  <c r="E901" i="1" s="1"/>
  <c r="D899" i="1"/>
  <c r="E899" i="1" s="1"/>
  <c r="D897" i="1"/>
  <c r="E897" i="1" s="1"/>
  <c r="D895" i="1"/>
  <c r="E895" i="1" s="1"/>
  <c r="D893" i="1"/>
  <c r="E893" i="1" s="1"/>
  <c r="D891" i="1"/>
  <c r="E891" i="1" s="1"/>
  <c r="D889" i="1"/>
  <c r="E889" i="1" s="1"/>
  <c r="D887" i="1"/>
  <c r="E887" i="1" s="1"/>
  <c r="D885" i="1"/>
  <c r="E885" i="1" s="1"/>
  <c r="D883" i="1"/>
  <c r="E883" i="1" s="1"/>
  <c r="D881" i="1"/>
  <c r="E881" i="1" s="1"/>
  <c r="D879" i="1"/>
  <c r="E879" i="1" s="1"/>
  <c r="D877" i="1"/>
  <c r="E877" i="1" s="1"/>
  <c r="D875" i="1"/>
  <c r="E875" i="1" s="1"/>
  <c r="D873" i="1"/>
  <c r="E873" i="1" s="1"/>
  <c r="D871" i="1"/>
  <c r="E871" i="1" s="1"/>
  <c r="D869" i="1"/>
  <c r="E869" i="1" s="1"/>
  <c r="D867" i="1"/>
  <c r="E867" i="1" s="1"/>
  <c r="D865" i="1"/>
  <c r="E865" i="1" s="1"/>
  <c r="D863" i="1"/>
  <c r="E863" i="1" s="1"/>
  <c r="D861" i="1"/>
  <c r="E861" i="1" s="1"/>
  <c r="D859" i="1"/>
  <c r="E859" i="1" s="1"/>
  <c r="D857" i="1"/>
  <c r="E857" i="1" s="1"/>
  <c r="D855" i="1"/>
  <c r="E855" i="1" s="1"/>
  <c r="D853" i="1"/>
  <c r="E853" i="1" s="1"/>
  <c r="D851" i="1"/>
  <c r="E851" i="1" s="1"/>
  <c r="D849" i="1"/>
  <c r="E849" i="1" s="1"/>
  <c r="D847" i="1"/>
  <c r="E847" i="1" s="1"/>
  <c r="D845" i="1"/>
  <c r="E845" i="1" s="1"/>
  <c r="D843" i="1"/>
  <c r="E843" i="1" s="1"/>
  <c r="D841" i="1"/>
  <c r="E841" i="1" s="1"/>
  <c r="D839" i="1"/>
  <c r="E839" i="1" s="1"/>
  <c r="D837" i="1"/>
  <c r="E837" i="1" s="1"/>
  <c r="D835" i="1"/>
  <c r="E835" i="1" s="1"/>
  <c r="D833" i="1"/>
  <c r="E833" i="1" s="1"/>
  <c r="D831" i="1"/>
  <c r="E831" i="1" s="1"/>
  <c r="D829" i="1"/>
  <c r="E829" i="1" s="1"/>
  <c r="D827" i="1"/>
  <c r="E827" i="1" s="1"/>
  <c r="D825" i="1"/>
  <c r="E825" i="1" s="1"/>
  <c r="D823" i="1"/>
  <c r="E823" i="1" s="1"/>
  <c r="D821" i="1"/>
  <c r="E821" i="1" s="1"/>
  <c r="D819" i="1"/>
  <c r="E819" i="1" s="1"/>
  <c r="D817" i="1"/>
  <c r="E817" i="1" s="1"/>
  <c r="D815" i="1"/>
  <c r="E815" i="1" s="1"/>
  <c r="D813" i="1"/>
  <c r="E813" i="1" s="1"/>
  <c r="D811" i="1"/>
  <c r="E811" i="1" s="1"/>
  <c r="D809" i="1"/>
  <c r="E809" i="1" s="1"/>
  <c r="D807" i="1"/>
  <c r="E807" i="1" s="1"/>
  <c r="D805" i="1"/>
  <c r="E805" i="1" s="1"/>
  <c r="D803" i="1"/>
  <c r="E803" i="1" s="1"/>
  <c r="D801" i="1"/>
  <c r="E801" i="1" s="1"/>
  <c r="D799" i="1"/>
  <c r="E799" i="1" s="1"/>
  <c r="D797" i="1"/>
  <c r="E797" i="1" s="1"/>
  <c r="D795" i="1"/>
  <c r="E795" i="1" s="1"/>
  <c r="D793" i="1"/>
  <c r="E793" i="1" s="1"/>
  <c r="D791" i="1"/>
  <c r="E791" i="1" s="1"/>
  <c r="D789" i="1"/>
  <c r="E789" i="1" s="1"/>
  <c r="D787" i="1"/>
  <c r="E787" i="1" s="1"/>
  <c r="D785" i="1"/>
  <c r="E785" i="1" s="1"/>
  <c r="D783" i="1"/>
  <c r="E783" i="1" s="1"/>
  <c r="D781" i="1"/>
  <c r="E781" i="1" s="1"/>
  <c r="D779" i="1"/>
  <c r="E779" i="1" s="1"/>
  <c r="D777" i="1"/>
  <c r="E777" i="1" s="1"/>
  <c r="D775" i="1"/>
  <c r="E775" i="1" s="1"/>
  <c r="D773" i="1"/>
  <c r="E773" i="1" s="1"/>
  <c r="D771" i="1"/>
  <c r="E771" i="1" s="1"/>
  <c r="D769" i="1"/>
  <c r="E769" i="1" s="1"/>
  <c r="D767" i="1"/>
  <c r="E767" i="1" s="1"/>
  <c r="D765" i="1"/>
  <c r="E765" i="1" s="1"/>
  <c r="D763" i="1"/>
  <c r="E763" i="1" s="1"/>
  <c r="D761" i="1"/>
  <c r="E761" i="1" s="1"/>
  <c r="D759" i="1"/>
  <c r="E759" i="1" s="1"/>
  <c r="D757" i="1"/>
  <c r="E757" i="1" s="1"/>
  <c r="D755" i="1"/>
  <c r="E755" i="1" s="1"/>
  <c r="D753" i="1"/>
  <c r="E753" i="1" s="1"/>
  <c r="D751" i="1"/>
  <c r="E751" i="1" s="1"/>
  <c r="D749" i="1"/>
  <c r="E749" i="1" s="1"/>
  <c r="D747" i="1"/>
  <c r="E747" i="1" s="1"/>
  <c r="D745" i="1"/>
  <c r="E745" i="1" s="1"/>
  <c r="D743" i="1"/>
  <c r="E743" i="1" s="1"/>
  <c r="D741" i="1"/>
  <c r="E741" i="1" s="1"/>
  <c r="D739" i="1"/>
  <c r="E739" i="1" s="1"/>
  <c r="D737" i="1"/>
  <c r="E737" i="1" s="1"/>
  <c r="D735" i="1"/>
  <c r="E735" i="1" s="1"/>
  <c r="D733" i="1"/>
  <c r="E733" i="1" s="1"/>
  <c r="D731" i="1"/>
  <c r="E731" i="1" s="1"/>
  <c r="D729" i="1"/>
  <c r="E729" i="1" s="1"/>
  <c r="D727" i="1"/>
  <c r="E727" i="1" s="1"/>
  <c r="D725" i="1"/>
  <c r="E725" i="1" s="1"/>
  <c r="D723" i="1"/>
  <c r="E723" i="1" s="1"/>
  <c r="D721" i="1"/>
  <c r="E721" i="1" s="1"/>
  <c r="D719" i="1"/>
  <c r="E719" i="1" s="1"/>
  <c r="D717" i="1"/>
  <c r="E717" i="1" s="1"/>
  <c r="D715" i="1"/>
  <c r="E715" i="1" s="1"/>
  <c r="D713" i="1"/>
  <c r="E713" i="1" s="1"/>
  <c r="D711" i="1"/>
  <c r="E711" i="1" s="1"/>
  <c r="D709" i="1"/>
  <c r="E709" i="1" s="1"/>
  <c r="D707" i="1"/>
  <c r="E707" i="1" s="1"/>
  <c r="D705" i="1"/>
  <c r="E705" i="1" s="1"/>
  <c r="D703" i="1"/>
  <c r="E703" i="1" s="1"/>
  <c r="D701" i="1"/>
  <c r="E701" i="1" s="1"/>
  <c r="D699" i="1"/>
  <c r="E699" i="1" s="1"/>
  <c r="D697" i="1"/>
  <c r="E697" i="1" s="1"/>
  <c r="D695" i="1"/>
  <c r="E695" i="1" s="1"/>
  <c r="D693" i="1"/>
  <c r="E693" i="1" s="1"/>
  <c r="D691" i="1"/>
  <c r="E691" i="1" s="1"/>
  <c r="D689" i="1"/>
  <c r="E689" i="1" s="1"/>
  <c r="D687" i="1"/>
  <c r="E687" i="1" s="1"/>
  <c r="D685" i="1"/>
  <c r="E685" i="1" s="1"/>
  <c r="D683" i="1"/>
  <c r="E683" i="1" s="1"/>
  <c r="D681" i="1"/>
  <c r="E681" i="1" s="1"/>
  <c r="D679" i="1"/>
  <c r="E679" i="1" s="1"/>
  <c r="D677" i="1"/>
  <c r="E677" i="1" s="1"/>
  <c r="D675" i="1"/>
  <c r="E675" i="1" s="1"/>
  <c r="D673" i="1"/>
  <c r="E673" i="1" s="1"/>
  <c r="D671" i="1"/>
  <c r="E671" i="1" s="1"/>
  <c r="D669" i="1"/>
  <c r="E669" i="1" s="1"/>
  <c r="D667" i="1"/>
  <c r="E667" i="1" s="1"/>
  <c r="D665" i="1"/>
  <c r="E665" i="1" s="1"/>
  <c r="D663" i="1"/>
  <c r="E663" i="1" s="1"/>
  <c r="D661" i="1"/>
  <c r="E661" i="1" s="1"/>
  <c r="D659" i="1"/>
  <c r="E659" i="1" s="1"/>
  <c r="D657" i="1"/>
  <c r="E657" i="1" s="1"/>
  <c r="D655" i="1"/>
  <c r="E655" i="1" s="1"/>
  <c r="D653" i="1"/>
  <c r="E653" i="1" s="1"/>
  <c r="D651" i="1"/>
  <c r="E651" i="1" s="1"/>
  <c r="D649" i="1"/>
  <c r="E649" i="1" s="1"/>
  <c r="D647" i="1"/>
  <c r="E647" i="1" s="1"/>
  <c r="D645" i="1"/>
  <c r="E645" i="1" s="1"/>
  <c r="D643" i="1"/>
  <c r="E643" i="1" s="1"/>
  <c r="D641" i="1"/>
  <c r="E641" i="1" s="1"/>
  <c r="D639" i="1"/>
  <c r="E639" i="1" s="1"/>
  <c r="D637" i="1"/>
  <c r="E637" i="1" s="1"/>
  <c r="D635" i="1"/>
  <c r="E635" i="1" s="1"/>
  <c r="D633" i="1"/>
  <c r="E633" i="1" s="1"/>
  <c r="D631" i="1"/>
  <c r="E631" i="1" s="1"/>
  <c r="D629" i="1"/>
  <c r="E629" i="1" s="1"/>
  <c r="D627" i="1"/>
  <c r="E627" i="1" s="1"/>
  <c r="D625" i="1"/>
  <c r="E625" i="1" s="1"/>
  <c r="D623" i="1"/>
  <c r="E623" i="1" s="1"/>
  <c r="D621" i="1"/>
  <c r="E621" i="1" s="1"/>
  <c r="D619" i="1"/>
  <c r="E619" i="1" s="1"/>
  <c r="D617" i="1"/>
  <c r="E617" i="1" s="1"/>
  <c r="D615" i="1"/>
  <c r="E615" i="1" s="1"/>
  <c r="D613" i="1"/>
  <c r="E613" i="1" s="1"/>
  <c r="D611" i="1"/>
  <c r="E611" i="1" s="1"/>
  <c r="D609" i="1"/>
  <c r="E609" i="1" s="1"/>
  <c r="D607" i="1"/>
  <c r="E607" i="1" s="1"/>
  <c r="D605" i="1"/>
  <c r="E605" i="1" s="1"/>
  <c r="D603" i="1"/>
  <c r="E603" i="1" s="1"/>
  <c r="D601" i="1"/>
  <c r="E601" i="1" s="1"/>
  <c r="D599" i="1"/>
  <c r="E599" i="1" s="1"/>
  <c r="D597" i="1"/>
  <c r="E597" i="1" s="1"/>
  <c r="D595" i="1"/>
  <c r="E595" i="1" s="1"/>
  <c r="D593" i="1"/>
  <c r="E593" i="1" s="1"/>
  <c r="D591" i="1"/>
  <c r="E591" i="1" s="1"/>
  <c r="D589" i="1"/>
  <c r="E589" i="1" s="1"/>
  <c r="D587" i="1"/>
  <c r="E587" i="1" s="1"/>
  <c r="D585" i="1"/>
  <c r="E585" i="1" s="1"/>
  <c r="D583" i="1"/>
  <c r="E583" i="1" s="1"/>
  <c r="D581" i="1"/>
  <c r="E581" i="1" s="1"/>
  <c r="D579" i="1"/>
  <c r="E579" i="1" s="1"/>
  <c r="D577" i="1"/>
  <c r="E577" i="1" s="1"/>
  <c r="D575" i="1"/>
  <c r="E575" i="1" s="1"/>
  <c r="D573" i="1"/>
  <c r="E573" i="1" s="1"/>
  <c r="D571" i="1"/>
  <c r="E571" i="1" s="1"/>
  <c r="D569" i="1"/>
  <c r="E569" i="1" s="1"/>
  <c r="D567" i="1"/>
  <c r="E567" i="1" s="1"/>
  <c r="D565" i="1"/>
  <c r="E565" i="1" s="1"/>
  <c r="D563" i="1"/>
  <c r="E563" i="1" s="1"/>
  <c r="D561" i="1"/>
  <c r="E561" i="1" s="1"/>
  <c r="D559" i="1"/>
  <c r="E559" i="1" s="1"/>
  <c r="D557" i="1"/>
  <c r="E557" i="1" s="1"/>
  <c r="D555" i="1"/>
  <c r="E555" i="1" s="1"/>
  <c r="D553" i="1"/>
  <c r="E553" i="1" s="1"/>
  <c r="D551" i="1"/>
  <c r="E551" i="1" s="1"/>
  <c r="D549" i="1"/>
  <c r="E549" i="1" s="1"/>
  <c r="D547" i="1"/>
  <c r="E547" i="1" s="1"/>
  <c r="D545" i="1"/>
  <c r="E545" i="1" s="1"/>
  <c r="D543" i="1"/>
  <c r="E543" i="1" s="1"/>
  <c r="D541" i="1"/>
  <c r="E541" i="1" s="1"/>
  <c r="D539" i="1"/>
  <c r="E539" i="1" s="1"/>
  <c r="D537" i="1"/>
  <c r="E537" i="1" s="1"/>
  <c r="D535" i="1"/>
  <c r="E535" i="1" s="1"/>
  <c r="D533" i="1"/>
  <c r="E533" i="1" s="1"/>
  <c r="D531" i="1"/>
  <c r="E531" i="1" s="1"/>
  <c r="D529" i="1"/>
  <c r="E529" i="1" s="1"/>
  <c r="D527" i="1"/>
  <c r="E527" i="1" s="1"/>
  <c r="D525" i="1"/>
  <c r="E525" i="1" s="1"/>
  <c r="D523" i="1"/>
  <c r="E523" i="1" s="1"/>
  <c r="D521" i="1"/>
  <c r="E521" i="1" s="1"/>
  <c r="D519" i="1"/>
  <c r="E519" i="1" s="1"/>
  <c r="D517" i="1"/>
  <c r="E517" i="1" s="1"/>
  <c r="D515" i="1"/>
  <c r="E515" i="1" s="1"/>
  <c r="D513" i="1"/>
  <c r="E513" i="1" s="1"/>
  <c r="D511" i="1"/>
  <c r="E511" i="1" s="1"/>
  <c r="D509" i="1"/>
  <c r="E509" i="1" s="1"/>
  <c r="D507" i="1"/>
  <c r="E507" i="1" s="1"/>
  <c r="D505" i="1"/>
  <c r="E505" i="1" s="1"/>
  <c r="D503" i="1"/>
  <c r="E503" i="1" s="1"/>
  <c r="D501" i="1"/>
  <c r="E501" i="1" s="1"/>
  <c r="D499" i="1"/>
  <c r="E499" i="1" s="1"/>
  <c r="D497" i="1"/>
  <c r="E497" i="1" s="1"/>
  <c r="D495" i="1"/>
  <c r="E495" i="1" s="1"/>
  <c r="D493" i="1"/>
  <c r="E493" i="1" s="1"/>
  <c r="D491" i="1"/>
  <c r="E491" i="1" s="1"/>
  <c r="D489" i="1"/>
  <c r="E489" i="1" s="1"/>
  <c r="D487" i="1"/>
  <c r="E487" i="1" s="1"/>
  <c r="D485" i="1"/>
  <c r="E485" i="1" s="1"/>
  <c r="D483" i="1"/>
  <c r="E483" i="1" s="1"/>
  <c r="D481" i="1"/>
  <c r="E481" i="1" s="1"/>
  <c r="D479" i="1"/>
  <c r="E479" i="1" s="1"/>
  <c r="D477" i="1"/>
  <c r="E477" i="1" s="1"/>
  <c r="D475" i="1"/>
  <c r="E475" i="1" s="1"/>
  <c r="D473" i="1"/>
  <c r="E473" i="1" s="1"/>
  <c r="D471" i="1"/>
  <c r="E471" i="1" s="1"/>
  <c r="D469" i="1"/>
  <c r="E469" i="1" s="1"/>
  <c r="D467" i="1"/>
  <c r="E467" i="1" s="1"/>
  <c r="D465" i="1"/>
  <c r="E465" i="1" s="1"/>
  <c r="D463" i="1"/>
  <c r="E463" i="1" s="1"/>
  <c r="D461" i="1"/>
  <c r="E461" i="1" s="1"/>
  <c r="D459" i="1"/>
  <c r="E459" i="1" s="1"/>
  <c r="D457" i="1"/>
  <c r="E457" i="1" s="1"/>
  <c r="D455" i="1"/>
  <c r="E455" i="1" s="1"/>
  <c r="D453" i="1"/>
  <c r="E453" i="1" s="1"/>
  <c r="D451" i="1"/>
  <c r="E451" i="1" s="1"/>
  <c r="D449" i="1"/>
  <c r="E449" i="1" s="1"/>
  <c r="D447" i="1"/>
  <c r="E447" i="1" s="1"/>
  <c r="D445" i="1"/>
  <c r="E445" i="1" s="1"/>
  <c r="D443" i="1"/>
  <c r="E443" i="1" s="1"/>
  <c r="D441" i="1"/>
  <c r="E441" i="1" s="1"/>
  <c r="D439" i="1"/>
  <c r="E439" i="1" s="1"/>
  <c r="D437" i="1"/>
  <c r="E437" i="1" s="1"/>
  <c r="D435" i="1"/>
  <c r="E435" i="1" s="1"/>
  <c r="D433" i="1"/>
  <c r="E433" i="1" s="1"/>
  <c r="D431" i="1"/>
  <c r="E431" i="1" s="1"/>
  <c r="D429" i="1"/>
  <c r="E429" i="1" s="1"/>
  <c r="D427" i="1"/>
  <c r="E427" i="1" s="1"/>
  <c r="D425" i="1"/>
  <c r="E425" i="1" s="1"/>
  <c r="D423" i="1"/>
  <c r="E423" i="1" s="1"/>
  <c r="D421" i="1"/>
  <c r="E421" i="1" s="1"/>
  <c r="D419" i="1"/>
  <c r="E419" i="1" s="1"/>
  <c r="D417" i="1"/>
  <c r="E417" i="1" s="1"/>
  <c r="D415" i="1"/>
  <c r="E415" i="1" s="1"/>
  <c r="D413" i="1"/>
  <c r="E413" i="1" s="1"/>
  <c r="D411" i="1"/>
  <c r="E411" i="1" s="1"/>
  <c r="D409" i="1"/>
  <c r="E409" i="1" s="1"/>
  <c r="D407" i="1"/>
  <c r="E407" i="1" s="1"/>
  <c r="D405" i="1"/>
  <c r="E405" i="1" s="1"/>
  <c r="D403" i="1"/>
  <c r="E403" i="1" s="1"/>
  <c r="D401" i="1"/>
  <c r="E401" i="1" s="1"/>
  <c r="D399" i="1"/>
  <c r="E399" i="1" s="1"/>
  <c r="D397" i="1"/>
  <c r="E397" i="1" s="1"/>
  <c r="D395" i="1"/>
  <c r="E395" i="1" s="1"/>
  <c r="D393" i="1"/>
  <c r="E393" i="1" s="1"/>
  <c r="D391" i="1"/>
  <c r="E391" i="1" s="1"/>
  <c r="D389" i="1"/>
  <c r="E389" i="1" s="1"/>
  <c r="D387" i="1"/>
  <c r="E387" i="1" s="1"/>
  <c r="D385" i="1"/>
  <c r="E385" i="1" s="1"/>
  <c r="D383" i="1"/>
  <c r="E383" i="1" s="1"/>
  <c r="D381" i="1"/>
  <c r="E381" i="1" s="1"/>
  <c r="D379" i="1"/>
  <c r="E379" i="1" s="1"/>
  <c r="D377" i="1"/>
  <c r="E377" i="1" s="1"/>
  <c r="D375" i="1"/>
  <c r="E375" i="1" s="1"/>
  <c r="D373" i="1"/>
  <c r="E373" i="1" s="1"/>
  <c r="D371" i="1"/>
  <c r="E371" i="1" s="1"/>
  <c r="D369" i="1"/>
  <c r="E369" i="1" s="1"/>
  <c r="D367" i="1"/>
  <c r="E367" i="1" s="1"/>
  <c r="D365" i="1"/>
  <c r="E365" i="1" s="1"/>
  <c r="D363" i="1"/>
  <c r="E363" i="1" s="1"/>
  <c r="D361" i="1"/>
  <c r="E361" i="1" s="1"/>
  <c r="D359" i="1"/>
  <c r="E359" i="1" s="1"/>
  <c r="D357" i="1"/>
  <c r="E357" i="1" s="1"/>
  <c r="D355" i="1"/>
  <c r="E355" i="1" s="1"/>
  <c r="D353" i="1"/>
  <c r="E353" i="1" s="1"/>
  <c r="D351" i="1"/>
  <c r="E351" i="1" s="1"/>
  <c r="D349" i="1"/>
  <c r="E349" i="1" s="1"/>
  <c r="D347" i="1"/>
  <c r="E347" i="1" s="1"/>
  <c r="D345" i="1"/>
  <c r="E345" i="1" s="1"/>
  <c r="D343" i="1"/>
  <c r="E343" i="1" s="1"/>
  <c r="D341" i="1"/>
  <c r="E341" i="1" s="1"/>
  <c r="D339" i="1"/>
  <c r="E339" i="1" s="1"/>
  <c r="D337" i="1"/>
  <c r="E337" i="1" s="1"/>
  <c r="D335" i="1"/>
  <c r="E335" i="1" s="1"/>
  <c r="D333" i="1"/>
  <c r="E333" i="1" s="1"/>
  <c r="D331" i="1"/>
  <c r="E331" i="1" s="1"/>
  <c r="D329" i="1"/>
  <c r="E329" i="1" s="1"/>
  <c r="D327" i="1"/>
  <c r="E327" i="1" s="1"/>
  <c r="D325" i="1"/>
  <c r="E325" i="1" s="1"/>
  <c r="D323" i="1"/>
  <c r="E323" i="1" s="1"/>
  <c r="D321" i="1"/>
  <c r="E321" i="1" s="1"/>
  <c r="D319" i="1"/>
  <c r="E319" i="1" s="1"/>
  <c r="D317" i="1"/>
  <c r="E317" i="1" s="1"/>
  <c r="D315" i="1"/>
  <c r="E315" i="1" s="1"/>
  <c r="D313" i="1"/>
  <c r="E313" i="1" s="1"/>
  <c r="D311" i="1"/>
  <c r="E311" i="1" s="1"/>
  <c r="D309" i="1"/>
  <c r="E309" i="1" s="1"/>
  <c r="D307" i="1"/>
  <c r="E307" i="1" s="1"/>
  <c r="D305" i="1"/>
  <c r="E305" i="1" s="1"/>
  <c r="D303" i="1"/>
  <c r="E303" i="1" s="1"/>
  <c r="D301" i="1"/>
  <c r="E301" i="1" s="1"/>
  <c r="D299" i="1"/>
  <c r="E299" i="1" s="1"/>
  <c r="D297" i="1"/>
  <c r="E297" i="1" s="1"/>
  <c r="D295" i="1"/>
  <c r="E295" i="1" s="1"/>
  <c r="D293" i="1"/>
  <c r="E293" i="1" s="1"/>
  <c r="D291" i="1"/>
  <c r="E291" i="1" s="1"/>
  <c r="D289" i="1"/>
  <c r="E289" i="1" s="1"/>
  <c r="D287" i="1"/>
  <c r="E287" i="1" s="1"/>
  <c r="D285" i="1"/>
  <c r="E285" i="1" s="1"/>
  <c r="D283" i="1"/>
  <c r="E283" i="1" s="1"/>
  <c r="D281" i="1"/>
  <c r="E281" i="1" s="1"/>
  <c r="D279" i="1"/>
  <c r="E279" i="1" s="1"/>
  <c r="D277" i="1"/>
  <c r="E277" i="1" s="1"/>
  <c r="D275" i="1"/>
  <c r="E275" i="1" s="1"/>
  <c r="D273" i="1"/>
  <c r="E273" i="1" s="1"/>
  <c r="D271" i="1"/>
  <c r="E271" i="1" s="1"/>
  <c r="D269" i="1"/>
  <c r="E269" i="1" s="1"/>
  <c r="D267" i="1"/>
  <c r="E267" i="1" s="1"/>
  <c r="D265" i="1"/>
  <c r="E265" i="1" s="1"/>
  <c r="D263" i="1"/>
  <c r="E263" i="1" s="1"/>
  <c r="D261" i="1"/>
  <c r="E261" i="1" s="1"/>
  <c r="D259" i="1"/>
  <c r="E259" i="1" s="1"/>
  <c r="D257" i="1"/>
  <c r="E257" i="1" s="1"/>
  <c r="D255" i="1"/>
  <c r="E255" i="1" s="1"/>
  <c r="D253" i="1"/>
  <c r="E253" i="1" s="1"/>
  <c r="D251" i="1"/>
  <c r="E251" i="1" s="1"/>
  <c r="D249" i="1"/>
  <c r="E249" i="1" s="1"/>
  <c r="D247" i="1"/>
  <c r="E247" i="1" s="1"/>
  <c r="D245" i="1"/>
  <c r="E245" i="1" s="1"/>
  <c r="D243" i="1"/>
  <c r="E243" i="1" s="1"/>
  <c r="D241" i="1"/>
  <c r="E241" i="1" s="1"/>
  <c r="D239" i="1"/>
  <c r="E239" i="1" s="1"/>
  <c r="D237" i="1"/>
  <c r="E237" i="1" s="1"/>
  <c r="D235" i="1"/>
  <c r="E235" i="1" s="1"/>
  <c r="D233" i="1"/>
  <c r="E233" i="1" s="1"/>
  <c r="D231" i="1"/>
  <c r="E231" i="1" s="1"/>
  <c r="D229" i="1"/>
  <c r="E229" i="1" s="1"/>
  <c r="D227" i="1"/>
  <c r="E227" i="1" s="1"/>
  <c r="D225" i="1"/>
  <c r="E225" i="1" s="1"/>
  <c r="D223" i="1"/>
  <c r="E223" i="1" s="1"/>
  <c r="D221" i="1"/>
  <c r="E221" i="1" s="1"/>
  <c r="D219" i="1"/>
  <c r="E219" i="1" s="1"/>
  <c r="D217" i="1"/>
  <c r="E217" i="1" s="1"/>
  <c r="D215" i="1"/>
  <c r="E215" i="1" s="1"/>
  <c r="D213" i="1"/>
  <c r="E213" i="1" s="1"/>
  <c r="D211" i="1"/>
  <c r="E211" i="1" s="1"/>
  <c r="D209" i="1"/>
  <c r="E209" i="1" s="1"/>
  <c r="D207" i="1"/>
  <c r="E207" i="1" s="1"/>
  <c r="D205" i="1"/>
  <c r="E205" i="1" s="1"/>
  <c r="D203" i="1"/>
  <c r="E203" i="1" s="1"/>
  <c r="D201" i="1"/>
  <c r="E201" i="1" s="1"/>
  <c r="D199" i="1"/>
  <c r="E199" i="1" s="1"/>
  <c r="D197" i="1"/>
  <c r="E197" i="1" s="1"/>
  <c r="D195" i="1"/>
  <c r="E195" i="1" s="1"/>
  <c r="D193" i="1"/>
  <c r="E193" i="1" s="1"/>
  <c r="D191" i="1"/>
  <c r="E191" i="1" s="1"/>
  <c r="D189" i="1"/>
  <c r="E189" i="1" s="1"/>
  <c r="D187" i="1"/>
  <c r="E187" i="1" s="1"/>
  <c r="D185" i="1"/>
  <c r="E185" i="1" s="1"/>
  <c r="D183" i="1"/>
  <c r="E183" i="1" s="1"/>
  <c r="D181" i="1"/>
  <c r="E181" i="1" s="1"/>
  <c r="D179" i="1"/>
  <c r="E179" i="1" s="1"/>
  <c r="D177" i="1"/>
  <c r="E177" i="1" s="1"/>
  <c r="D175" i="1"/>
  <c r="E175" i="1" s="1"/>
  <c r="D173" i="1"/>
  <c r="E173" i="1" s="1"/>
  <c r="D171" i="1"/>
  <c r="E171" i="1" s="1"/>
  <c r="D169" i="1"/>
  <c r="E169" i="1" s="1"/>
  <c r="D167" i="1"/>
  <c r="E167" i="1" s="1"/>
  <c r="D165" i="1"/>
  <c r="E165" i="1" s="1"/>
  <c r="D163" i="1"/>
  <c r="E163" i="1" s="1"/>
  <c r="D161" i="1"/>
  <c r="E161" i="1" s="1"/>
  <c r="D159" i="1"/>
  <c r="E159" i="1" s="1"/>
  <c r="D157" i="1"/>
  <c r="E157" i="1" s="1"/>
  <c r="D155" i="1"/>
  <c r="E155" i="1" s="1"/>
  <c r="D153" i="1"/>
  <c r="E153" i="1" s="1"/>
  <c r="D151" i="1"/>
  <c r="E151" i="1" s="1"/>
  <c r="D149" i="1"/>
  <c r="E149" i="1" s="1"/>
  <c r="D147" i="1"/>
  <c r="E147" i="1" s="1"/>
  <c r="D145" i="1"/>
  <c r="E145" i="1" s="1"/>
  <c r="D143" i="1"/>
  <c r="E143" i="1" s="1"/>
  <c r="D141" i="1"/>
  <c r="E141" i="1" s="1"/>
  <c r="D139" i="1"/>
  <c r="E139" i="1" s="1"/>
  <c r="D137" i="1"/>
  <c r="E137" i="1" s="1"/>
  <c r="D135" i="1"/>
  <c r="E135" i="1" s="1"/>
  <c r="D133" i="1"/>
  <c r="E133" i="1" s="1"/>
  <c r="D131" i="1"/>
  <c r="E131" i="1" s="1"/>
  <c r="D129" i="1"/>
  <c r="E129" i="1" s="1"/>
  <c r="D127" i="1"/>
  <c r="E127" i="1" s="1"/>
  <c r="D125" i="1"/>
  <c r="E125" i="1" s="1"/>
  <c r="D123" i="1"/>
  <c r="E123" i="1" s="1"/>
  <c r="D121" i="1"/>
  <c r="E121" i="1" s="1"/>
  <c r="D119" i="1"/>
  <c r="E119" i="1" s="1"/>
  <c r="D117" i="1"/>
  <c r="E117" i="1" s="1"/>
  <c r="D115" i="1"/>
  <c r="E115" i="1" s="1"/>
  <c r="D113" i="1"/>
  <c r="E113" i="1" s="1"/>
  <c r="D111" i="1"/>
  <c r="E111" i="1" s="1"/>
  <c r="D109" i="1"/>
  <c r="E109" i="1" s="1"/>
  <c r="D107" i="1"/>
  <c r="E107" i="1" s="1"/>
  <c r="D105" i="1"/>
  <c r="E105" i="1" s="1"/>
  <c r="D103" i="1"/>
  <c r="E103" i="1" s="1"/>
  <c r="D101" i="1"/>
  <c r="E101" i="1" s="1"/>
  <c r="D99" i="1"/>
  <c r="E99" i="1" s="1"/>
  <c r="D97" i="1"/>
  <c r="E97" i="1" s="1"/>
  <c r="D95" i="1"/>
  <c r="E95" i="1" s="1"/>
  <c r="D93" i="1"/>
  <c r="E93" i="1" s="1"/>
  <c r="D91" i="1"/>
  <c r="E91" i="1" s="1"/>
  <c r="D89" i="1"/>
  <c r="E89" i="1" s="1"/>
  <c r="D87" i="1"/>
  <c r="E87" i="1" s="1"/>
  <c r="D85" i="1"/>
  <c r="E85" i="1" s="1"/>
  <c r="D83" i="1"/>
  <c r="E83" i="1" s="1"/>
  <c r="D81" i="1"/>
  <c r="E81" i="1" s="1"/>
  <c r="D79" i="1"/>
  <c r="E79" i="1" s="1"/>
  <c r="D77" i="1"/>
  <c r="E77" i="1" s="1"/>
  <c r="D75" i="1"/>
  <c r="E75" i="1" s="1"/>
  <c r="D73" i="1"/>
  <c r="E73" i="1" s="1"/>
  <c r="D71" i="1"/>
  <c r="E71" i="1" s="1"/>
  <c r="D69" i="1"/>
  <c r="E69" i="1" s="1"/>
  <c r="D67" i="1"/>
  <c r="E67" i="1" s="1"/>
  <c r="D65" i="1"/>
  <c r="E65" i="1" s="1"/>
  <c r="D63" i="1"/>
  <c r="E63" i="1" s="1"/>
  <c r="D61" i="1"/>
  <c r="E61" i="1" s="1"/>
  <c r="D59" i="1"/>
  <c r="E59" i="1" s="1"/>
  <c r="D57" i="1"/>
  <c r="E57" i="1" s="1"/>
  <c r="D55" i="1"/>
  <c r="E55" i="1" s="1"/>
  <c r="D53" i="1"/>
  <c r="E53" i="1" s="1"/>
  <c r="D51" i="1"/>
  <c r="E51" i="1" s="1"/>
  <c r="D49" i="1"/>
  <c r="E49" i="1" s="1"/>
  <c r="D47" i="1"/>
  <c r="E47" i="1" s="1"/>
  <c r="D45" i="1"/>
  <c r="E45" i="1" s="1"/>
  <c r="D43" i="1"/>
  <c r="E43" i="1" s="1"/>
  <c r="D41" i="1"/>
  <c r="E41" i="1" s="1"/>
  <c r="D39" i="1"/>
  <c r="E39" i="1" s="1"/>
  <c r="D37" i="1"/>
  <c r="E37" i="1" s="1"/>
  <c r="D35" i="1"/>
  <c r="E35" i="1" s="1"/>
  <c r="D33" i="1"/>
  <c r="E33" i="1" s="1"/>
  <c r="D31" i="1"/>
  <c r="E31" i="1" s="1"/>
  <c r="D29" i="1"/>
  <c r="E29" i="1" s="1"/>
  <c r="D27" i="1"/>
  <c r="E27" i="1" s="1"/>
  <c r="D25" i="1"/>
  <c r="E25" i="1" s="1"/>
  <c r="D23" i="1"/>
  <c r="E23" i="1" s="1"/>
  <c r="D21" i="1"/>
  <c r="E21" i="1" s="1"/>
  <c r="D19" i="1"/>
  <c r="E19" i="1" s="1"/>
  <c r="D17" i="1"/>
  <c r="E17" i="1" s="1"/>
  <c r="D15" i="1"/>
  <c r="E15" i="1" s="1"/>
  <c r="D13" i="1"/>
  <c r="E13" i="1" s="1"/>
  <c r="D11" i="1"/>
  <c r="E11" i="1" s="1"/>
  <c r="D9" i="1"/>
  <c r="E9" i="1" s="1"/>
  <c r="D7" i="1"/>
  <c r="E7" i="1" s="1"/>
  <c r="D5" i="1"/>
  <c r="E5" i="1" s="1"/>
  <c r="D14" i="18"/>
  <c r="D13" i="18"/>
  <c r="D15" i="18" s="1"/>
  <c r="D10" i="18"/>
  <c r="D9" i="18"/>
  <c r="D6" i="18"/>
  <c r="D5" i="18"/>
  <c r="D7" i="18" l="1"/>
  <c r="K6" i="1"/>
  <c r="D11" i="18"/>
  <c r="P941" i="1"/>
  <c r="P942" i="1" s="1"/>
  <c r="P939" i="1"/>
  <c r="P940" i="1" s="1"/>
  <c r="P937" i="1"/>
  <c r="P938" i="1" s="1"/>
  <c r="P935" i="1"/>
  <c r="P936" i="1" s="1"/>
  <c r="P933" i="1"/>
  <c r="P934" i="1" s="1"/>
  <c r="P931" i="1"/>
  <c r="P932" i="1" s="1"/>
  <c r="P929" i="1"/>
  <c r="P930" i="1" s="1"/>
  <c r="P927" i="1"/>
  <c r="P928" i="1" s="1"/>
  <c r="P925" i="1"/>
  <c r="P926" i="1" s="1"/>
  <c r="P923" i="1"/>
  <c r="P924" i="1" s="1"/>
  <c r="P921" i="1"/>
  <c r="P922" i="1" s="1"/>
  <c r="P919" i="1"/>
  <c r="P920" i="1" s="1"/>
  <c r="P917" i="1"/>
  <c r="P918" i="1" s="1"/>
  <c r="P915" i="1"/>
  <c r="P916" i="1" s="1"/>
  <c r="P913" i="1"/>
  <c r="P914" i="1" s="1"/>
  <c r="P911" i="1"/>
  <c r="P912" i="1" s="1"/>
  <c r="P909" i="1"/>
  <c r="P910" i="1" s="1"/>
  <c r="P907" i="1"/>
  <c r="P908" i="1" s="1"/>
  <c r="P905" i="1"/>
  <c r="P906" i="1" s="1"/>
  <c r="P903" i="1"/>
  <c r="P904" i="1" s="1"/>
  <c r="P901" i="1"/>
  <c r="P902" i="1" s="1"/>
  <c r="P899" i="1"/>
  <c r="P900" i="1" s="1"/>
  <c r="P897" i="1"/>
  <c r="P898" i="1" s="1"/>
  <c r="P895" i="1"/>
  <c r="P896" i="1" s="1"/>
  <c r="P893" i="1"/>
  <c r="P894" i="1" s="1"/>
  <c r="P891" i="1"/>
  <c r="P892" i="1" s="1"/>
  <c r="P889" i="1"/>
  <c r="P890" i="1" s="1"/>
  <c r="P887" i="1"/>
  <c r="P888" i="1" s="1"/>
  <c r="P885" i="1"/>
  <c r="P886" i="1" s="1"/>
  <c r="P883" i="1"/>
  <c r="P884" i="1" s="1"/>
  <c r="P881" i="1"/>
  <c r="P882" i="1" s="1"/>
  <c r="P879" i="1"/>
  <c r="P880" i="1" s="1"/>
  <c r="P877" i="1"/>
  <c r="P878" i="1" s="1"/>
  <c r="P875" i="1"/>
  <c r="P876" i="1" s="1"/>
  <c r="P873" i="1"/>
  <c r="P874" i="1" s="1"/>
  <c r="P871" i="1"/>
  <c r="P872" i="1" s="1"/>
  <c r="P869" i="1"/>
  <c r="P870" i="1" s="1"/>
  <c r="P867" i="1"/>
  <c r="P868" i="1" s="1"/>
  <c r="P865" i="1"/>
  <c r="P866" i="1" s="1"/>
  <c r="P863" i="1"/>
  <c r="P864" i="1" s="1"/>
  <c r="P861" i="1"/>
  <c r="P862" i="1" s="1"/>
  <c r="P859" i="1"/>
  <c r="P860" i="1" s="1"/>
  <c r="P857" i="1"/>
  <c r="P858" i="1" s="1"/>
  <c r="P855" i="1"/>
  <c r="P856" i="1" s="1"/>
  <c r="P853" i="1"/>
  <c r="P854" i="1" s="1"/>
  <c r="P851" i="1"/>
  <c r="P852" i="1" s="1"/>
  <c r="P849" i="1"/>
  <c r="P850" i="1" s="1"/>
  <c r="P847" i="1"/>
  <c r="P848" i="1" s="1"/>
  <c r="P845" i="1"/>
  <c r="P846" i="1" s="1"/>
  <c r="P843" i="1"/>
  <c r="P844" i="1" s="1"/>
  <c r="P841" i="1"/>
  <c r="P842" i="1" s="1"/>
  <c r="P839" i="1"/>
  <c r="P840" i="1" s="1"/>
  <c r="P837" i="1"/>
  <c r="P838" i="1" s="1"/>
  <c r="P835" i="1"/>
  <c r="P836" i="1" s="1"/>
  <c r="P833" i="1"/>
  <c r="P834" i="1" s="1"/>
  <c r="P831" i="1"/>
  <c r="P832" i="1" s="1"/>
  <c r="P829" i="1"/>
  <c r="P830" i="1" s="1"/>
  <c r="P827" i="1"/>
  <c r="P828" i="1" s="1"/>
  <c r="P825" i="1"/>
  <c r="P826" i="1" s="1"/>
  <c r="P823" i="1"/>
  <c r="P824" i="1" s="1"/>
  <c r="P821" i="1"/>
  <c r="P822" i="1" s="1"/>
  <c r="P819" i="1"/>
  <c r="P820" i="1" s="1"/>
  <c r="P817" i="1"/>
  <c r="P818" i="1" s="1"/>
  <c r="P815" i="1"/>
  <c r="P816" i="1" s="1"/>
  <c r="P813" i="1"/>
  <c r="P814" i="1" s="1"/>
  <c r="P811" i="1"/>
  <c r="P812" i="1" s="1"/>
  <c r="P809" i="1"/>
  <c r="P810" i="1" s="1"/>
  <c r="P807" i="1"/>
  <c r="P808" i="1" s="1"/>
  <c r="P805" i="1"/>
  <c r="P806" i="1" s="1"/>
  <c r="P803" i="1"/>
  <c r="P804" i="1" s="1"/>
  <c r="P801" i="1"/>
  <c r="P802" i="1" s="1"/>
  <c r="P799" i="1"/>
  <c r="P800" i="1" s="1"/>
  <c r="P797" i="1"/>
  <c r="P798" i="1" s="1"/>
  <c r="P795" i="1"/>
  <c r="P796" i="1" s="1"/>
  <c r="P793" i="1"/>
  <c r="P794" i="1" s="1"/>
  <c r="P791" i="1"/>
  <c r="P792" i="1" s="1"/>
  <c r="P789" i="1"/>
  <c r="P790" i="1" s="1"/>
  <c r="P787" i="1"/>
  <c r="P788" i="1" s="1"/>
  <c r="P785" i="1"/>
  <c r="P786" i="1" s="1"/>
  <c r="P783" i="1"/>
  <c r="P784" i="1" s="1"/>
  <c r="P781" i="1"/>
  <c r="P782" i="1" s="1"/>
  <c r="P779" i="1"/>
  <c r="P780" i="1" s="1"/>
  <c r="P777" i="1"/>
  <c r="P778" i="1" s="1"/>
  <c r="P775" i="1"/>
  <c r="P776" i="1" s="1"/>
  <c r="P773" i="1"/>
  <c r="P774" i="1" s="1"/>
  <c r="P771" i="1"/>
  <c r="P772" i="1" s="1"/>
  <c r="P769" i="1"/>
  <c r="P770" i="1" s="1"/>
  <c r="P767" i="1"/>
  <c r="P768" i="1" s="1"/>
  <c r="P765" i="1"/>
  <c r="P766" i="1" s="1"/>
  <c r="P763" i="1"/>
  <c r="P764" i="1" s="1"/>
  <c r="P761" i="1"/>
  <c r="P762" i="1" s="1"/>
  <c r="P759" i="1"/>
  <c r="P760" i="1" s="1"/>
  <c r="P757" i="1"/>
  <c r="P758" i="1" s="1"/>
  <c r="P755" i="1"/>
  <c r="P756" i="1" s="1"/>
  <c r="P753" i="1"/>
  <c r="P754" i="1" s="1"/>
  <c r="P751" i="1"/>
  <c r="P752" i="1" s="1"/>
  <c r="P749" i="1"/>
  <c r="P750" i="1" s="1"/>
  <c r="P747" i="1"/>
  <c r="P748" i="1" s="1"/>
  <c r="P745" i="1"/>
  <c r="P746" i="1" s="1"/>
  <c r="P743" i="1"/>
  <c r="P744" i="1" s="1"/>
  <c r="P741" i="1"/>
  <c r="P742" i="1" s="1"/>
  <c r="P739" i="1"/>
  <c r="P740" i="1" s="1"/>
  <c r="P737" i="1"/>
  <c r="P738" i="1" s="1"/>
  <c r="P735" i="1"/>
  <c r="P736" i="1" s="1"/>
  <c r="P733" i="1"/>
  <c r="P734" i="1" s="1"/>
  <c r="P731" i="1"/>
  <c r="P732" i="1" s="1"/>
  <c r="P729" i="1"/>
  <c r="P730" i="1" s="1"/>
  <c r="P727" i="1"/>
  <c r="P728" i="1" s="1"/>
  <c r="P725" i="1"/>
  <c r="P726" i="1" s="1"/>
  <c r="P723" i="1"/>
  <c r="P724" i="1" s="1"/>
  <c r="P721" i="1"/>
  <c r="P722" i="1" s="1"/>
  <c r="P719" i="1"/>
  <c r="P720" i="1" s="1"/>
  <c r="P717" i="1"/>
  <c r="P718" i="1" s="1"/>
  <c r="P715" i="1"/>
  <c r="P716" i="1" s="1"/>
  <c r="P713" i="1"/>
  <c r="P714" i="1" s="1"/>
  <c r="P711" i="1"/>
  <c r="P712" i="1" s="1"/>
  <c r="P709" i="1"/>
  <c r="P710" i="1" s="1"/>
  <c r="P707" i="1"/>
  <c r="P708" i="1" s="1"/>
  <c r="P705" i="1"/>
  <c r="P706" i="1" s="1"/>
  <c r="P703" i="1"/>
  <c r="P704" i="1" s="1"/>
  <c r="P701" i="1"/>
  <c r="P702" i="1" s="1"/>
  <c r="P699" i="1"/>
  <c r="P700" i="1" s="1"/>
  <c r="P697" i="1"/>
  <c r="P698" i="1" s="1"/>
  <c r="P695" i="1"/>
  <c r="P696" i="1" s="1"/>
  <c r="P693" i="1"/>
  <c r="P694" i="1" s="1"/>
  <c r="P691" i="1"/>
  <c r="P692" i="1" s="1"/>
  <c r="P689" i="1"/>
  <c r="P690" i="1" s="1"/>
  <c r="P687" i="1"/>
  <c r="P688" i="1" s="1"/>
  <c r="P685" i="1"/>
  <c r="P686" i="1" s="1"/>
  <c r="P683" i="1"/>
  <c r="P684" i="1" s="1"/>
  <c r="P681" i="1"/>
  <c r="P682" i="1" s="1"/>
  <c r="P679" i="1"/>
  <c r="P680" i="1" s="1"/>
  <c r="P677" i="1"/>
  <c r="P678" i="1" s="1"/>
  <c r="P675" i="1"/>
  <c r="P676" i="1" s="1"/>
  <c r="P673" i="1"/>
  <c r="P674" i="1" s="1"/>
  <c r="P671" i="1"/>
  <c r="P672" i="1" s="1"/>
  <c r="P669" i="1"/>
  <c r="P670" i="1" s="1"/>
  <c r="P667" i="1"/>
  <c r="P668" i="1" s="1"/>
  <c r="P665" i="1"/>
  <c r="P666" i="1" s="1"/>
  <c r="P663" i="1"/>
  <c r="P664" i="1" s="1"/>
  <c r="P661" i="1"/>
  <c r="P662" i="1" s="1"/>
  <c r="P659" i="1"/>
  <c r="P660" i="1" s="1"/>
  <c r="P657" i="1"/>
  <c r="P658" i="1" s="1"/>
  <c r="P655" i="1"/>
  <c r="P656" i="1" s="1"/>
  <c r="P653" i="1"/>
  <c r="P654" i="1" s="1"/>
  <c r="P651" i="1"/>
  <c r="P652" i="1" s="1"/>
  <c r="P649" i="1"/>
  <c r="P650" i="1" s="1"/>
  <c r="P647" i="1"/>
  <c r="P648" i="1" s="1"/>
  <c r="P645" i="1"/>
  <c r="P646" i="1" s="1"/>
  <c r="P643" i="1"/>
  <c r="P644" i="1" s="1"/>
  <c r="P641" i="1"/>
  <c r="P642" i="1" s="1"/>
  <c r="P639" i="1"/>
  <c r="P640" i="1" s="1"/>
  <c r="P637" i="1"/>
  <c r="P638" i="1" s="1"/>
  <c r="P635" i="1"/>
  <c r="P636" i="1" s="1"/>
  <c r="P633" i="1"/>
  <c r="P634" i="1" s="1"/>
  <c r="P631" i="1"/>
  <c r="P632" i="1" s="1"/>
  <c r="P629" i="1"/>
  <c r="P630" i="1" s="1"/>
  <c r="P627" i="1"/>
  <c r="P628" i="1" s="1"/>
  <c r="P625" i="1"/>
  <c r="P626" i="1" s="1"/>
  <c r="P623" i="1"/>
  <c r="P624" i="1" s="1"/>
  <c r="P621" i="1"/>
  <c r="P622" i="1" s="1"/>
  <c r="P619" i="1"/>
  <c r="P620" i="1" s="1"/>
  <c r="P617" i="1"/>
  <c r="P618" i="1" s="1"/>
  <c r="P615" i="1"/>
  <c r="P616" i="1" s="1"/>
  <c r="P613" i="1"/>
  <c r="P614" i="1" s="1"/>
  <c r="P611" i="1"/>
  <c r="P612" i="1" s="1"/>
  <c r="P609" i="1"/>
  <c r="P610" i="1" s="1"/>
  <c r="P607" i="1"/>
  <c r="P608" i="1" s="1"/>
  <c r="P605" i="1"/>
  <c r="P606" i="1" s="1"/>
  <c r="P603" i="1"/>
  <c r="P604" i="1" s="1"/>
  <c r="P601" i="1"/>
  <c r="P602" i="1" s="1"/>
  <c r="P599" i="1"/>
  <c r="P600" i="1" s="1"/>
  <c r="P597" i="1"/>
  <c r="P598" i="1" s="1"/>
  <c r="P595" i="1"/>
  <c r="P596" i="1" s="1"/>
  <c r="P593" i="1"/>
  <c r="P594" i="1" s="1"/>
  <c r="P591" i="1"/>
  <c r="P592" i="1" s="1"/>
  <c r="P589" i="1"/>
  <c r="P590" i="1" s="1"/>
  <c r="P587" i="1"/>
  <c r="P588" i="1" s="1"/>
  <c r="P585" i="1"/>
  <c r="P586" i="1" s="1"/>
  <c r="P583" i="1"/>
  <c r="P584" i="1" s="1"/>
  <c r="P581" i="1"/>
  <c r="P582" i="1" s="1"/>
  <c r="P579" i="1"/>
  <c r="P580" i="1" s="1"/>
  <c r="P577" i="1"/>
  <c r="P578" i="1" s="1"/>
  <c r="P575" i="1"/>
  <c r="P576" i="1" s="1"/>
  <c r="P573" i="1"/>
  <c r="P574" i="1" s="1"/>
  <c r="P571" i="1"/>
  <c r="P572" i="1" s="1"/>
  <c r="P569" i="1"/>
  <c r="P570" i="1" s="1"/>
  <c r="P567" i="1"/>
  <c r="P568" i="1" s="1"/>
  <c r="P565" i="1"/>
  <c r="P566" i="1" s="1"/>
  <c r="P563" i="1"/>
  <c r="P564" i="1" s="1"/>
  <c r="P561" i="1"/>
  <c r="P562" i="1" s="1"/>
  <c r="P559" i="1"/>
  <c r="P560" i="1" s="1"/>
  <c r="P557" i="1"/>
  <c r="P558" i="1" s="1"/>
  <c r="P555" i="1"/>
  <c r="P556" i="1" s="1"/>
  <c r="P553" i="1"/>
  <c r="P554" i="1" s="1"/>
  <c r="P551" i="1"/>
  <c r="P552" i="1" s="1"/>
  <c r="P549" i="1"/>
  <c r="P550" i="1" s="1"/>
  <c r="P547" i="1"/>
  <c r="P548" i="1" s="1"/>
  <c r="P545" i="1"/>
  <c r="P546" i="1" s="1"/>
  <c r="P543" i="1"/>
  <c r="P544" i="1" s="1"/>
  <c r="P541" i="1"/>
  <c r="P542" i="1" s="1"/>
  <c r="P539" i="1"/>
  <c r="P540" i="1" s="1"/>
  <c r="P537" i="1"/>
  <c r="P538" i="1" s="1"/>
  <c r="P535" i="1"/>
  <c r="P536" i="1" s="1"/>
  <c r="P533" i="1"/>
  <c r="P534" i="1" s="1"/>
  <c r="P531" i="1"/>
  <c r="P532" i="1" s="1"/>
  <c r="P529" i="1"/>
  <c r="P530" i="1" s="1"/>
  <c r="P527" i="1"/>
  <c r="P528" i="1" s="1"/>
  <c r="P525" i="1"/>
  <c r="P526" i="1" s="1"/>
  <c r="P523" i="1"/>
  <c r="P524" i="1" s="1"/>
  <c r="P521" i="1"/>
  <c r="P522" i="1" s="1"/>
  <c r="P519" i="1"/>
  <c r="P520" i="1" s="1"/>
  <c r="P517" i="1"/>
  <c r="P518" i="1" s="1"/>
  <c r="P515" i="1"/>
  <c r="P516" i="1" s="1"/>
  <c r="P513" i="1"/>
  <c r="P514" i="1" s="1"/>
  <c r="P511" i="1"/>
  <c r="P512" i="1" s="1"/>
  <c r="P509" i="1"/>
  <c r="P510" i="1" s="1"/>
  <c r="P507" i="1"/>
  <c r="P508" i="1" s="1"/>
  <c r="P505" i="1"/>
  <c r="P506" i="1" s="1"/>
  <c r="P503" i="1"/>
  <c r="P504" i="1" s="1"/>
  <c r="P501" i="1"/>
  <c r="P502" i="1" s="1"/>
  <c r="P499" i="1"/>
  <c r="P500" i="1" s="1"/>
  <c r="P497" i="1"/>
  <c r="P498" i="1" s="1"/>
  <c r="P495" i="1"/>
  <c r="P496" i="1" s="1"/>
  <c r="P493" i="1"/>
  <c r="P494" i="1" s="1"/>
  <c r="P491" i="1"/>
  <c r="P492" i="1" s="1"/>
  <c r="P489" i="1"/>
  <c r="P490" i="1" s="1"/>
  <c r="P487" i="1"/>
  <c r="P488" i="1" s="1"/>
  <c r="P485" i="1"/>
  <c r="P486" i="1" s="1"/>
  <c r="P483" i="1"/>
  <c r="P484" i="1" s="1"/>
  <c r="P481" i="1"/>
  <c r="P482" i="1" s="1"/>
  <c r="P479" i="1"/>
  <c r="P480" i="1" s="1"/>
  <c r="P477" i="1"/>
  <c r="P478" i="1" s="1"/>
  <c r="P475" i="1"/>
  <c r="P476" i="1" s="1"/>
  <c r="P473" i="1"/>
  <c r="P474" i="1" s="1"/>
  <c r="P471" i="1"/>
  <c r="P472" i="1" s="1"/>
  <c r="P469" i="1"/>
  <c r="P470" i="1" s="1"/>
  <c r="P467" i="1"/>
  <c r="P468" i="1" s="1"/>
  <c r="P465" i="1"/>
  <c r="P466" i="1" s="1"/>
  <c r="P463" i="1"/>
  <c r="P464" i="1" s="1"/>
  <c r="P461" i="1"/>
  <c r="P462" i="1" s="1"/>
  <c r="P459" i="1"/>
  <c r="P460" i="1" s="1"/>
  <c r="P457" i="1"/>
  <c r="P458" i="1" s="1"/>
  <c r="P455" i="1"/>
  <c r="P456" i="1" s="1"/>
  <c r="P453" i="1"/>
  <c r="P454" i="1" s="1"/>
  <c r="P451" i="1"/>
  <c r="P452" i="1" s="1"/>
  <c r="P449" i="1"/>
  <c r="P450" i="1" s="1"/>
  <c r="P447" i="1"/>
  <c r="P448" i="1" s="1"/>
  <c r="P445" i="1"/>
  <c r="P446" i="1" s="1"/>
  <c r="P443" i="1"/>
  <c r="P444" i="1" s="1"/>
  <c r="P441" i="1"/>
  <c r="P442" i="1" s="1"/>
  <c r="P439" i="1"/>
  <c r="P440" i="1" s="1"/>
  <c r="P437" i="1"/>
  <c r="P438" i="1" s="1"/>
  <c r="P435" i="1"/>
  <c r="P436" i="1" s="1"/>
  <c r="P433" i="1"/>
  <c r="P434" i="1" s="1"/>
  <c r="P431" i="1"/>
  <c r="P432" i="1" s="1"/>
  <c r="P429" i="1"/>
  <c r="P430" i="1" s="1"/>
  <c r="P427" i="1"/>
  <c r="P428" i="1" s="1"/>
  <c r="P425" i="1"/>
  <c r="P426" i="1" s="1"/>
  <c r="P423" i="1"/>
  <c r="P424" i="1" s="1"/>
  <c r="P421" i="1"/>
  <c r="P422" i="1" s="1"/>
  <c r="P419" i="1"/>
  <c r="P420" i="1" s="1"/>
  <c r="P417" i="1"/>
  <c r="P418" i="1" s="1"/>
  <c r="P415" i="1"/>
  <c r="P416" i="1" s="1"/>
  <c r="P413" i="1"/>
  <c r="P414" i="1" s="1"/>
  <c r="P411" i="1"/>
  <c r="P412" i="1" s="1"/>
  <c r="P409" i="1"/>
  <c r="P410" i="1" s="1"/>
  <c r="P407" i="1"/>
  <c r="P408" i="1" s="1"/>
  <c r="P405" i="1"/>
  <c r="P406" i="1" s="1"/>
  <c r="P403" i="1"/>
  <c r="P404" i="1" s="1"/>
  <c r="P401" i="1"/>
  <c r="P402" i="1" s="1"/>
  <c r="P399" i="1"/>
  <c r="P400" i="1" s="1"/>
  <c r="P397" i="1"/>
  <c r="P398" i="1" s="1"/>
  <c r="P395" i="1"/>
  <c r="P396" i="1" s="1"/>
  <c r="P393" i="1"/>
  <c r="P394" i="1" s="1"/>
  <c r="P391" i="1"/>
  <c r="P392" i="1" s="1"/>
  <c r="P389" i="1"/>
  <c r="P390" i="1" s="1"/>
  <c r="P387" i="1"/>
  <c r="P388" i="1" s="1"/>
  <c r="P385" i="1"/>
  <c r="P386" i="1" s="1"/>
  <c r="P383" i="1"/>
  <c r="P384" i="1" s="1"/>
  <c r="P381" i="1"/>
  <c r="P382" i="1" s="1"/>
  <c r="P379" i="1"/>
  <c r="P380" i="1" s="1"/>
  <c r="P377" i="1"/>
  <c r="P378" i="1" s="1"/>
  <c r="P375" i="1"/>
  <c r="P376" i="1" s="1"/>
  <c r="P373" i="1"/>
  <c r="P374" i="1" s="1"/>
  <c r="P371" i="1"/>
  <c r="P372" i="1" s="1"/>
  <c r="P369" i="1"/>
  <c r="P370" i="1" s="1"/>
  <c r="P367" i="1"/>
  <c r="P368" i="1" s="1"/>
  <c r="P365" i="1"/>
  <c r="P366" i="1" s="1"/>
  <c r="P363" i="1"/>
  <c r="P364" i="1" s="1"/>
  <c r="P361" i="1"/>
  <c r="P362" i="1" s="1"/>
  <c r="P359" i="1"/>
  <c r="P360" i="1" s="1"/>
  <c r="P357" i="1"/>
  <c r="P358" i="1" s="1"/>
  <c r="P355" i="1"/>
  <c r="P356" i="1" s="1"/>
  <c r="P353" i="1"/>
  <c r="P354" i="1" s="1"/>
  <c r="P351" i="1"/>
  <c r="P352" i="1" s="1"/>
  <c r="P349" i="1"/>
  <c r="P350" i="1" s="1"/>
  <c r="P347" i="1"/>
  <c r="P348" i="1" s="1"/>
  <c r="P345" i="1"/>
  <c r="P346" i="1" s="1"/>
  <c r="P343" i="1"/>
  <c r="P344" i="1" s="1"/>
  <c r="P341" i="1"/>
  <c r="P342" i="1" s="1"/>
  <c r="P339" i="1"/>
  <c r="P340" i="1" s="1"/>
  <c r="P337" i="1"/>
  <c r="P338" i="1" s="1"/>
  <c r="P335" i="1"/>
  <c r="P336" i="1" s="1"/>
  <c r="P333" i="1"/>
  <c r="P334" i="1" s="1"/>
  <c r="P331" i="1"/>
  <c r="P332" i="1" s="1"/>
  <c r="P329" i="1"/>
  <c r="P330" i="1" s="1"/>
  <c r="P327" i="1"/>
  <c r="P328" i="1" s="1"/>
  <c r="P325" i="1"/>
  <c r="P326" i="1" s="1"/>
  <c r="P323" i="1"/>
  <c r="P324" i="1" s="1"/>
  <c r="P321" i="1"/>
  <c r="P322" i="1" s="1"/>
  <c r="P319" i="1"/>
  <c r="P320" i="1" s="1"/>
  <c r="P317" i="1"/>
  <c r="P318" i="1" s="1"/>
  <c r="P315" i="1"/>
  <c r="P316" i="1" s="1"/>
  <c r="P313" i="1"/>
  <c r="P314" i="1" s="1"/>
  <c r="P311" i="1"/>
  <c r="P312" i="1" s="1"/>
  <c r="P309" i="1"/>
  <c r="P310" i="1" s="1"/>
  <c r="P307" i="1"/>
  <c r="P308" i="1" s="1"/>
  <c r="P305" i="1"/>
  <c r="P306" i="1" s="1"/>
  <c r="P303" i="1"/>
  <c r="P304" i="1" s="1"/>
  <c r="P301" i="1"/>
  <c r="P302" i="1" s="1"/>
  <c r="P299" i="1"/>
  <c r="P300" i="1" s="1"/>
  <c r="P297" i="1"/>
  <c r="P298" i="1" s="1"/>
  <c r="P295" i="1"/>
  <c r="P296" i="1" s="1"/>
  <c r="P293" i="1"/>
  <c r="P294" i="1" s="1"/>
  <c r="P291" i="1"/>
  <c r="P292" i="1" s="1"/>
  <c r="P289" i="1"/>
  <c r="P290" i="1" s="1"/>
  <c r="P287" i="1"/>
  <c r="P288" i="1" s="1"/>
  <c r="P285" i="1"/>
  <c r="P286" i="1" s="1"/>
  <c r="P283" i="1"/>
  <c r="P284" i="1" s="1"/>
  <c r="P281" i="1"/>
  <c r="P282" i="1" s="1"/>
  <c r="P279" i="1"/>
  <c r="P280" i="1" s="1"/>
  <c r="P277" i="1"/>
  <c r="P278" i="1" s="1"/>
  <c r="P275" i="1"/>
  <c r="P276" i="1" s="1"/>
  <c r="P273" i="1"/>
  <c r="P274" i="1" s="1"/>
  <c r="P271" i="1"/>
  <c r="P272" i="1" s="1"/>
  <c r="P269" i="1"/>
  <c r="P270" i="1" s="1"/>
  <c r="P267" i="1"/>
  <c r="P268" i="1" s="1"/>
  <c r="P265" i="1"/>
  <c r="P266" i="1" s="1"/>
  <c r="P263" i="1"/>
  <c r="P264" i="1" s="1"/>
  <c r="P261" i="1"/>
  <c r="P262" i="1" s="1"/>
  <c r="P259" i="1"/>
  <c r="P260" i="1" s="1"/>
  <c r="P257" i="1"/>
  <c r="P258" i="1" s="1"/>
  <c r="P255" i="1"/>
  <c r="P256" i="1" s="1"/>
  <c r="P253" i="1"/>
  <c r="P254" i="1" s="1"/>
  <c r="P251" i="1"/>
  <c r="P252" i="1" s="1"/>
  <c r="P249" i="1"/>
  <c r="P250" i="1" s="1"/>
  <c r="P247" i="1"/>
  <c r="P248" i="1" s="1"/>
  <c r="P245" i="1"/>
  <c r="P246" i="1" s="1"/>
  <c r="P243" i="1"/>
  <c r="P244" i="1" s="1"/>
  <c r="P241" i="1"/>
  <c r="P242" i="1" s="1"/>
  <c r="P239" i="1"/>
  <c r="P240" i="1" s="1"/>
  <c r="P237" i="1"/>
  <c r="P238" i="1" s="1"/>
  <c r="P235" i="1"/>
  <c r="P236" i="1" s="1"/>
  <c r="P233" i="1"/>
  <c r="P234" i="1" s="1"/>
  <c r="P231" i="1"/>
  <c r="P232" i="1" s="1"/>
  <c r="P229" i="1"/>
  <c r="P230" i="1" s="1"/>
  <c r="P227" i="1"/>
  <c r="P228" i="1" s="1"/>
  <c r="P225" i="1"/>
  <c r="P226" i="1" s="1"/>
  <c r="P223" i="1"/>
  <c r="P224" i="1" s="1"/>
  <c r="P221" i="1"/>
  <c r="P222" i="1" s="1"/>
  <c r="P219" i="1"/>
  <c r="P220" i="1" s="1"/>
  <c r="P217" i="1"/>
  <c r="P218" i="1" s="1"/>
  <c r="P215" i="1"/>
  <c r="P216" i="1" s="1"/>
  <c r="P213" i="1"/>
  <c r="P214" i="1" s="1"/>
  <c r="P211" i="1"/>
  <c r="P212" i="1" s="1"/>
  <c r="P209" i="1"/>
  <c r="P210" i="1" s="1"/>
  <c r="P207" i="1"/>
  <c r="P208" i="1" s="1"/>
  <c r="P205" i="1"/>
  <c r="P206" i="1" s="1"/>
  <c r="P203" i="1"/>
  <c r="P204" i="1" s="1"/>
  <c r="P201" i="1"/>
  <c r="P202" i="1" s="1"/>
  <c r="P199" i="1"/>
  <c r="P200" i="1" s="1"/>
  <c r="P197" i="1"/>
  <c r="P198" i="1" s="1"/>
  <c r="P195" i="1"/>
  <c r="P196" i="1" s="1"/>
  <c r="P193" i="1"/>
  <c r="P194" i="1" s="1"/>
  <c r="P191" i="1"/>
  <c r="P192" i="1" s="1"/>
  <c r="P189" i="1"/>
  <c r="P190" i="1" s="1"/>
  <c r="P187" i="1"/>
  <c r="P188" i="1" s="1"/>
  <c r="P185" i="1"/>
  <c r="P186" i="1" s="1"/>
  <c r="P183" i="1"/>
  <c r="P184" i="1" s="1"/>
  <c r="P181" i="1"/>
  <c r="P182" i="1" s="1"/>
  <c r="P179" i="1"/>
  <c r="P180" i="1" s="1"/>
  <c r="P177" i="1"/>
  <c r="P178" i="1" s="1"/>
  <c r="P175" i="1"/>
  <c r="P176" i="1" s="1"/>
  <c r="P173" i="1"/>
  <c r="P174" i="1" s="1"/>
  <c r="P171" i="1"/>
  <c r="P172" i="1" s="1"/>
  <c r="P169" i="1"/>
  <c r="P170" i="1" s="1"/>
  <c r="P167" i="1"/>
  <c r="P168" i="1" s="1"/>
  <c r="P165" i="1"/>
  <c r="P166" i="1" s="1"/>
  <c r="P163" i="1"/>
  <c r="P164" i="1" s="1"/>
  <c r="P161" i="1"/>
  <c r="P162" i="1" s="1"/>
  <c r="P159" i="1"/>
  <c r="P160" i="1" s="1"/>
  <c r="P157" i="1"/>
  <c r="P158" i="1" s="1"/>
  <c r="P155" i="1"/>
  <c r="P156" i="1" s="1"/>
  <c r="P153" i="1"/>
  <c r="P154" i="1" s="1"/>
  <c r="P151" i="1"/>
  <c r="P152" i="1" s="1"/>
  <c r="P149" i="1"/>
  <c r="P150" i="1" s="1"/>
  <c r="P147" i="1"/>
  <c r="P148" i="1" s="1"/>
  <c r="P145" i="1"/>
  <c r="P146" i="1" s="1"/>
  <c r="P143" i="1"/>
  <c r="P144" i="1" s="1"/>
  <c r="P141" i="1"/>
  <c r="P142" i="1" s="1"/>
  <c r="P139" i="1"/>
  <c r="P140" i="1" s="1"/>
  <c r="P137" i="1"/>
  <c r="P138" i="1" s="1"/>
  <c r="P135" i="1"/>
  <c r="P136" i="1" s="1"/>
  <c r="P133" i="1"/>
  <c r="P134" i="1" s="1"/>
  <c r="P131" i="1"/>
  <c r="P132" i="1" s="1"/>
  <c r="P129" i="1"/>
  <c r="P130" i="1" s="1"/>
  <c r="P127" i="1"/>
  <c r="P128" i="1" s="1"/>
  <c r="P125" i="1"/>
  <c r="P126" i="1" s="1"/>
  <c r="P123" i="1"/>
  <c r="P124" i="1" s="1"/>
  <c r="P121" i="1"/>
  <c r="P122" i="1" s="1"/>
  <c r="P119" i="1"/>
  <c r="P120" i="1" s="1"/>
  <c r="P117" i="1"/>
  <c r="P118" i="1" s="1"/>
  <c r="P115" i="1"/>
  <c r="P116" i="1" s="1"/>
  <c r="P113" i="1"/>
  <c r="P114" i="1" s="1"/>
  <c r="P111" i="1"/>
  <c r="P112" i="1" s="1"/>
  <c r="P109" i="1"/>
  <c r="P110" i="1" s="1"/>
  <c r="P107" i="1"/>
  <c r="P108" i="1" s="1"/>
  <c r="P105" i="1"/>
  <c r="P106" i="1" s="1"/>
  <c r="P103" i="1"/>
  <c r="P104" i="1" s="1"/>
  <c r="P101" i="1"/>
  <c r="P102" i="1" s="1"/>
  <c r="P99" i="1"/>
  <c r="P100" i="1" s="1"/>
  <c r="P97" i="1"/>
  <c r="P98" i="1" s="1"/>
  <c r="P95" i="1"/>
  <c r="P96" i="1" s="1"/>
  <c r="P93" i="1"/>
  <c r="P94" i="1" s="1"/>
  <c r="P91" i="1"/>
  <c r="P92" i="1" s="1"/>
  <c r="P89" i="1"/>
  <c r="P90" i="1" s="1"/>
  <c r="P87" i="1"/>
  <c r="P88" i="1" s="1"/>
  <c r="P85" i="1"/>
  <c r="P86" i="1" s="1"/>
  <c r="P83" i="1"/>
  <c r="P84" i="1" s="1"/>
  <c r="P81" i="1"/>
  <c r="P82" i="1" s="1"/>
  <c r="P79" i="1"/>
  <c r="P80" i="1" s="1"/>
  <c r="P77" i="1"/>
  <c r="P78" i="1" s="1"/>
  <c r="P75" i="1"/>
  <c r="P76" i="1" s="1"/>
  <c r="P73" i="1"/>
  <c r="P74" i="1" s="1"/>
  <c r="P71" i="1"/>
  <c r="P72" i="1" s="1"/>
  <c r="P69" i="1"/>
  <c r="P70" i="1" s="1"/>
  <c r="P67" i="1"/>
  <c r="P68" i="1" s="1"/>
  <c r="P65" i="1"/>
  <c r="P66" i="1" s="1"/>
  <c r="P63" i="1"/>
  <c r="P64" i="1" s="1"/>
  <c r="P61" i="1"/>
  <c r="P62" i="1" s="1"/>
  <c r="P59" i="1"/>
  <c r="P60" i="1" s="1"/>
  <c r="P57" i="1"/>
  <c r="P58" i="1" s="1"/>
  <c r="P55" i="1"/>
  <c r="P56" i="1" s="1"/>
  <c r="P53" i="1"/>
  <c r="P54" i="1" s="1"/>
  <c r="P51" i="1"/>
  <c r="P52" i="1" s="1"/>
  <c r="P49" i="1"/>
  <c r="P50" i="1" s="1"/>
  <c r="P47" i="1"/>
  <c r="P48" i="1" s="1"/>
  <c r="P45" i="1"/>
  <c r="P46" i="1" s="1"/>
  <c r="P43" i="1"/>
  <c r="P44" i="1" s="1"/>
  <c r="P41" i="1"/>
  <c r="P42" i="1" s="1"/>
  <c r="P39" i="1"/>
  <c r="P40" i="1" s="1"/>
  <c r="P37" i="1"/>
  <c r="P38" i="1" s="1"/>
  <c r="P35" i="1"/>
  <c r="P36" i="1" s="1"/>
  <c r="P33" i="1"/>
  <c r="P34" i="1" s="1"/>
  <c r="P31" i="1"/>
  <c r="P32" i="1" s="1"/>
  <c r="P29" i="1"/>
  <c r="P30" i="1" s="1"/>
  <c r="P27" i="1"/>
  <c r="P28" i="1" s="1"/>
  <c r="P25" i="1"/>
  <c r="P26" i="1" s="1"/>
  <c r="P23" i="1"/>
  <c r="P24" i="1" s="1"/>
  <c r="P21" i="1"/>
  <c r="P22" i="1" s="1"/>
  <c r="P19" i="1"/>
  <c r="P20" i="1" s="1"/>
  <c r="P17" i="1"/>
  <c r="P18" i="1" s="1"/>
  <c r="P15" i="1"/>
  <c r="P16" i="1" s="1"/>
  <c r="P13" i="1"/>
  <c r="P14" i="1" s="1"/>
  <c r="P11" i="1"/>
  <c r="P12" i="1" s="1"/>
  <c r="P9" i="1"/>
  <c r="P10" i="1" s="1"/>
  <c r="P7" i="1"/>
  <c r="P8" i="1" s="1"/>
  <c r="P5" i="1"/>
  <c r="P6" i="1" s="1"/>
  <c r="S941" i="1"/>
  <c r="S942" i="1" s="1"/>
  <c r="S939" i="1"/>
  <c r="S940" i="1" s="1"/>
  <c r="S937" i="1"/>
  <c r="S938" i="1" s="1"/>
  <c r="S935" i="1"/>
  <c r="S936" i="1" s="1"/>
  <c r="S933" i="1"/>
  <c r="S934" i="1" s="1"/>
  <c r="S931" i="1"/>
  <c r="S932" i="1" s="1"/>
  <c r="S929" i="1"/>
  <c r="S930" i="1" s="1"/>
  <c r="S927" i="1"/>
  <c r="S928" i="1" s="1"/>
  <c r="S925" i="1"/>
  <c r="S926" i="1" s="1"/>
  <c r="S923" i="1"/>
  <c r="S924" i="1" s="1"/>
  <c r="S921" i="1"/>
  <c r="S922" i="1" s="1"/>
  <c r="S919" i="1"/>
  <c r="S920" i="1" s="1"/>
  <c r="S917" i="1"/>
  <c r="S918" i="1" s="1"/>
  <c r="S915" i="1"/>
  <c r="S916" i="1" s="1"/>
  <c r="S913" i="1"/>
  <c r="S914" i="1" s="1"/>
  <c r="S911" i="1"/>
  <c r="S912" i="1" s="1"/>
  <c r="S909" i="1"/>
  <c r="S910" i="1" s="1"/>
  <c r="S907" i="1"/>
  <c r="S908" i="1" s="1"/>
  <c r="S905" i="1"/>
  <c r="S906" i="1" s="1"/>
  <c r="S903" i="1"/>
  <c r="S904" i="1" s="1"/>
  <c r="S901" i="1"/>
  <c r="S902" i="1" s="1"/>
  <c r="S899" i="1"/>
  <c r="S900" i="1" s="1"/>
  <c r="S897" i="1"/>
  <c r="S898" i="1" s="1"/>
  <c r="S895" i="1"/>
  <c r="S896" i="1" s="1"/>
  <c r="S893" i="1"/>
  <c r="S894" i="1" s="1"/>
  <c r="S891" i="1"/>
  <c r="S892" i="1" s="1"/>
  <c r="S889" i="1"/>
  <c r="S890" i="1" s="1"/>
  <c r="S887" i="1"/>
  <c r="S888" i="1" s="1"/>
  <c r="S885" i="1"/>
  <c r="S886" i="1" s="1"/>
  <c r="S883" i="1"/>
  <c r="S884" i="1" s="1"/>
  <c r="S881" i="1"/>
  <c r="S882" i="1" s="1"/>
  <c r="S879" i="1"/>
  <c r="S880" i="1" s="1"/>
  <c r="S877" i="1"/>
  <c r="S878" i="1" s="1"/>
  <c r="S875" i="1"/>
  <c r="S876" i="1" s="1"/>
  <c r="S873" i="1"/>
  <c r="S874" i="1" s="1"/>
  <c r="S871" i="1"/>
  <c r="S872" i="1" s="1"/>
  <c r="S869" i="1"/>
  <c r="S870" i="1" s="1"/>
  <c r="S867" i="1"/>
  <c r="S868" i="1" s="1"/>
  <c r="S865" i="1"/>
  <c r="S866" i="1" s="1"/>
  <c r="S863" i="1"/>
  <c r="S864" i="1" s="1"/>
  <c r="S861" i="1"/>
  <c r="S862" i="1" s="1"/>
  <c r="S859" i="1"/>
  <c r="S860" i="1" s="1"/>
  <c r="S857" i="1"/>
  <c r="S858" i="1" s="1"/>
  <c r="S855" i="1"/>
  <c r="S856" i="1" s="1"/>
  <c r="S853" i="1"/>
  <c r="S854" i="1" s="1"/>
  <c r="S851" i="1"/>
  <c r="S852" i="1" s="1"/>
  <c r="S849" i="1"/>
  <c r="S850" i="1" s="1"/>
  <c r="S847" i="1"/>
  <c r="S848" i="1" s="1"/>
  <c r="S845" i="1"/>
  <c r="S846" i="1" s="1"/>
  <c r="S843" i="1"/>
  <c r="S844" i="1" s="1"/>
  <c r="S841" i="1"/>
  <c r="S842" i="1" s="1"/>
  <c r="S839" i="1"/>
  <c r="S840" i="1" s="1"/>
  <c r="S837" i="1"/>
  <c r="S838" i="1" s="1"/>
  <c r="S835" i="1"/>
  <c r="S836" i="1" s="1"/>
  <c r="S833" i="1"/>
  <c r="S834" i="1" s="1"/>
  <c r="S831" i="1"/>
  <c r="S832" i="1" s="1"/>
  <c r="S829" i="1"/>
  <c r="S830" i="1" s="1"/>
  <c r="S827" i="1"/>
  <c r="S828" i="1" s="1"/>
  <c r="S825" i="1"/>
  <c r="S826" i="1" s="1"/>
  <c r="S823" i="1"/>
  <c r="S824" i="1" s="1"/>
  <c r="S821" i="1"/>
  <c r="S822" i="1" s="1"/>
  <c r="S819" i="1"/>
  <c r="S820" i="1" s="1"/>
  <c r="S817" i="1"/>
  <c r="S818" i="1" s="1"/>
  <c r="S815" i="1"/>
  <c r="S816" i="1" s="1"/>
  <c r="S813" i="1"/>
  <c r="S814" i="1" s="1"/>
  <c r="S811" i="1"/>
  <c r="S812" i="1" s="1"/>
  <c r="S809" i="1"/>
  <c r="S810" i="1" s="1"/>
  <c r="S807" i="1"/>
  <c r="S808" i="1" s="1"/>
  <c r="S805" i="1"/>
  <c r="S806" i="1" s="1"/>
  <c r="S803" i="1"/>
  <c r="S804" i="1" s="1"/>
  <c r="S801" i="1"/>
  <c r="S802" i="1" s="1"/>
  <c r="S799" i="1"/>
  <c r="S800" i="1" s="1"/>
  <c r="S797" i="1"/>
  <c r="S798" i="1" s="1"/>
  <c r="S795" i="1"/>
  <c r="S796" i="1" s="1"/>
  <c r="S793" i="1"/>
  <c r="S794" i="1" s="1"/>
  <c r="S791" i="1"/>
  <c r="S792" i="1" s="1"/>
  <c r="S789" i="1"/>
  <c r="S790" i="1" s="1"/>
  <c r="S787" i="1"/>
  <c r="S788" i="1" s="1"/>
  <c r="S785" i="1"/>
  <c r="S786" i="1" s="1"/>
  <c r="S783" i="1"/>
  <c r="S784" i="1" s="1"/>
  <c r="S781" i="1"/>
  <c r="S782" i="1" s="1"/>
  <c r="S779" i="1"/>
  <c r="S780" i="1" s="1"/>
  <c r="S777" i="1"/>
  <c r="S778" i="1" s="1"/>
  <c r="S775" i="1"/>
  <c r="S776" i="1" s="1"/>
  <c r="S773" i="1"/>
  <c r="S774" i="1" s="1"/>
  <c r="S771" i="1"/>
  <c r="S772" i="1" s="1"/>
  <c r="S769" i="1"/>
  <c r="S770" i="1" s="1"/>
  <c r="S767" i="1"/>
  <c r="S768" i="1" s="1"/>
  <c r="S765" i="1"/>
  <c r="S766" i="1" s="1"/>
  <c r="S763" i="1"/>
  <c r="S764" i="1" s="1"/>
  <c r="S761" i="1"/>
  <c r="S762" i="1" s="1"/>
  <c r="S759" i="1"/>
  <c r="S760" i="1" s="1"/>
  <c r="S757" i="1"/>
  <c r="S758" i="1" s="1"/>
  <c r="S755" i="1"/>
  <c r="S756" i="1" s="1"/>
  <c r="S753" i="1"/>
  <c r="S754" i="1" s="1"/>
  <c r="S751" i="1"/>
  <c r="S752" i="1" s="1"/>
  <c r="S749" i="1"/>
  <c r="S750" i="1" s="1"/>
  <c r="S747" i="1"/>
  <c r="S748" i="1" s="1"/>
  <c r="S745" i="1"/>
  <c r="S746" i="1" s="1"/>
  <c r="S743" i="1"/>
  <c r="S744" i="1" s="1"/>
  <c r="S741" i="1"/>
  <c r="S742" i="1" s="1"/>
  <c r="S739" i="1"/>
  <c r="S740" i="1" s="1"/>
  <c r="S737" i="1"/>
  <c r="S738" i="1" s="1"/>
  <c r="S735" i="1"/>
  <c r="S736" i="1" s="1"/>
  <c r="S733" i="1"/>
  <c r="S734" i="1" s="1"/>
  <c r="S731" i="1"/>
  <c r="S732" i="1" s="1"/>
  <c r="S729" i="1"/>
  <c r="S730" i="1" s="1"/>
  <c r="S727" i="1"/>
  <c r="S728" i="1" s="1"/>
  <c r="S725" i="1"/>
  <c r="S726" i="1" s="1"/>
  <c r="S723" i="1"/>
  <c r="S724" i="1" s="1"/>
  <c r="S721" i="1"/>
  <c r="S722" i="1" s="1"/>
  <c r="S719" i="1"/>
  <c r="S720" i="1" s="1"/>
  <c r="S717" i="1"/>
  <c r="S718" i="1" s="1"/>
  <c r="S715" i="1"/>
  <c r="S716" i="1" s="1"/>
  <c r="S713" i="1"/>
  <c r="S714" i="1" s="1"/>
  <c r="S711" i="1"/>
  <c r="S712" i="1" s="1"/>
  <c r="S709" i="1"/>
  <c r="S710" i="1" s="1"/>
  <c r="S707" i="1"/>
  <c r="S708" i="1" s="1"/>
  <c r="S705" i="1"/>
  <c r="S706" i="1" s="1"/>
  <c r="S703" i="1"/>
  <c r="S704" i="1" s="1"/>
  <c r="S701" i="1"/>
  <c r="S702" i="1" s="1"/>
  <c r="S699" i="1"/>
  <c r="S700" i="1" s="1"/>
  <c r="S697" i="1"/>
  <c r="S698" i="1" s="1"/>
  <c r="S695" i="1"/>
  <c r="S696" i="1" s="1"/>
  <c r="S693" i="1"/>
  <c r="S694" i="1" s="1"/>
  <c r="S691" i="1"/>
  <c r="S692" i="1" s="1"/>
  <c r="S689" i="1"/>
  <c r="S690" i="1" s="1"/>
  <c r="S687" i="1"/>
  <c r="S688" i="1" s="1"/>
  <c r="S685" i="1"/>
  <c r="S686" i="1" s="1"/>
  <c r="S683" i="1"/>
  <c r="S684" i="1" s="1"/>
  <c r="S681" i="1"/>
  <c r="S682" i="1" s="1"/>
  <c r="S679" i="1"/>
  <c r="S680" i="1" s="1"/>
  <c r="S677" i="1"/>
  <c r="S678" i="1" s="1"/>
  <c r="S675" i="1"/>
  <c r="S676" i="1" s="1"/>
  <c r="S673" i="1"/>
  <c r="S674" i="1" s="1"/>
  <c r="S671" i="1"/>
  <c r="S672" i="1" s="1"/>
  <c r="S669" i="1"/>
  <c r="S670" i="1" s="1"/>
  <c r="S667" i="1"/>
  <c r="S668" i="1" s="1"/>
  <c r="S665" i="1"/>
  <c r="S666" i="1" s="1"/>
  <c r="S663" i="1"/>
  <c r="S664" i="1" s="1"/>
  <c r="S661" i="1"/>
  <c r="S662" i="1" s="1"/>
  <c r="S659" i="1"/>
  <c r="S660" i="1" s="1"/>
  <c r="S657" i="1"/>
  <c r="S658" i="1" s="1"/>
  <c r="S655" i="1"/>
  <c r="S656" i="1" s="1"/>
  <c r="S653" i="1"/>
  <c r="S654" i="1" s="1"/>
  <c r="S651" i="1"/>
  <c r="S652" i="1" s="1"/>
  <c r="S649" i="1"/>
  <c r="S650" i="1" s="1"/>
  <c r="S647" i="1"/>
  <c r="S648" i="1" s="1"/>
  <c r="S645" i="1"/>
  <c r="S646" i="1" s="1"/>
  <c r="S643" i="1"/>
  <c r="S644" i="1" s="1"/>
  <c r="S641" i="1"/>
  <c r="S642" i="1" s="1"/>
  <c r="S639" i="1"/>
  <c r="S640" i="1" s="1"/>
  <c r="S637" i="1"/>
  <c r="S638" i="1" s="1"/>
  <c r="S635" i="1"/>
  <c r="S636" i="1" s="1"/>
  <c r="S633" i="1"/>
  <c r="S634" i="1" s="1"/>
  <c r="S631" i="1"/>
  <c r="S632" i="1" s="1"/>
  <c r="S629" i="1"/>
  <c r="S630" i="1" s="1"/>
  <c r="S627" i="1"/>
  <c r="S628" i="1" s="1"/>
  <c r="S625" i="1"/>
  <c r="S626" i="1" s="1"/>
  <c r="S623" i="1"/>
  <c r="S624" i="1" s="1"/>
  <c r="S621" i="1"/>
  <c r="S622" i="1" s="1"/>
  <c r="S619" i="1"/>
  <c r="S620" i="1" s="1"/>
  <c r="S617" i="1"/>
  <c r="S618" i="1" s="1"/>
  <c r="S615" i="1"/>
  <c r="S616" i="1" s="1"/>
  <c r="S613" i="1"/>
  <c r="S614" i="1" s="1"/>
  <c r="S611" i="1"/>
  <c r="S612" i="1" s="1"/>
  <c r="S609" i="1"/>
  <c r="S610" i="1" s="1"/>
  <c r="S607" i="1"/>
  <c r="S608" i="1" s="1"/>
  <c r="S605" i="1"/>
  <c r="S606" i="1" s="1"/>
  <c r="S603" i="1"/>
  <c r="S604" i="1" s="1"/>
  <c r="S601" i="1"/>
  <c r="S602" i="1" s="1"/>
  <c r="S599" i="1"/>
  <c r="S600" i="1" s="1"/>
  <c r="S597" i="1"/>
  <c r="S598" i="1" s="1"/>
  <c r="S595" i="1"/>
  <c r="S596" i="1" s="1"/>
  <c r="S593" i="1"/>
  <c r="S594" i="1" s="1"/>
  <c r="S591" i="1"/>
  <c r="S592" i="1" s="1"/>
  <c r="S589" i="1"/>
  <c r="S590" i="1" s="1"/>
  <c r="S587" i="1"/>
  <c r="S588" i="1" s="1"/>
  <c r="S585" i="1"/>
  <c r="S586" i="1" s="1"/>
  <c r="S583" i="1"/>
  <c r="S584" i="1" s="1"/>
  <c r="S581" i="1"/>
  <c r="S582" i="1" s="1"/>
  <c r="S579" i="1"/>
  <c r="S580" i="1" s="1"/>
  <c r="S577" i="1"/>
  <c r="S578" i="1" s="1"/>
  <c r="S575" i="1"/>
  <c r="S576" i="1" s="1"/>
  <c r="S573" i="1"/>
  <c r="S574" i="1" s="1"/>
  <c r="S571" i="1"/>
  <c r="S572" i="1" s="1"/>
  <c r="S569" i="1"/>
  <c r="S570" i="1" s="1"/>
  <c r="S567" i="1"/>
  <c r="S568" i="1" s="1"/>
  <c r="S565" i="1"/>
  <c r="S566" i="1" s="1"/>
  <c r="S563" i="1"/>
  <c r="S564" i="1" s="1"/>
  <c r="S561" i="1"/>
  <c r="S562" i="1" s="1"/>
  <c r="S559" i="1"/>
  <c r="S560" i="1" s="1"/>
  <c r="S557" i="1"/>
  <c r="S558" i="1" s="1"/>
  <c r="S555" i="1"/>
  <c r="S556" i="1" s="1"/>
  <c r="S553" i="1"/>
  <c r="S554" i="1" s="1"/>
  <c r="S551" i="1"/>
  <c r="S552" i="1" s="1"/>
  <c r="S549" i="1"/>
  <c r="S550" i="1" s="1"/>
  <c r="S547" i="1"/>
  <c r="S548" i="1" s="1"/>
  <c r="S545" i="1"/>
  <c r="S546" i="1" s="1"/>
  <c r="S543" i="1"/>
  <c r="S544" i="1" s="1"/>
  <c r="S541" i="1"/>
  <c r="S542" i="1" s="1"/>
  <c r="S539" i="1"/>
  <c r="S540" i="1" s="1"/>
  <c r="S537" i="1"/>
  <c r="S538" i="1" s="1"/>
  <c r="S535" i="1"/>
  <c r="S536" i="1" s="1"/>
  <c r="S533" i="1"/>
  <c r="S534" i="1" s="1"/>
  <c r="S531" i="1"/>
  <c r="S532" i="1" s="1"/>
  <c r="S529" i="1"/>
  <c r="S530" i="1" s="1"/>
  <c r="S527" i="1"/>
  <c r="S528" i="1" s="1"/>
  <c r="S525" i="1"/>
  <c r="S526" i="1" s="1"/>
  <c r="S523" i="1"/>
  <c r="S524" i="1" s="1"/>
  <c r="S521" i="1"/>
  <c r="S522" i="1" s="1"/>
  <c r="S519" i="1"/>
  <c r="S520" i="1" s="1"/>
  <c r="S517" i="1"/>
  <c r="S518" i="1" s="1"/>
  <c r="S515" i="1"/>
  <c r="S516" i="1" s="1"/>
  <c r="S513" i="1"/>
  <c r="S514" i="1" s="1"/>
  <c r="S511" i="1"/>
  <c r="S512" i="1" s="1"/>
  <c r="S509" i="1"/>
  <c r="S510" i="1" s="1"/>
  <c r="S507" i="1"/>
  <c r="S508" i="1" s="1"/>
  <c r="S505" i="1"/>
  <c r="S506" i="1" s="1"/>
  <c r="S503" i="1"/>
  <c r="S504" i="1" s="1"/>
  <c r="S501" i="1"/>
  <c r="S502" i="1" s="1"/>
  <c r="S499" i="1"/>
  <c r="S500" i="1" s="1"/>
  <c r="S497" i="1"/>
  <c r="S498" i="1" s="1"/>
  <c r="S495" i="1"/>
  <c r="S496" i="1" s="1"/>
  <c r="S493" i="1"/>
  <c r="S494" i="1" s="1"/>
  <c r="S491" i="1"/>
  <c r="S492" i="1" s="1"/>
  <c r="S489" i="1"/>
  <c r="S490" i="1" s="1"/>
  <c r="S487" i="1"/>
  <c r="S488" i="1" s="1"/>
  <c r="S485" i="1"/>
  <c r="S486" i="1" s="1"/>
  <c r="S483" i="1"/>
  <c r="S484" i="1" s="1"/>
  <c r="S481" i="1"/>
  <c r="S482" i="1" s="1"/>
  <c r="S479" i="1"/>
  <c r="S480" i="1" s="1"/>
  <c r="S477" i="1"/>
  <c r="S478" i="1" s="1"/>
  <c r="S475" i="1"/>
  <c r="S476" i="1" s="1"/>
  <c r="S473" i="1"/>
  <c r="S474" i="1" s="1"/>
  <c r="S471" i="1"/>
  <c r="S472" i="1" s="1"/>
  <c r="S469" i="1"/>
  <c r="S470" i="1" s="1"/>
  <c r="S467" i="1"/>
  <c r="S468" i="1" s="1"/>
  <c r="S465" i="1"/>
  <c r="S466" i="1" s="1"/>
  <c r="S463" i="1"/>
  <c r="S464" i="1" s="1"/>
  <c r="S461" i="1"/>
  <c r="S462" i="1" s="1"/>
  <c r="S459" i="1"/>
  <c r="S460" i="1" s="1"/>
  <c r="S457" i="1"/>
  <c r="S458" i="1" s="1"/>
  <c r="S455" i="1"/>
  <c r="S456" i="1" s="1"/>
  <c r="S453" i="1"/>
  <c r="S454" i="1" s="1"/>
  <c r="S451" i="1"/>
  <c r="S452" i="1" s="1"/>
  <c r="S449" i="1"/>
  <c r="S450" i="1" s="1"/>
  <c r="S447" i="1"/>
  <c r="S448" i="1" s="1"/>
  <c r="S445" i="1"/>
  <c r="S446" i="1" s="1"/>
  <c r="S443" i="1"/>
  <c r="S444" i="1" s="1"/>
  <c r="S441" i="1"/>
  <c r="S442" i="1" s="1"/>
  <c r="S439" i="1"/>
  <c r="S440" i="1" s="1"/>
  <c r="S437" i="1"/>
  <c r="S438" i="1" s="1"/>
  <c r="S435" i="1"/>
  <c r="S436" i="1" s="1"/>
  <c r="S433" i="1"/>
  <c r="S434" i="1" s="1"/>
  <c r="S431" i="1"/>
  <c r="S432" i="1" s="1"/>
  <c r="S429" i="1"/>
  <c r="S430" i="1" s="1"/>
  <c r="S427" i="1"/>
  <c r="S428" i="1" s="1"/>
  <c r="S425" i="1"/>
  <c r="S426" i="1" s="1"/>
  <c r="S423" i="1"/>
  <c r="S424" i="1" s="1"/>
  <c r="S421" i="1"/>
  <c r="S422" i="1" s="1"/>
  <c r="S419" i="1"/>
  <c r="S420" i="1" s="1"/>
  <c r="S417" i="1"/>
  <c r="S418" i="1" s="1"/>
  <c r="S415" i="1"/>
  <c r="S416" i="1" s="1"/>
  <c r="S413" i="1"/>
  <c r="S414" i="1" s="1"/>
  <c r="S411" i="1"/>
  <c r="S412" i="1" s="1"/>
  <c r="S409" i="1"/>
  <c r="S410" i="1" s="1"/>
  <c r="S407" i="1"/>
  <c r="S408" i="1" s="1"/>
  <c r="S405" i="1"/>
  <c r="S406" i="1" s="1"/>
  <c r="S403" i="1"/>
  <c r="S404" i="1" s="1"/>
  <c r="S401" i="1"/>
  <c r="S402" i="1" s="1"/>
  <c r="S399" i="1"/>
  <c r="S400" i="1" s="1"/>
  <c r="S397" i="1"/>
  <c r="S398" i="1" s="1"/>
  <c r="S395" i="1"/>
  <c r="S396" i="1" s="1"/>
  <c r="S393" i="1"/>
  <c r="S394" i="1" s="1"/>
  <c r="S391" i="1"/>
  <c r="S392" i="1" s="1"/>
  <c r="S389" i="1"/>
  <c r="S390" i="1" s="1"/>
  <c r="S387" i="1"/>
  <c r="S388" i="1" s="1"/>
  <c r="S385" i="1"/>
  <c r="S386" i="1" s="1"/>
  <c r="S383" i="1"/>
  <c r="S384" i="1" s="1"/>
  <c r="S381" i="1"/>
  <c r="S382" i="1" s="1"/>
  <c r="S379" i="1"/>
  <c r="S380" i="1" s="1"/>
  <c r="S377" i="1"/>
  <c r="S378" i="1" s="1"/>
  <c r="S375" i="1"/>
  <c r="S376" i="1" s="1"/>
  <c r="S373" i="1"/>
  <c r="S374" i="1" s="1"/>
  <c r="S371" i="1"/>
  <c r="S372" i="1" s="1"/>
  <c r="S369" i="1"/>
  <c r="S370" i="1" s="1"/>
  <c r="S367" i="1"/>
  <c r="S368" i="1" s="1"/>
  <c r="S365" i="1"/>
  <c r="S366" i="1" s="1"/>
  <c r="S363" i="1"/>
  <c r="S364" i="1" s="1"/>
  <c r="S361" i="1"/>
  <c r="S362" i="1" s="1"/>
  <c r="S359" i="1"/>
  <c r="S360" i="1" s="1"/>
  <c r="S357" i="1"/>
  <c r="S358" i="1" s="1"/>
  <c r="S355" i="1"/>
  <c r="S356" i="1" s="1"/>
  <c r="S353" i="1"/>
  <c r="S354" i="1" s="1"/>
  <c r="S351" i="1"/>
  <c r="S352" i="1" s="1"/>
  <c r="S349" i="1"/>
  <c r="S350" i="1" s="1"/>
  <c r="S347" i="1"/>
  <c r="S348" i="1" s="1"/>
  <c r="S345" i="1"/>
  <c r="S346" i="1" s="1"/>
  <c r="S343" i="1"/>
  <c r="S344" i="1" s="1"/>
  <c r="S341" i="1"/>
  <c r="S342" i="1" s="1"/>
  <c r="S339" i="1"/>
  <c r="S340" i="1" s="1"/>
  <c r="S337" i="1"/>
  <c r="S338" i="1" s="1"/>
  <c r="S335" i="1"/>
  <c r="S336" i="1" s="1"/>
  <c r="S333" i="1"/>
  <c r="S334" i="1" s="1"/>
  <c r="S331" i="1"/>
  <c r="S332" i="1" s="1"/>
  <c r="S329" i="1"/>
  <c r="S330" i="1" s="1"/>
  <c r="S327" i="1"/>
  <c r="S328" i="1" s="1"/>
  <c r="S325" i="1"/>
  <c r="S326" i="1" s="1"/>
  <c r="S323" i="1"/>
  <c r="S324" i="1" s="1"/>
  <c r="S321" i="1"/>
  <c r="S322" i="1" s="1"/>
  <c r="S319" i="1"/>
  <c r="S320" i="1" s="1"/>
  <c r="S317" i="1"/>
  <c r="S318" i="1" s="1"/>
  <c r="S315" i="1"/>
  <c r="S316" i="1" s="1"/>
  <c r="S313" i="1"/>
  <c r="S314" i="1" s="1"/>
  <c r="S311" i="1"/>
  <c r="S312" i="1" s="1"/>
  <c r="S309" i="1"/>
  <c r="S310" i="1" s="1"/>
  <c r="S307" i="1"/>
  <c r="S308" i="1" s="1"/>
  <c r="S305" i="1"/>
  <c r="S306" i="1" s="1"/>
  <c r="S303" i="1"/>
  <c r="S304" i="1" s="1"/>
  <c r="S301" i="1"/>
  <c r="S302" i="1" s="1"/>
  <c r="S299" i="1"/>
  <c r="S300" i="1" s="1"/>
  <c r="S297" i="1"/>
  <c r="S298" i="1" s="1"/>
  <c r="S295" i="1"/>
  <c r="S296" i="1" s="1"/>
  <c r="S293" i="1"/>
  <c r="S294" i="1" s="1"/>
  <c r="S291" i="1"/>
  <c r="S292" i="1" s="1"/>
  <c r="S289" i="1"/>
  <c r="S290" i="1" s="1"/>
  <c r="S287" i="1"/>
  <c r="S288" i="1" s="1"/>
  <c r="S285" i="1"/>
  <c r="S286" i="1" s="1"/>
  <c r="S283" i="1"/>
  <c r="S284" i="1" s="1"/>
  <c r="S281" i="1"/>
  <c r="S282" i="1" s="1"/>
  <c r="S279" i="1"/>
  <c r="S280" i="1" s="1"/>
  <c r="S277" i="1"/>
  <c r="S278" i="1" s="1"/>
  <c r="S275" i="1"/>
  <c r="S276" i="1" s="1"/>
  <c r="S273" i="1"/>
  <c r="S274" i="1" s="1"/>
  <c r="S271" i="1"/>
  <c r="S272" i="1" s="1"/>
  <c r="S269" i="1"/>
  <c r="S270" i="1" s="1"/>
  <c r="S267" i="1"/>
  <c r="S268" i="1" s="1"/>
  <c r="S265" i="1"/>
  <c r="S266" i="1" s="1"/>
  <c r="S263" i="1"/>
  <c r="S264" i="1" s="1"/>
  <c r="S261" i="1"/>
  <c r="S262" i="1" s="1"/>
  <c r="S259" i="1"/>
  <c r="S260" i="1" s="1"/>
  <c r="S257" i="1"/>
  <c r="S258" i="1" s="1"/>
  <c r="S255" i="1"/>
  <c r="S256" i="1" s="1"/>
  <c r="S253" i="1"/>
  <c r="S254" i="1" s="1"/>
  <c r="S251" i="1"/>
  <c r="S252" i="1" s="1"/>
  <c r="S249" i="1"/>
  <c r="S250" i="1" s="1"/>
  <c r="S247" i="1"/>
  <c r="S248" i="1" s="1"/>
  <c r="S245" i="1"/>
  <c r="S246" i="1" s="1"/>
  <c r="S243" i="1"/>
  <c r="S244" i="1" s="1"/>
  <c r="S241" i="1"/>
  <c r="S242" i="1" s="1"/>
  <c r="S239" i="1"/>
  <c r="S240" i="1" s="1"/>
  <c r="S237" i="1"/>
  <c r="S238" i="1" s="1"/>
  <c r="S235" i="1"/>
  <c r="S236" i="1" s="1"/>
  <c r="S233" i="1"/>
  <c r="S234" i="1" s="1"/>
  <c r="S231" i="1"/>
  <c r="S232" i="1" s="1"/>
  <c r="S229" i="1"/>
  <c r="S230" i="1" s="1"/>
  <c r="S227" i="1"/>
  <c r="S228" i="1" s="1"/>
  <c r="S225" i="1"/>
  <c r="S226" i="1" s="1"/>
  <c r="S223" i="1"/>
  <c r="S224" i="1" s="1"/>
  <c r="S221" i="1"/>
  <c r="S222" i="1" s="1"/>
  <c r="S219" i="1"/>
  <c r="S220" i="1" s="1"/>
  <c r="S217" i="1"/>
  <c r="S218" i="1" s="1"/>
  <c r="S215" i="1"/>
  <c r="S216" i="1" s="1"/>
  <c r="S213" i="1"/>
  <c r="S214" i="1" s="1"/>
  <c r="S211" i="1"/>
  <c r="S212" i="1" s="1"/>
  <c r="S209" i="1"/>
  <c r="S210" i="1" s="1"/>
  <c r="S207" i="1"/>
  <c r="S208" i="1" s="1"/>
  <c r="S205" i="1"/>
  <c r="S206" i="1" s="1"/>
  <c r="S203" i="1"/>
  <c r="S204" i="1" s="1"/>
  <c r="S201" i="1"/>
  <c r="S202" i="1" s="1"/>
  <c r="S199" i="1"/>
  <c r="S200" i="1" s="1"/>
  <c r="S197" i="1"/>
  <c r="S198" i="1" s="1"/>
  <c r="S195" i="1"/>
  <c r="S196" i="1" s="1"/>
  <c r="S193" i="1"/>
  <c r="S194" i="1" s="1"/>
  <c r="S191" i="1"/>
  <c r="S192" i="1" s="1"/>
  <c r="S189" i="1"/>
  <c r="S190" i="1" s="1"/>
  <c r="S187" i="1"/>
  <c r="S188" i="1" s="1"/>
  <c r="S185" i="1"/>
  <c r="S186" i="1" s="1"/>
  <c r="S183" i="1"/>
  <c r="S184" i="1" s="1"/>
  <c r="S181" i="1"/>
  <c r="S182" i="1" s="1"/>
  <c r="S179" i="1"/>
  <c r="S180" i="1" s="1"/>
  <c r="S177" i="1"/>
  <c r="S178" i="1" s="1"/>
  <c r="S175" i="1"/>
  <c r="S176" i="1" s="1"/>
  <c r="S173" i="1"/>
  <c r="S174" i="1" s="1"/>
  <c r="S171" i="1"/>
  <c r="S172" i="1" s="1"/>
  <c r="S169" i="1"/>
  <c r="S170" i="1" s="1"/>
  <c r="S167" i="1"/>
  <c r="S168" i="1" s="1"/>
  <c r="S165" i="1"/>
  <c r="S166" i="1" s="1"/>
  <c r="S163" i="1"/>
  <c r="S164" i="1" s="1"/>
  <c r="S161" i="1"/>
  <c r="S162" i="1" s="1"/>
  <c r="S159" i="1"/>
  <c r="S160" i="1" s="1"/>
  <c r="S157" i="1"/>
  <c r="S158" i="1" s="1"/>
  <c r="S155" i="1"/>
  <c r="S156" i="1" s="1"/>
  <c r="S153" i="1"/>
  <c r="S154" i="1" s="1"/>
  <c r="S151" i="1"/>
  <c r="S152" i="1" s="1"/>
  <c r="S149" i="1"/>
  <c r="S150" i="1" s="1"/>
  <c r="S147" i="1"/>
  <c r="S148" i="1" s="1"/>
  <c r="S145" i="1"/>
  <c r="S146" i="1" s="1"/>
  <c r="S143" i="1"/>
  <c r="S144" i="1" s="1"/>
  <c r="S141" i="1"/>
  <c r="S142" i="1" s="1"/>
  <c r="S139" i="1"/>
  <c r="S140" i="1" s="1"/>
  <c r="S137" i="1"/>
  <c r="S138" i="1" s="1"/>
  <c r="S135" i="1"/>
  <c r="S136" i="1" s="1"/>
  <c r="S133" i="1"/>
  <c r="S134" i="1" s="1"/>
  <c r="S131" i="1"/>
  <c r="S132" i="1" s="1"/>
  <c r="S129" i="1"/>
  <c r="S130" i="1" s="1"/>
  <c r="S127" i="1"/>
  <c r="S128" i="1" s="1"/>
  <c r="S125" i="1"/>
  <c r="S126" i="1" s="1"/>
  <c r="S123" i="1"/>
  <c r="S124" i="1" s="1"/>
  <c r="S121" i="1"/>
  <c r="S122" i="1" s="1"/>
  <c r="S119" i="1"/>
  <c r="S120" i="1" s="1"/>
  <c r="S117" i="1"/>
  <c r="S118" i="1" s="1"/>
  <c r="S115" i="1"/>
  <c r="S116" i="1" s="1"/>
  <c r="S113" i="1"/>
  <c r="S114" i="1" s="1"/>
  <c r="S111" i="1"/>
  <c r="S112" i="1" s="1"/>
  <c r="S109" i="1"/>
  <c r="S110" i="1" s="1"/>
  <c r="S107" i="1"/>
  <c r="S108" i="1" s="1"/>
  <c r="S105" i="1"/>
  <c r="S106" i="1" s="1"/>
  <c r="S103" i="1"/>
  <c r="S104" i="1" s="1"/>
  <c r="S101" i="1"/>
  <c r="S102" i="1" s="1"/>
  <c r="S99" i="1"/>
  <c r="S100" i="1" s="1"/>
  <c r="S97" i="1"/>
  <c r="S98" i="1" s="1"/>
  <c r="S95" i="1"/>
  <c r="S96" i="1" s="1"/>
  <c r="S93" i="1"/>
  <c r="S94" i="1" s="1"/>
  <c r="S91" i="1"/>
  <c r="S92" i="1" s="1"/>
  <c r="S89" i="1"/>
  <c r="S90" i="1" s="1"/>
  <c r="S87" i="1"/>
  <c r="S88" i="1" s="1"/>
  <c r="S85" i="1"/>
  <c r="S86" i="1" s="1"/>
  <c r="S83" i="1"/>
  <c r="S84" i="1" s="1"/>
  <c r="S81" i="1"/>
  <c r="S82" i="1" s="1"/>
  <c r="S79" i="1"/>
  <c r="S80" i="1" s="1"/>
  <c r="S77" i="1"/>
  <c r="S78" i="1" s="1"/>
  <c r="S75" i="1"/>
  <c r="S76" i="1" s="1"/>
  <c r="S73" i="1"/>
  <c r="S74" i="1" s="1"/>
  <c r="S71" i="1"/>
  <c r="S72" i="1" s="1"/>
  <c r="S69" i="1"/>
  <c r="S70" i="1" s="1"/>
  <c r="S67" i="1"/>
  <c r="S68" i="1" s="1"/>
  <c r="S65" i="1"/>
  <c r="S66" i="1" s="1"/>
  <c r="S63" i="1"/>
  <c r="S64" i="1" s="1"/>
  <c r="S61" i="1"/>
  <c r="S62" i="1" s="1"/>
  <c r="S59" i="1"/>
  <c r="S60" i="1" s="1"/>
  <c r="S57" i="1"/>
  <c r="S58" i="1" s="1"/>
  <c r="S55" i="1"/>
  <c r="S56" i="1" s="1"/>
  <c r="S53" i="1"/>
  <c r="S54" i="1" s="1"/>
  <c r="S51" i="1"/>
  <c r="S52" i="1" s="1"/>
  <c r="S49" i="1"/>
  <c r="S50" i="1" s="1"/>
  <c r="S47" i="1"/>
  <c r="S48" i="1" s="1"/>
  <c r="S45" i="1"/>
  <c r="S46" i="1" s="1"/>
  <c r="S43" i="1"/>
  <c r="S44" i="1" s="1"/>
  <c r="S41" i="1"/>
  <c r="S42" i="1" s="1"/>
  <c r="S39" i="1"/>
  <c r="S40" i="1" s="1"/>
  <c r="S37" i="1"/>
  <c r="S38" i="1" s="1"/>
  <c r="S35" i="1"/>
  <c r="S36" i="1" s="1"/>
  <c r="S33" i="1"/>
  <c r="S34" i="1" s="1"/>
  <c r="S31" i="1"/>
  <c r="S32" i="1" s="1"/>
  <c r="S29" i="1"/>
  <c r="S30" i="1" s="1"/>
  <c r="S27" i="1"/>
  <c r="S28" i="1" s="1"/>
  <c r="S25" i="1"/>
  <c r="S26" i="1" s="1"/>
  <c r="S23" i="1"/>
  <c r="S24" i="1" s="1"/>
  <c r="S21" i="1"/>
  <c r="S22" i="1" s="1"/>
  <c r="S19" i="1"/>
  <c r="S20" i="1" s="1"/>
  <c r="S17" i="1"/>
  <c r="S18" i="1" s="1"/>
  <c r="S15" i="1"/>
  <c r="S16" i="1" s="1"/>
  <c r="S13" i="1"/>
  <c r="S14" i="1" s="1"/>
  <c r="S11" i="1"/>
  <c r="S12" i="1" s="1"/>
  <c r="S9" i="1"/>
  <c r="S10" i="1" s="1"/>
  <c r="S7" i="1"/>
  <c r="S8" i="1" s="1"/>
  <c r="S5" i="1"/>
  <c r="S6" i="1" s="1"/>
  <c r="P945" i="1" l="1"/>
  <c r="Q941" i="1"/>
  <c r="Q942" i="1" s="1"/>
  <c r="Q939" i="1"/>
  <c r="Q940" i="1" s="1"/>
  <c r="Q937" i="1"/>
  <c r="Q938" i="1" s="1"/>
  <c r="Q935" i="1"/>
  <c r="Q936" i="1" s="1"/>
  <c r="Q933" i="1"/>
  <c r="Q934" i="1" s="1"/>
  <c r="Q931" i="1"/>
  <c r="Q932" i="1" s="1"/>
  <c r="Q929" i="1"/>
  <c r="Q930" i="1" s="1"/>
  <c r="Q927" i="1"/>
  <c r="Q928" i="1" s="1"/>
  <c r="Q925" i="1"/>
  <c r="Q926" i="1" s="1"/>
  <c r="Q923" i="1"/>
  <c r="Q924" i="1" s="1"/>
  <c r="Q921" i="1"/>
  <c r="Q922" i="1" s="1"/>
  <c r="Q919" i="1"/>
  <c r="Q920" i="1" s="1"/>
  <c r="Q917" i="1"/>
  <c r="Q918" i="1" s="1"/>
  <c r="Q915" i="1"/>
  <c r="Q916" i="1" s="1"/>
  <c r="Q913" i="1"/>
  <c r="Q914" i="1" s="1"/>
  <c r="Q911" i="1"/>
  <c r="Q912" i="1" s="1"/>
  <c r="Q909" i="1"/>
  <c r="Q910" i="1" s="1"/>
  <c r="Q907" i="1"/>
  <c r="Q908" i="1" s="1"/>
  <c r="Q905" i="1"/>
  <c r="Q906" i="1" s="1"/>
  <c r="Q903" i="1"/>
  <c r="Q904" i="1" s="1"/>
  <c r="Q901" i="1"/>
  <c r="Q902" i="1" s="1"/>
  <c r="Q899" i="1"/>
  <c r="Q900" i="1" s="1"/>
  <c r="Q897" i="1"/>
  <c r="Q898" i="1" s="1"/>
  <c r="Q895" i="1"/>
  <c r="Q896" i="1" s="1"/>
  <c r="Q893" i="1"/>
  <c r="Q894" i="1" s="1"/>
  <c r="Q891" i="1"/>
  <c r="Q892" i="1" s="1"/>
  <c r="Q889" i="1"/>
  <c r="Q890" i="1" s="1"/>
  <c r="Q887" i="1"/>
  <c r="Q888" i="1" s="1"/>
  <c r="Q885" i="1"/>
  <c r="Q886" i="1" s="1"/>
  <c r="Q883" i="1"/>
  <c r="Q884" i="1" s="1"/>
  <c r="Q881" i="1"/>
  <c r="Q882" i="1" s="1"/>
  <c r="Q879" i="1"/>
  <c r="Q880" i="1" s="1"/>
  <c r="Q877" i="1"/>
  <c r="Q878" i="1" s="1"/>
  <c r="Q875" i="1"/>
  <c r="Q876" i="1" s="1"/>
  <c r="Q873" i="1"/>
  <c r="Q874" i="1" s="1"/>
  <c r="Q871" i="1"/>
  <c r="Q872" i="1" s="1"/>
  <c r="Q869" i="1"/>
  <c r="Q870" i="1" s="1"/>
  <c r="Q867" i="1"/>
  <c r="Q868" i="1" s="1"/>
  <c r="Q865" i="1"/>
  <c r="Q866" i="1" s="1"/>
  <c r="Q863" i="1"/>
  <c r="Q864" i="1" s="1"/>
  <c r="Q861" i="1"/>
  <c r="Q862" i="1" s="1"/>
  <c r="Q859" i="1"/>
  <c r="Q860" i="1" s="1"/>
  <c r="Q857" i="1"/>
  <c r="Q858" i="1" s="1"/>
  <c r="Q855" i="1"/>
  <c r="Q856" i="1" s="1"/>
  <c r="Q853" i="1"/>
  <c r="Q854" i="1" s="1"/>
  <c r="Q851" i="1"/>
  <c r="Q852" i="1" s="1"/>
  <c r="Q849" i="1"/>
  <c r="Q850" i="1" s="1"/>
  <c r="Q847" i="1"/>
  <c r="Q848" i="1" s="1"/>
  <c r="Q845" i="1"/>
  <c r="Q846" i="1" s="1"/>
  <c r="Q843" i="1"/>
  <c r="Q844" i="1" s="1"/>
  <c r="Q841" i="1"/>
  <c r="Q842" i="1" s="1"/>
  <c r="Q839" i="1"/>
  <c r="Q840" i="1" s="1"/>
  <c r="Q837" i="1"/>
  <c r="Q838" i="1" s="1"/>
  <c r="Q835" i="1"/>
  <c r="Q836" i="1" s="1"/>
  <c r="Q833" i="1"/>
  <c r="Q834" i="1" s="1"/>
  <c r="Q831" i="1"/>
  <c r="Q832" i="1" s="1"/>
  <c r="Q829" i="1"/>
  <c r="Q830" i="1" s="1"/>
  <c r="Q827" i="1"/>
  <c r="Q828" i="1" s="1"/>
  <c r="Q825" i="1"/>
  <c r="Q826" i="1" s="1"/>
  <c r="Q823" i="1"/>
  <c r="Q824" i="1" s="1"/>
  <c r="Q821" i="1"/>
  <c r="Q822" i="1" s="1"/>
  <c r="Q819" i="1"/>
  <c r="Q820" i="1" s="1"/>
  <c r="Q817" i="1"/>
  <c r="Q818" i="1" s="1"/>
  <c r="Q815" i="1"/>
  <c r="Q816" i="1" s="1"/>
  <c r="Q813" i="1"/>
  <c r="Q814" i="1" s="1"/>
  <c r="Q811" i="1"/>
  <c r="Q812" i="1" s="1"/>
  <c r="Q809" i="1"/>
  <c r="Q810" i="1" s="1"/>
  <c r="Q807" i="1"/>
  <c r="Q808" i="1" s="1"/>
  <c r="Q805" i="1"/>
  <c r="Q806" i="1" s="1"/>
  <c r="Q803" i="1"/>
  <c r="Q804" i="1" s="1"/>
  <c r="Q801" i="1"/>
  <c r="Q802" i="1" s="1"/>
  <c r="Q799" i="1"/>
  <c r="Q800" i="1" s="1"/>
  <c r="Q797" i="1"/>
  <c r="Q798" i="1" s="1"/>
  <c r="Q795" i="1"/>
  <c r="Q796" i="1" s="1"/>
  <c r="Q793" i="1"/>
  <c r="Q794" i="1" s="1"/>
  <c r="Q791" i="1"/>
  <c r="Q792" i="1" s="1"/>
  <c r="Q789" i="1"/>
  <c r="Q790" i="1" s="1"/>
  <c r="Q787" i="1"/>
  <c r="Q788" i="1" s="1"/>
  <c r="Q785" i="1"/>
  <c r="Q786" i="1" s="1"/>
  <c r="Q783" i="1"/>
  <c r="Q784" i="1" s="1"/>
  <c r="Q781" i="1"/>
  <c r="Q782" i="1" s="1"/>
  <c r="Q779" i="1"/>
  <c r="Q780" i="1" s="1"/>
  <c r="Q777" i="1"/>
  <c r="Q778" i="1" s="1"/>
  <c r="Q775" i="1"/>
  <c r="Q776" i="1" s="1"/>
  <c r="Q773" i="1"/>
  <c r="Q774" i="1" s="1"/>
  <c r="Q771" i="1"/>
  <c r="Q772" i="1" s="1"/>
  <c r="Q769" i="1"/>
  <c r="Q770" i="1" s="1"/>
  <c r="Q767" i="1"/>
  <c r="Q768" i="1" s="1"/>
  <c r="Q765" i="1"/>
  <c r="Q766" i="1" s="1"/>
  <c r="Q763" i="1"/>
  <c r="Q764" i="1" s="1"/>
  <c r="Q761" i="1"/>
  <c r="Q762" i="1" s="1"/>
  <c r="Q759" i="1"/>
  <c r="Q760" i="1" s="1"/>
  <c r="Q757" i="1"/>
  <c r="Q758" i="1" s="1"/>
  <c r="Q755" i="1"/>
  <c r="Q756" i="1" s="1"/>
  <c r="Q753" i="1"/>
  <c r="Q754" i="1" s="1"/>
  <c r="Q751" i="1"/>
  <c r="Q752" i="1" s="1"/>
  <c r="Q749" i="1"/>
  <c r="Q750" i="1" s="1"/>
  <c r="Q747" i="1"/>
  <c r="Q748" i="1" s="1"/>
  <c r="Q745" i="1"/>
  <c r="Q746" i="1" s="1"/>
  <c r="Q743" i="1"/>
  <c r="Q744" i="1" s="1"/>
  <c r="Q741" i="1"/>
  <c r="Q742" i="1" s="1"/>
  <c r="Q739" i="1"/>
  <c r="Q740" i="1" s="1"/>
  <c r="Q737" i="1"/>
  <c r="Q738" i="1" s="1"/>
  <c r="Q735" i="1"/>
  <c r="Q736" i="1" s="1"/>
  <c r="Q733" i="1"/>
  <c r="Q734" i="1" s="1"/>
  <c r="Q731" i="1"/>
  <c r="Q732" i="1" s="1"/>
  <c r="Q729" i="1"/>
  <c r="Q730" i="1" s="1"/>
  <c r="Q727" i="1"/>
  <c r="Q728" i="1" s="1"/>
  <c r="Q725" i="1"/>
  <c r="Q726" i="1" s="1"/>
  <c r="Q723" i="1"/>
  <c r="Q724" i="1" s="1"/>
  <c r="Q721" i="1"/>
  <c r="Q722" i="1" s="1"/>
  <c r="Q719" i="1"/>
  <c r="Q720" i="1" s="1"/>
  <c r="Q717" i="1"/>
  <c r="Q718" i="1" s="1"/>
  <c r="Q715" i="1"/>
  <c r="Q716" i="1" s="1"/>
  <c r="Q713" i="1"/>
  <c r="Q714" i="1" s="1"/>
  <c r="Q711" i="1"/>
  <c r="Q712" i="1" s="1"/>
  <c r="Q709" i="1"/>
  <c r="Q710" i="1" s="1"/>
  <c r="Q707" i="1"/>
  <c r="Q708" i="1" s="1"/>
  <c r="Q705" i="1"/>
  <c r="Q706" i="1" s="1"/>
  <c r="Q703" i="1"/>
  <c r="Q704" i="1" s="1"/>
  <c r="Q701" i="1"/>
  <c r="Q702" i="1" s="1"/>
  <c r="Q699" i="1"/>
  <c r="Q700" i="1" s="1"/>
  <c r="Q697" i="1"/>
  <c r="Q698" i="1" s="1"/>
  <c r="Q695" i="1"/>
  <c r="Q696" i="1" s="1"/>
  <c r="Q693" i="1"/>
  <c r="Q694" i="1" s="1"/>
  <c r="Q691" i="1"/>
  <c r="Q692" i="1" s="1"/>
  <c r="Q689" i="1"/>
  <c r="Q690" i="1" s="1"/>
  <c r="Q687" i="1"/>
  <c r="Q688" i="1" s="1"/>
  <c r="Q685" i="1"/>
  <c r="Q686" i="1" s="1"/>
  <c r="Q683" i="1"/>
  <c r="Q684" i="1" s="1"/>
  <c r="Q681" i="1"/>
  <c r="Q682" i="1" s="1"/>
  <c r="Q679" i="1"/>
  <c r="Q680" i="1" s="1"/>
  <c r="Q677" i="1"/>
  <c r="Q678" i="1" s="1"/>
  <c r="Q675" i="1"/>
  <c r="Q676" i="1" s="1"/>
  <c r="Q673" i="1"/>
  <c r="Q674" i="1" s="1"/>
  <c r="Q671" i="1"/>
  <c r="Q672" i="1" s="1"/>
  <c r="Q669" i="1"/>
  <c r="Q670" i="1" s="1"/>
  <c r="Q667" i="1"/>
  <c r="Q668" i="1" s="1"/>
  <c r="Q665" i="1"/>
  <c r="Q666" i="1" s="1"/>
  <c r="Q663" i="1"/>
  <c r="Q664" i="1" s="1"/>
  <c r="Q661" i="1"/>
  <c r="Q662" i="1" s="1"/>
  <c r="Q659" i="1"/>
  <c r="Q660" i="1" s="1"/>
  <c r="Q657" i="1"/>
  <c r="Q658" i="1" s="1"/>
  <c r="Q655" i="1"/>
  <c r="Q656" i="1" s="1"/>
  <c r="Q653" i="1"/>
  <c r="Q654" i="1" s="1"/>
  <c r="Q651" i="1"/>
  <c r="Q652" i="1" s="1"/>
  <c r="Q649" i="1"/>
  <c r="Q650" i="1" s="1"/>
  <c r="Q647" i="1"/>
  <c r="Q648" i="1" s="1"/>
  <c r="Q645" i="1"/>
  <c r="Q646" i="1" s="1"/>
  <c r="Q643" i="1"/>
  <c r="Q644" i="1" s="1"/>
  <c r="Q641" i="1"/>
  <c r="Q642" i="1" s="1"/>
  <c r="Q639" i="1"/>
  <c r="Q640" i="1" s="1"/>
  <c r="Q637" i="1"/>
  <c r="Q638" i="1" s="1"/>
  <c r="Q635" i="1"/>
  <c r="Q636" i="1" s="1"/>
  <c r="Q633" i="1"/>
  <c r="Q634" i="1" s="1"/>
  <c r="Q631" i="1"/>
  <c r="Q632" i="1" s="1"/>
  <c r="Q629" i="1"/>
  <c r="Q630" i="1" s="1"/>
  <c r="Q627" i="1"/>
  <c r="Q628" i="1" s="1"/>
  <c r="Q625" i="1"/>
  <c r="Q626" i="1" s="1"/>
  <c r="Q623" i="1"/>
  <c r="Q624" i="1" s="1"/>
  <c r="Q621" i="1"/>
  <c r="Q622" i="1" s="1"/>
  <c r="Q619" i="1"/>
  <c r="Q620" i="1" s="1"/>
  <c r="Q617" i="1"/>
  <c r="Q618" i="1" s="1"/>
  <c r="Q615" i="1"/>
  <c r="Q616" i="1" s="1"/>
  <c r="Q613" i="1"/>
  <c r="Q614" i="1" s="1"/>
  <c r="Q611" i="1"/>
  <c r="Q612" i="1" s="1"/>
  <c r="Q609" i="1"/>
  <c r="Q610" i="1" s="1"/>
  <c r="Q607" i="1"/>
  <c r="Q608" i="1" s="1"/>
  <c r="Q605" i="1"/>
  <c r="Q606" i="1" s="1"/>
  <c r="Q603" i="1"/>
  <c r="Q604" i="1" s="1"/>
  <c r="Q601" i="1"/>
  <c r="Q602" i="1" s="1"/>
  <c r="Q599" i="1"/>
  <c r="Q600" i="1" s="1"/>
  <c r="Q597" i="1"/>
  <c r="Q598" i="1" s="1"/>
  <c r="Q595" i="1"/>
  <c r="Q596" i="1" s="1"/>
  <c r="Q593" i="1"/>
  <c r="Q594" i="1" s="1"/>
  <c r="Q591" i="1"/>
  <c r="Q592" i="1" s="1"/>
  <c r="Q589" i="1"/>
  <c r="Q590" i="1" s="1"/>
  <c r="Q587" i="1"/>
  <c r="Q588" i="1" s="1"/>
  <c r="Q585" i="1"/>
  <c r="Q586" i="1" s="1"/>
  <c r="Q583" i="1"/>
  <c r="Q584" i="1" s="1"/>
  <c r="Q581" i="1"/>
  <c r="Q582" i="1" s="1"/>
  <c r="Q579" i="1"/>
  <c r="Q580" i="1" s="1"/>
  <c r="Q577" i="1"/>
  <c r="Q578" i="1" s="1"/>
  <c r="Q575" i="1"/>
  <c r="Q576" i="1" s="1"/>
  <c r="Q573" i="1"/>
  <c r="Q574" i="1" s="1"/>
  <c r="Q571" i="1"/>
  <c r="Q572" i="1" s="1"/>
  <c r="Q569" i="1"/>
  <c r="Q570" i="1" s="1"/>
  <c r="Q567" i="1"/>
  <c r="Q568" i="1" s="1"/>
  <c r="Q565" i="1"/>
  <c r="Q566" i="1" s="1"/>
  <c r="Q563" i="1"/>
  <c r="Q564" i="1" s="1"/>
  <c r="Q561" i="1"/>
  <c r="Q562" i="1" s="1"/>
  <c r="Q559" i="1"/>
  <c r="Q560" i="1" s="1"/>
  <c r="Q557" i="1"/>
  <c r="Q558" i="1" s="1"/>
  <c r="Q555" i="1"/>
  <c r="Q556" i="1" s="1"/>
  <c r="Q553" i="1"/>
  <c r="Q554" i="1" s="1"/>
  <c r="Q551" i="1"/>
  <c r="Q552" i="1" s="1"/>
  <c r="Q549" i="1"/>
  <c r="Q550" i="1" s="1"/>
  <c r="Q547" i="1"/>
  <c r="Q548" i="1" s="1"/>
  <c r="Q545" i="1"/>
  <c r="Q546" i="1" s="1"/>
  <c r="Q543" i="1"/>
  <c r="Q544" i="1" s="1"/>
  <c r="Q541" i="1"/>
  <c r="Q542" i="1" s="1"/>
  <c r="Q539" i="1"/>
  <c r="Q540" i="1" s="1"/>
  <c r="Q537" i="1"/>
  <c r="Q538" i="1" s="1"/>
  <c r="Q535" i="1"/>
  <c r="Q536" i="1" s="1"/>
  <c r="Q533" i="1"/>
  <c r="Q534" i="1" s="1"/>
  <c r="Q531" i="1"/>
  <c r="Q532" i="1" s="1"/>
  <c r="Q529" i="1"/>
  <c r="Q530" i="1" s="1"/>
  <c r="Q527" i="1"/>
  <c r="Q528" i="1" s="1"/>
  <c r="Q525" i="1"/>
  <c r="Q526" i="1" s="1"/>
  <c r="Q523" i="1"/>
  <c r="Q524" i="1" s="1"/>
  <c r="Q521" i="1"/>
  <c r="Q522" i="1" s="1"/>
  <c r="Q519" i="1"/>
  <c r="Q520" i="1" s="1"/>
  <c r="Q517" i="1"/>
  <c r="Q518" i="1" s="1"/>
  <c r="Q515" i="1"/>
  <c r="Q516" i="1" s="1"/>
  <c r="Q513" i="1"/>
  <c r="Q514" i="1" s="1"/>
  <c r="Q511" i="1"/>
  <c r="Q512" i="1" s="1"/>
  <c r="Q509" i="1"/>
  <c r="Q510" i="1" s="1"/>
  <c r="Q507" i="1"/>
  <c r="Q508" i="1" s="1"/>
  <c r="Q505" i="1"/>
  <c r="Q506" i="1" s="1"/>
  <c r="Q503" i="1"/>
  <c r="Q504" i="1" s="1"/>
  <c r="Q501" i="1"/>
  <c r="Q502" i="1" s="1"/>
  <c r="Q499" i="1"/>
  <c r="Q500" i="1" s="1"/>
  <c r="Q497" i="1"/>
  <c r="Q498" i="1" s="1"/>
  <c r="Q495" i="1"/>
  <c r="Q496" i="1" s="1"/>
  <c r="Q493" i="1"/>
  <c r="Q494" i="1" s="1"/>
  <c r="Q491" i="1"/>
  <c r="Q492" i="1" s="1"/>
  <c r="Q489" i="1"/>
  <c r="Q490" i="1" s="1"/>
  <c r="Q487" i="1"/>
  <c r="Q488" i="1" s="1"/>
  <c r="Q485" i="1"/>
  <c r="Q486" i="1" s="1"/>
  <c r="Q483" i="1"/>
  <c r="Q484" i="1" s="1"/>
  <c r="Q481" i="1"/>
  <c r="Q482" i="1" s="1"/>
  <c r="Q479" i="1"/>
  <c r="Q480" i="1" s="1"/>
  <c r="Q477" i="1"/>
  <c r="Q478" i="1" s="1"/>
  <c r="Q475" i="1"/>
  <c r="Q476" i="1" s="1"/>
  <c r="Q473" i="1"/>
  <c r="Q474" i="1" s="1"/>
  <c r="Q471" i="1"/>
  <c r="Q472" i="1" s="1"/>
  <c r="Q469" i="1"/>
  <c r="Q470" i="1" s="1"/>
  <c r="Q467" i="1"/>
  <c r="Q468" i="1" s="1"/>
  <c r="Q465" i="1"/>
  <c r="Q466" i="1" s="1"/>
  <c r="Q463" i="1"/>
  <c r="Q464" i="1" s="1"/>
  <c r="Q461" i="1"/>
  <c r="Q462" i="1" s="1"/>
  <c r="Q459" i="1"/>
  <c r="Q460" i="1" s="1"/>
  <c r="Q457" i="1"/>
  <c r="Q458" i="1" s="1"/>
  <c r="Q455" i="1"/>
  <c r="Q456" i="1" s="1"/>
  <c r="Q453" i="1"/>
  <c r="Q454" i="1" s="1"/>
  <c r="Q451" i="1"/>
  <c r="Q452" i="1" s="1"/>
  <c r="Q449" i="1"/>
  <c r="Q450" i="1" s="1"/>
  <c r="Q447" i="1"/>
  <c r="Q448" i="1" s="1"/>
  <c r="Q445" i="1"/>
  <c r="Q446" i="1" s="1"/>
  <c r="Q443" i="1"/>
  <c r="Q444" i="1" s="1"/>
  <c r="Q441" i="1"/>
  <c r="Q442" i="1" s="1"/>
  <c r="Q439" i="1"/>
  <c r="Q440" i="1" s="1"/>
  <c r="Q437" i="1"/>
  <c r="Q438" i="1" s="1"/>
  <c r="Q435" i="1"/>
  <c r="Q436" i="1" s="1"/>
  <c r="Q433" i="1"/>
  <c r="Q434" i="1" s="1"/>
  <c r="Q431" i="1"/>
  <c r="Q432" i="1" s="1"/>
  <c r="Q429" i="1"/>
  <c r="Q430" i="1" s="1"/>
  <c r="Q427" i="1"/>
  <c r="Q428" i="1" s="1"/>
  <c r="Q425" i="1"/>
  <c r="Q426" i="1" s="1"/>
  <c r="Q423" i="1"/>
  <c r="Q424" i="1" s="1"/>
  <c r="Q421" i="1"/>
  <c r="Q422" i="1" s="1"/>
  <c r="Q419" i="1"/>
  <c r="Q420" i="1" s="1"/>
  <c r="Q417" i="1"/>
  <c r="Q418" i="1" s="1"/>
  <c r="Q415" i="1"/>
  <c r="Q416" i="1" s="1"/>
  <c r="Q413" i="1"/>
  <c r="Q414" i="1" s="1"/>
  <c r="Q411" i="1"/>
  <c r="Q412" i="1" s="1"/>
  <c r="Q409" i="1"/>
  <c r="Q410" i="1" s="1"/>
  <c r="Q407" i="1"/>
  <c r="Q408" i="1" s="1"/>
  <c r="Q405" i="1"/>
  <c r="Q406" i="1" s="1"/>
  <c r="Q403" i="1"/>
  <c r="Q404" i="1" s="1"/>
  <c r="Q401" i="1"/>
  <c r="Q402" i="1" s="1"/>
  <c r="Q399" i="1"/>
  <c r="Q400" i="1" s="1"/>
  <c r="Q397" i="1"/>
  <c r="Q398" i="1" s="1"/>
  <c r="Q395" i="1"/>
  <c r="Q396" i="1" s="1"/>
  <c r="Q393" i="1"/>
  <c r="Q394" i="1" s="1"/>
  <c r="Q391" i="1"/>
  <c r="Q392" i="1" s="1"/>
  <c r="Q389" i="1"/>
  <c r="Q390" i="1" s="1"/>
  <c r="Q387" i="1"/>
  <c r="Q388" i="1" s="1"/>
  <c r="Q385" i="1"/>
  <c r="Q386" i="1" s="1"/>
  <c r="Q383" i="1"/>
  <c r="Q384" i="1" s="1"/>
  <c r="Q381" i="1"/>
  <c r="Q382" i="1" s="1"/>
  <c r="Q379" i="1"/>
  <c r="Q380" i="1" s="1"/>
  <c r="Q377" i="1"/>
  <c r="Q378" i="1" s="1"/>
  <c r="Q375" i="1"/>
  <c r="Q376" i="1" s="1"/>
  <c r="Q373" i="1"/>
  <c r="Q374" i="1" s="1"/>
  <c r="Q371" i="1"/>
  <c r="Q372" i="1" s="1"/>
  <c r="Q369" i="1"/>
  <c r="Q370" i="1" s="1"/>
  <c r="Q367" i="1"/>
  <c r="Q368" i="1" s="1"/>
  <c r="Q365" i="1"/>
  <c r="Q366" i="1" s="1"/>
  <c r="Q363" i="1"/>
  <c r="Q364" i="1" s="1"/>
  <c r="Q361" i="1"/>
  <c r="Q362" i="1" s="1"/>
  <c r="Q359" i="1"/>
  <c r="Q360" i="1" s="1"/>
  <c r="Q357" i="1"/>
  <c r="Q358" i="1" s="1"/>
  <c r="Q355" i="1"/>
  <c r="Q356" i="1" s="1"/>
  <c r="Q353" i="1"/>
  <c r="Q354" i="1" s="1"/>
  <c r="Q351" i="1"/>
  <c r="Q352" i="1" s="1"/>
  <c r="Q349" i="1"/>
  <c r="Q350" i="1" s="1"/>
  <c r="Q347" i="1"/>
  <c r="Q348" i="1" s="1"/>
  <c r="Q345" i="1"/>
  <c r="Q346" i="1" s="1"/>
  <c r="Q343" i="1"/>
  <c r="Q344" i="1" s="1"/>
  <c r="Q341" i="1"/>
  <c r="Q342" i="1" s="1"/>
  <c r="Q339" i="1"/>
  <c r="Q340" i="1" s="1"/>
  <c r="Q337" i="1"/>
  <c r="Q338" i="1" s="1"/>
  <c r="Q335" i="1"/>
  <c r="Q336" i="1" s="1"/>
  <c r="Q333" i="1"/>
  <c r="Q334" i="1" s="1"/>
  <c r="Q331" i="1"/>
  <c r="Q332" i="1" s="1"/>
  <c r="Q329" i="1"/>
  <c r="Q330" i="1" s="1"/>
  <c r="Q327" i="1"/>
  <c r="Q328" i="1" s="1"/>
  <c r="Q325" i="1"/>
  <c r="Q326" i="1" s="1"/>
  <c r="Q323" i="1"/>
  <c r="Q324" i="1" s="1"/>
  <c r="Q321" i="1"/>
  <c r="Q322" i="1" s="1"/>
  <c r="Q319" i="1"/>
  <c r="Q320" i="1" s="1"/>
  <c r="Q317" i="1"/>
  <c r="Q318" i="1" s="1"/>
  <c r="Q315" i="1"/>
  <c r="Q316" i="1" s="1"/>
  <c r="Q313" i="1"/>
  <c r="Q314" i="1" s="1"/>
  <c r="Q311" i="1"/>
  <c r="Q312" i="1" s="1"/>
  <c r="Q309" i="1"/>
  <c r="Q310" i="1" s="1"/>
  <c r="Q307" i="1"/>
  <c r="Q308" i="1" s="1"/>
  <c r="Q305" i="1"/>
  <c r="Q306" i="1" s="1"/>
  <c r="Q303" i="1"/>
  <c r="Q304" i="1" s="1"/>
  <c r="Q301" i="1"/>
  <c r="Q302" i="1" s="1"/>
  <c r="Q299" i="1"/>
  <c r="Q300" i="1" s="1"/>
  <c r="Q297" i="1"/>
  <c r="Q298" i="1" s="1"/>
  <c r="Q295" i="1"/>
  <c r="Q296" i="1" s="1"/>
  <c r="Q293" i="1"/>
  <c r="Q294" i="1" s="1"/>
  <c r="Q291" i="1"/>
  <c r="Q292" i="1" s="1"/>
  <c r="Q289" i="1"/>
  <c r="Q290" i="1" s="1"/>
  <c r="Q287" i="1"/>
  <c r="Q288" i="1" s="1"/>
  <c r="Q285" i="1"/>
  <c r="Q286" i="1" s="1"/>
  <c r="Q283" i="1"/>
  <c r="Q284" i="1" s="1"/>
  <c r="Q281" i="1"/>
  <c r="Q282" i="1" s="1"/>
  <c r="Q279" i="1"/>
  <c r="Q280" i="1" s="1"/>
  <c r="Q277" i="1"/>
  <c r="Q278" i="1" s="1"/>
  <c r="Q275" i="1"/>
  <c r="Q276" i="1" s="1"/>
  <c r="Q273" i="1"/>
  <c r="Q274" i="1" s="1"/>
  <c r="Q271" i="1"/>
  <c r="Q272" i="1" s="1"/>
  <c r="Q269" i="1"/>
  <c r="Q270" i="1" s="1"/>
  <c r="Q267" i="1"/>
  <c r="Q268" i="1" s="1"/>
  <c r="Q265" i="1"/>
  <c r="Q266" i="1" s="1"/>
  <c r="Q263" i="1"/>
  <c r="Q264" i="1" s="1"/>
  <c r="Q261" i="1"/>
  <c r="Q262" i="1" s="1"/>
  <c r="Q259" i="1"/>
  <c r="Q260" i="1" s="1"/>
  <c r="Q257" i="1"/>
  <c r="Q258" i="1" s="1"/>
  <c r="Q255" i="1"/>
  <c r="Q256" i="1" s="1"/>
  <c r="Q253" i="1"/>
  <c r="Q254" i="1" s="1"/>
  <c r="Q251" i="1"/>
  <c r="Q252" i="1" s="1"/>
  <c r="Q249" i="1"/>
  <c r="Q250" i="1" s="1"/>
  <c r="Q247" i="1"/>
  <c r="Q248" i="1" s="1"/>
  <c r="Q245" i="1"/>
  <c r="Q246" i="1" s="1"/>
  <c r="Q243" i="1"/>
  <c r="Q244" i="1" s="1"/>
  <c r="Q241" i="1"/>
  <c r="Q242" i="1" s="1"/>
  <c r="Q239" i="1"/>
  <c r="Q240" i="1" s="1"/>
  <c r="Q237" i="1"/>
  <c r="Q238" i="1" s="1"/>
  <c r="Q235" i="1"/>
  <c r="Q236" i="1" s="1"/>
  <c r="Q233" i="1"/>
  <c r="Q234" i="1" s="1"/>
  <c r="Q231" i="1"/>
  <c r="Q232" i="1" s="1"/>
  <c r="Q229" i="1"/>
  <c r="Q230" i="1" s="1"/>
  <c r="Q227" i="1"/>
  <c r="Q228" i="1" s="1"/>
  <c r="Q225" i="1"/>
  <c r="Q226" i="1" s="1"/>
  <c r="Q223" i="1"/>
  <c r="Q224" i="1" s="1"/>
  <c r="Q221" i="1"/>
  <c r="Q222" i="1" s="1"/>
  <c r="Q219" i="1"/>
  <c r="Q220" i="1" s="1"/>
  <c r="Q217" i="1"/>
  <c r="Q218" i="1" s="1"/>
  <c r="Q215" i="1"/>
  <c r="Q216" i="1" s="1"/>
  <c r="Q213" i="1"/>
  <c r="Q214" i="1" s="1"/>
  <c r="Q211" i="1"/>
  <c r="Q212" i="1" s="1"/>
  <c r="Q209" i="1"/>
  <c r="Q210" i="1" s="1"/>
  <c r="Q207" i="1"/>
  <c r="Q208" i="1" s="1"/>
  <c r="Q205" i="1"/>
  <c r="Q206" i="1" s="1"/>
  <c r="Q203" i="1"/>
  <c r="Q204" i="1" s="1"/>
  <c r="Q201" i="1"/>
  <c r="Q202" i="1" s="1"/>
  <c r="Q199" i="1"/>
  <c r="Q200" i="1" s="1"/>
  <c r="Q197" i="1"/>
  <c r="Q198" i="1" s="1"/>
  <c r="Q195" i="1"/>
  <c r="Q196" i="1" s="1"/>
  <c r="Q193" i="1"/>
  <c r="Q194" i="1" s="1"/>
  <c r="Q191" i="1"/>
  <c r="Q192" i="1" s="1"/>
  <c r="Q189" i="1"/>
  <c r="Q190" i="1" s="1"/>
  <c r="Q187" i="1"/>
  <c r="Q188" i="1" s="1"/>
  <c r="Q185" i="1"/>
  <c r="Q186" i="1" s="1"/>
  <c r="Q183" i="1"/>
  <c r="Q184" i="1" s="1"/>
  <c r="Q181" i="1"/>
  <c r="Q182" i="1" s="1"/>
  <c r="Q179" i="1"/>
  <c r="Q180" i="1" s="1"/>
  <c r="Q177" i="1"/>
  <c r="Q178" i="1" s="1"/>
  <c r="Q175" i="1"/>
  <c r="Q176" i="1" s="1"/>
  <c r="Q173" i="1"/>
  <c r="Q174" i="1" s="1"/>
  <c r="Q171" i="1"/>
  <c r="Q172" i="1" s="1"/>
  <c r="Q169" i="1"/>
  <c r="Q170" i="1" s="1"/>
  <c r="Q167" i="1"/>
  <c r="Q168" i="1" s="1"/>
  <c r="Q165" i="1"/>
  <c r="Q166" i="1" s="1"/>
  <c r="Q163" i="1"/>
  <c r="Q164" i="1" s="1"/>
  <c r="Q161" i="1"/>
  <c r="Q162" i="1" s="1"/>
  <c r="Q159" i="1"/>
  <c r="Q160" i="1" s="1"/>
  <c r="Q157" i="1"/>
  <c r="Q158" i="1" s="1"/>
  <c r="Q155" i="1"/>
  <c r="Q156" i="1" s="1"/>
  <c r="Q153" i="1"/>
  <c r="Q154" i="1" s="1"/>
  <c r="Q151" i="1"/>
  <c r="Q152" i="1" s="1"/>
  <c r="Q149" i="1"/>
  <c r="Q150" i="1" s="1"/>
  <c r="Q147" i="1"/>
  <c r="Q148" i="1" s="1"/>
  <c r="Q145" i="1"/>
  <c r="Q146" i="1" s="1"/>
  <c r="Q143" i="1"/>
  <c r="Q144" i="1" s="1"/>
  <c r="Q141" i="1"/>
  <c r="Q142" i="1" s="1"/>
  <c r="Q139" i="1"/>
  <c r="Q140" i="1" s="1"/>
  <c r="Q137" i="1"/>
  <c r="Q138" i="1" s="1"/>
  <c r="Q135" i="1"/>
  <c r="Q136" i="1" s="1"/>
  <c r="Q133" i="1"/>
  <c r="Q134" i="1" s="1"/>
  <c r="Q131" i="1"/>
  <c r="Q132" i="1" s="1"/>
  <c r="Q129" i="1"/>
  <c r="Q130" i="1" s="1"/>
  <c r="Q127" i="1"/>
  <c r="Q128" i="1" s="1"/>
  <c r="Q125" i="1"/>
  <c r="Q126" i="1" s="1"/>
  <c r="Q123" i="1"/>
  <c r="Q124" i="1" s="1"/>
  <c r="Q121" i="1"/>
  <c r="Q122" i="1" s="1"/>
  <c r="Q119" i="1"/>
  <c r="Q120" i="1" s="1"/>
  <c r="Q117" i="1"/>
  <c r="Q118" i="1" s="1"/>
  <c r="Q115" i="1"/>
  <c r="Q116" i="1" s="1"/>
  <c r="Q113" i="1"/>
  <c r="Q114" i="1" s="1"/>
  <c r="Q111" i="1"/>
  <c r="Q112" i="1" s="1"/>
  <c r="Q109" i="1"/>
  <c r="Q110" i="1" s="1"/>
  <c r="Q107" i="1"/>
  <c r="Q108" i="1" s="1"/>
  <c r="Q105" i="1"/>
  <c r="Q106" i="1" s="1"/>
  <c r="Q103" i="1"/>
  <c r="Q104" i="1" s="1"/>
  <c r="Q101" i="1"/>
  <c r="Q102" i="1" s="1"/>
  <c r="Q99" i="1"/>
  <c r="Q100" i="1" s="1"/>
  <c r="Q97" i="1"/>
  <c r="Q98" i="1" s="1"/>
  <c r="Q95" i="1"/>
  <c r="Q96" i="1" s="1"/>
  <c r="Q93" i="1"/>
  <c r="Q94" i="1" s="1"/>
  <c r="Q91" i="1"/>
  <c r="Q92" i="1" s="1"/>
  <c r="Q89" i="1"/>
  <c r="Q90" i="1" s="1"/>
  <c r="Q87" i="1"/>
  <c r="Q88" i="1" s="1"/>
  <c r="Q85" i="1"/>
  <c r="Q86" i="1" s="1"/>
  <c r="Q83" i="1"/>
  <c r="Q84" i="1" s="1"/>
  <c r="Q81" i="1"/>
  <c r="Q82" i="1" s="1"/>
  <c r="Q79" i="1"/>
  <c r="Q80" i="1" s="1"/>
  <c r="Q77" i="1"/>
  <c r="Q78" i="1" s="1"/>
  <c r="Q75" i="1"/>
  <c r="Q76" i="1" s="1"/>
  <c r="Q73" i="1"/>
  <c r="Q74" i="1" s="1"/>
  <c r="Q71" i="1"/>
  <c r="Q72" i="1" s="1"/>
  <c r="Q69" i="1"/>
  <c r="Q70" i="1" s="1"/>
  <c r="Q67" i="1"/>
  <c r="Q68" i="1" s="1"/>
  <c r="Q65" i="1"/>
  <c r="Q66" i="1" s="1"/>
  <c r="Q63" i="1"/>
  <c r="Q64" i="1" s="1"/>
  <c r="Q61" i="1"/>
  <c r="Q62" i="1" s="1"/>
  <c r="Q59" i="1"/>
  <c r="Q60" i="1" s="1"/>
  <c r="Q57" i="1"/>
  <c r="Q58" i="1" s="1"/>
  <c r="Q55" i="1"/>
  <c r="Q56" i="1" s="1"/>
  <c r="Q53" i="1"/>
  <c r="Q54" i="1" s="1"/>
  <c r="Q51" i="1"/>
  <c r="Q52" i="1" s="1"/>
  <c r="Q49" i="1"/>
  <c r="Q50" i="1" s="1"/>
  <c r="Q47" i="1"/>
  <c r="Q48" i="1" s="1"/>
  <c r="Q45" i="1"/>
  <c r="Q46" i="1" s="1"/>
  <c r="Q43" i="1"/>
  <c r="Q44" i="1" s="1"/>
  <c r="Q41" i="1"/>
  <c r="Q42" i="1" s="1"/>
  <c r="Q39" i="1"/>
  <c r="Q40" i="1" s="1"/>
  <c r="Q37" i="1"/>
  <c r="Q38" i="1" s="1"/>
  <c r="Q35" i="1"/>
  <c r="Q36" i="1" s="1"/>
  <c r="Q33" i="1"/>
  <c r="Q34" i="1" s="1"/>
  <c r="Q31" i="1"/>
  <c r="Q32" i="1" s="1"/>
  <c r="Q29" i="1"/>
  <c r="Q30" i="1" s="1"/>
  <c r="Q27" i="1"/>
  <c r="Q28" i="1" s="1"/>
  <c r="Q25" i="1"/>
  <c r="Q26" i="1" s="1"/>
  <c r="Q23" i="1"/>
  <c r="Q24" i="1" s="1"/>
  <c r="Q21" i="1"/>
  <c r="Q22" i="1" s="1"/>
  <c r="Q19" i="1"/>
  <c r="Q20" i="1" s="1"/>
  <c r="Q17" i="1"/>
  <c r="Q18" i="1" s="1"/>
  <c r="Q15" i="1"/>
  <c r="Q16" i="1" s="1"/>
  <c r="Q13" i="1"/>
  <c r="Q14" i="1" s="1"/>
  <c r="Q11" i="1"/>
  <c r="Q12" i="1" s="1"/>
  <c r="Q9" i="1"/>
  <c r="Q10" i="1" s="1"/>
  <c r="Q7" i="1"/>
  <c r="Q8" i="1" s="1"/>
  <c r="Q5" i="1"/>
  <c r="Q6" i="1" s="1"/>
  <c r="O941" i="1"/>
  <c r="O942" i="1" s="1"/>
  <c r="O939" i="1"/>
  <c r="O940" i="1" s="1"/>
  <c r="O937" i="1"/>
  <c r="O938" i="1" s="1"/>
  <c r="O935" i="1"/>
  <c r="O936" i="1" s="1"/>
  <c r="O933" i="1"/>
  <c r="O934" i="1" s="1"/>
  <c r="O931" i="1"/>
  <c r="O932" i="1" s="1"/>
  <c r="O929" i="1"/>
  <c r="O930" i="1" s="1"/>
  <c r="O927" i="1"/>
  <c r="O928" i="1" s="1"/>
  <c r="O925" i="1"/>
  <c r="O926" i="1" s="1"/>
  <c r="O923" i="1"/>
  <c r="O924" i="1" s="1"/>
  <c r="O921" i="1"/>
  <c r="O922" i="1" s="1"/>
  <c r="O919" i="1"/>
  <c r="O920" i="1" s="1"/>
  <c r="O917" i="1"/>
  <c r="O918" i="1" s="1"/>
  <c r="O915" i="1"/>
  <c r="O916" i="1" s="1"/>
  <c r="O913" i="1"/>
  <c r="O914" i="1" s="1"/>
  <c r="O911" i="1"/>
  <c r="O912" i="1" s="1"/>
  <c r="O909" i="1"/>
  <c r="O910" i="1" s="1"/>
  <c r="O907" i="1"/>
  <c r="O908" i="1" s="1"/>
  <c r="O905" i="1"/>
  <c r="O906" i="1" s="1"/>
  <c r="O903" i="1"/>
  <c r="O904" i="1" s="1"/>
  <c r="O901" i="1"/>
  <c r="O902" i="1" s="1"/>
  <c r="O899" i="1"/>
  <c r="O900" i="1" s="1"/>
  <c r="O897" i="1"/>
  <c r="O898" i="1" s="1"/>
  <c r="O895" i="1"/>
  <c r="O896" i="1" s="1"/>
  <c r="O893" i="1"/>
  <c r="O894" i="1" s="1"/>
  <c r="O891" i="1"/>
  <c r="O892" i="1" s="1"/>
  <c r="O889" i="1"/>
  <c r="O890" i="1" s="1"/>
  <c r="O887" i="1"/>
  <c r="O888" i="1" s="1"/>
  <c r="O885" i="1"/>
  <c r="O886" i="1" s="1"/>
  <c r="O883" i="1"/>
  <c r="O884" i="1" s="1"/>
  <c r="O881" i="1"/>
  <c r="O882" i="1" s="1"/>
  <c r="O879" i="1"/>
  <c r="O880" i="1" s="1"/>
  <c r="O877" i="1"/>
  <c r="O878" i="1" s="1"/>
  <c r="O875" i="1"/>
  <c r="O876" i="1" s="1"/>
  <c r="O873" i="1"/>
  <c r="O874" i="1" s="1"/>
  <c r="O871" i="1"/>
  <c r="O872" i="1" s="1"/>
  <c r="O869" i="1"/>
  <c r="O870" i="1" s="1"/>
  <c r="O867" i="1"/>
  <c r="O868" i="1" s="1"/>
  <c r="O865" i="1"/>
  <c r="O866" i="1" s="1"/>
  <c r="O863" i="1"/>
  <c r="O864" i="1" s="1"/>
  <c r="O861" i="1"/>
  <c r="O862" i="1" s="1"/>
  <c r="O859" i="1"/>
  <c r="O860" i="1" s="1"/>
  <c r="O857" i="1"/>
  <c r="O858" i="1" s="1"/>
  <c r="O855" i="1"/>
  <c r="O856" i="1" s="1"/>
  <c r="O853" i="1"/>
  <c r="O854" i="1" s="1"/>
  <c r="O851" i="1"/>
  <c r="O852" i="1" s="1"/>
  <c r="O849" i="1"/>
  <c r="O850" i="1" s="1"/>
  <c r="O847" i="1"/>
  <c r="O848" i="1" s="1"/>
  <c r="O845" i="1"/>
  <c r="O846" i="1" s="1"/>
  <c r="O843" i="1"/>
  <c r="O844" i="1" s="1"/>
  <c r="O841" i="1"/>
  <c r="O842" i="1" s="1"/>
  <c r="O839" i="1"/>
  <c r="O840" i="1" s="1"/>
  <c r="O837" i="1"/>
  <c r="O838" i="1" s="1"/>
  <c r="O835" i="1"/>
  <c r="O836" i="1" s="1"/>
  <c r="O833" i="1"/>
  <c r="O834" i="1" s="1"/>
  <c r="O831" i="1"/>
  <c r="O832" i="1" s="1"/>
  <c r="O829" i="1"/>
  <c r="O830" i="1" s="1"/>
  <c r="O827" i="1"/>
  <c r="O828" i="1" s="1"/>
  <c r="O825" i="1"/>
  <c r="O826" i="1" s="1"/>
  <c r="O823" i="1"/>
  <c r="O824" i="1" s="1"/>
  <c r="O821" i="1"/>
  <c r="O822" i="1" s="1"/>
  <c r="O819" i="1"/>
  <c r="O820" i="1" s="1"/>
  <c r="O817" i="1"/>
  <c r="O818" i="1" s="1"/>
  <c r="O815" i="1"/>
  <c r="O816" i="1" s="1"/>
  <c r="O813" i="1"/>
  <c r="O814" i="1" s="1"/>
  <c r="O811" i="1"/>
  <c r="O812" i="1" s="1"/>
  <c r="O809" i="1"/>
  <c r="O810" i="1" s="1"/>
  <c r="O807" i="1"/>
  <c r="O808" i="1" s="1"/>
  <c r="O805" i="1"/>
  <c r="O806" i="1" s="1"/>
  <c r="O803" i="1"/>
  <c r="O804" i="1" s="1"/>
  <c r="O801" i="1"/>
  <c r="O802" i="1" s="1"/>
  <c r="O799" i="1"/>
  <c r="O800" i="1" s="1"/>
  <c r="O797" i="1"/>
  <c r="O798" i="1" s="1"/>
  <c r="O795" i="1"/>
  <c r="O796" i="1" s="1"/>
  <c r="O793" i="1"/>
  <c r="O794" i="1" s="1"/>
  <c r="O791" i="1"/>
  <c r="O792" i="1" s="1"/>
  <c r="O789" i="1"/>
  <c r="O790" i="1" s="1"/>
  <c r="O787" i="1"/>
  <c r="O788" i="1" s="1"/>
  <c r="O785" i="1"/>
  <c r="O786" i="1" s="1"/>
  <c r="O783" i="1"/>
  <c r="O784" i="1" s="1"/>
  <c r="O781" i="1"/>
  <c r="O782" i="1" s="1"/>
  <c r="O779" i="1"/>
  <c r="O780" i="1" s="1"/>
  <c r="O777" i="1"/>
  <c r="O778" i="1" s="1"/>
  <c r="O775" i="1"/>
  <c r="O776" i="1" s="1"/>
  <c r="O773" i="1"/>
  <c r="O774" i="1" s="1"/>
  <c r="O771" i="1"/>
  <c r="O772" i="1" s="1"/>
  <c r="O769" i="1"/>
  <c r="O770" i="1" s="1"/>
  <c r="O767" i="1"/>
  <c r="O768" i="1" s="1"/>
  <c r="O765" i="1"/>
  <c r="O766" i="1" s="1"/>
  <c r="O763" i="1"/>
  <c r="O764" i="1" s="1"/>
  <c r="O761" i="1"/>
  <c r="O762" i="1" s="1"/>
  <c r="O759" i="1"/>
  <c r="O760" i="1" s="1"/>
  <c r="O757" i="1"/>
  <c r="O758" i="1" s="1"/>
  <c r="O755" i="1"/>
  <c r="O756" i="1" s="1"/>
  <c r="O753" i="1"/>
  <c r="O754" i="1" s="1"/>
  <c r="O751" i="1"/>
  <c r="O752" i="1" s="1"/>
  <c r="O749" i="1"/>
  <c r="O750" i="1" s="1"/>
  <c r="O747" i="1"/>
  <c r="O748" i="1" s="1"/>
  <c r="O745" i="1"/>
  <c r="O746" i="1" s="1"/>
  <c r="O743" i="1"/>
  <c r="O744" i="1" s="1"/>
  <c r="O741" i="1"/>
  <c r="O742" i="1" s="1"/>
  <c r="O739" i="1"/>
  <c r="O740" i="1" s="1"/>
  <c r="O737" i="1"/>
  <c r="O738" i="1" s="1"/>
  <c r="O735" i="1"/>
  <c r="O736" i="1" s="1"/>
  <c r="O733" i="1"/>
  <c r="O734" i="1" s="1"/>
  <c r="O731" i="1"/>
  <c r="O732" i="1" s="1"/>
  <c r="O729" i="1"/>
  <c r="O730" i="1" s="1"/>
  <c r="O727" i="1"/>
  <c r="O728" i="1" s="1"/>
  <c r="O725" i="1"/>
  <c r="O726" i="1" s="1"/>
  <c r="O723" i="1"/>
  <c r="O724" i="1" s="1"/>
  <c r="O721" i="1"/>
  <c r="O722" i="1" s="1"/>
  <c r="O719" i="1"/>
  <c r="O720" i="1" s="1"/>
  <c r="O717" i="1"/>
  <c r="O718" i="1" s="1"/>
  <c r="O715" i="1"/>
  <c r="O716" i="1" s="1"/>
  <c r="O713" i="1"/>
  <c r="O714" i="1" s="1"/>
  <c r="O711" i="1"/>
  <c r="O712" i="1" s="1"/>
  <c r="O709" i="1"/>
  <c r="O710" i="1" s="1"/>
  <c r="O707" i="1"/>
  <c r="O708" i="1" s="1"/>
  <c r="O705" i="1"/>
  <c r="O706" i="1" s="1"/>
  <c r="O703" i="1"/>
  <c r="O704" i="1" s="1"/>
  <c r="O701" i="1"/>
  <c r="O702" i="1" s="1"/>
  <c r="O699" i="1"/>
  <c r="O700" i="1" s="1"/>
  <c r="O697" i="1"/>
  <c r="O698" i="1" s="1"/>
  <c r="O695" i="1"/>
  <c r="O696" i="1" s="1"/>
  <c r="O693" i="1"/>
  <c r="O694" i="1" s="1"/>
  <c r="O691" i="1"/>
  <c r="O692" i="1" s="1"/>
  <c r="O689" i="1"/>
  <c r="O690" i="1" s="1"/>
  <c r="O687" i="1"/>
  <c r="O688" i="1" s="1"/>
  <c r="O685" i="1"/>
  <c r="O686" i="1" s="1"/>
  <c r="O683" i="1"/>
  <c r="O684" i="1" s="1"/>
  <c r="O681" i="1"/>
  <c r="O682" i="1" s="1"/>
  <c r="O679" i="1"/>
  <c r="O680" i="1" s="1"/>
  <c r="O677" i="1"/>
  <c r="O678" i="1" s="1"/>
  <c r="O675" i="1"/>
  <c r="O676" i="1" s="1"/>
  <c r="O673" i="1"/>
  <c r="O674" i="1" s="1"/>
  <c r="O671" i="1"/>
  <c r="O672" i="1" s="1"/>
  <c r="O669" i="1"/>
  <c r="O670" i="1" s="1"/>
  <c r="O667" i="1"/>
  <c r="O668" i="1" s="1"/>
  <c r="O665" i="1"/>
  <c r="O666" i="1" s="1"/>
  <c r="O663" i="1"/>
  <c r="O664" i="1" s="1"/>
  <c r="O661" i="1"/>
  <c r="O662" i="1" s="1"/>
  <c r="O659" i="1"/>
  <c r="O660" i="1" s="1"/>
  <c r="O657" i="1"/>
  <c r="O658" i="1" s="1"/>
  <c r="O655" i="1"/>
  <c r="O656" i="1" s="1"/>
  <c r="O653" i="1"/>
  <c r="O654" i="1" s="1"/>
  <c r="O651" i="1"/>
  <c r="O652" i="1" s="1"/>
  <c r="O649" i="1"/>
  <c r="O650" i="1" s="1"/>
  <c r="O647" i="1"/>
  <c r="O648" i="1" s="1"/>
  <c r="O645" i="1"/>
  <c r="O646" i="1" s="1"/>
  <c r="O643" i="1"/>
  <c r="O644" i="1" s="1"/>
  <c r="O641" i="1"/>
  <c r="O642" i="1" s="1"/>
  <c r="O639" i="1"/>
  <c r="O640" i="1" s="1"/>
  <c r="O637" i="1"/>
  <c r="O638" i="1" s="1"/>
  <c r="O635" i="1"/>
  <c r="O636" i="1" s="1"/>
  <c r="O633" i="1"/>
  <c r="O634" i="1" s="1"/>
  <c r="O631" i="1"/>
  <c r="O632" i="1" s="1"/>
  <c r="O629" i="1"/>
  <c r="O630" i="1" s="1"/>
  <c r="O627" i="1"/>
  <c r="O628" i="1" s="1"/>
  <c r="O625" i="1"/>
  <c r="O626" i="1" s="1"/>
  <c r="O623" i="1"/>
  <c r="O624" i="1" s="1"/>
  <c r="O621" i="1"/>
  <c r="O622" i="1" s="1"/>
  <c r="O619" i="1"/>
  <c r="O620" i="1" s="1"/>
  <c r="O617" i="1"/>
  <c r="O618" i="1" s="1"/>
  <c r="O615" i="1"/>
  <c r="O616" i="1" s="1"/>
  <c r="O613" i="1"/>
  <c r="O614" i="1" s="1"/>
  <c r="O611" i="1"/>
  <c r="O612" i="1" s="1"/>
  <c r="O609" i="1"/>
  <c r="O610" i="1" s="1"/>
  <c r="O607" i="1"/>
  <c r="O608" i="1" s="1"/>
  <c r="O605" i="1"/>
  <c r="O606" i="1" s="1"/>
  <c r="O603" i="1"/>
  <c r="O604" i="1" s="1"/>
  <c r="O601" i="1"/>
  <c r="O602" i="1" s="1"/>
  <c r="O599" i="1"/>
  <c r="O600" i="1" s="1"/>
  <c r="O597" i="1"/>
  <c r="O598" i="1" s="1"/>
  <c r="O595" i="1"/>
  <c r="O596" i="1" s="1"/>
  <c r="O593" i="1"/>
  <c r="O594" i="1" s="1"/>
  <c r="O591" i="1"/>
  <c r="O592" i="1" s="1"/>
  <c r="O589" i="1"/>
  <c r="O590" i="1" s="1"/>
  <c r="O587" i="1"/>
  <c r="O588" i="1" s="1"/>
  <c r="O585" i="1"/>
  <c r="O586" i="1" s="1"/>
  <c r="O583" i="1"/>
  <c r="O584" i="1" s="1"/>
  <c r="O581" i="1"/>
  <c r="O582" i="1" s="1"/>
  <c r="O579" i="1"/>
  <c r="O580" i="1" s="1"/>
  <c r="O577" i="1"/>
  <c r="O578" i="1" s="1"/>
  <c r="O575" i="1"/>
  <c r="O576" i="1" s="1"/>
  <c r="O573" i="1"/>
  <c r="O574" i="1" s="1"/>
  <c r="O571" i="1"/>
  <c r="O572" i="1" s="1"/>
  <c r="O569" i="1"/>
  <c r="O570" i="1" s="1"/>
  <c r="O567" i="1"/>
  <c r="O568" i="1" s="1"/>
  <c r="O565" i="1"/>
  <c r="O566" i="1" s="1"/>
  <c r="O563" i="1"/>
  <c r="O564" i="1" s="1"/>
  <c r="O561" i="1"/>
  <c r="O562" i="1" s="1"/>
  <c r="O559" i="1"/>
  <c r="O560" i="1" s="1"/>
  <c r="O557" i="1"/>
  <c r="O558" i="1" s="1"/>
  <c r="O555" i="1"/>
  <c r="O556" i="1" s="1"/>
  <c r="O553" i="1"/>
  <c r="O554" i="1" s="1"/>
  <c r="O551" i="1"/>
  <c r="O552" i="1" s="1"/>
  <c r="O549" i="1"/>
  <c r="O550" i="1" s="1"/>
  <c r="O547" i="1"/>
  <c r="O548" i="1" s="1"/>
  <c r="O545" i="1"/>
  <c r="O546" i="1" s="1"/>
  <c r="O543" i="1"/>
  <c r="O544" i="1" s="1"/>
  <c r="O541" i="1"/>
  <c r="O542" i="1" s="1"/>
  <c r="O539" i="1"/>
  <c r="O540" i="1" s="1"/>
  <c r="O537" i="1"/>
  <c r="O538" i="1" s="1"/>
  <c r="O535" i="1"/>
  <c r="O536" i="1" s="1"/>
  <c r="O533" i="1"/>
  <c r="O534" i="1" s="1"/>
  <c r="O531" i="1"/>
  <c r="O532" i="1" s="1"/>
  <c r="O529" i="1"/>
  <c r="O530" i="1" s="1"/>
  <c r="O527" i="1"/>
  <c r="O528" i="1" s="1"/>
  <c r="O525" i="1"/>
  <c r="O526" i="1" s="1"/>
  <c r="O523" i="1"/>
  <c r="O524" i="1" s="1"/>
  <c r="O521" i="1"/>
  <c r="O522" i="1" s="1"/>
  <c r="O519" i="1"/>
  <c r="O520" i="1" s="1"/>
  <c r="O517" i="1"/>
  <c r="O518" i="1" s="1"/>
  <c r="O515" i="1"/>
  <c r="O516" i="1" s="1"/>
  <c r="O513" i="1"/>
  <c r="O514" i="1" s="1"/>
  <c r="O511" i="1"/>
  <c r="O512" i="1" s="1"/>
  <c r="O509" i="1"/>
  <c r="O510" i="1" s="1"/>
  <c r="O507" i="1"/>
  <c r="O508" i="1" s="1"/>
  <c r="O505" i="1"/>
  <c r="O506" i="1" s="1"/>
  <c r="O503" i="1"/>
  <c r="O504" i="1" s="1"/>
  <c r="O501" i="1"/>
  <c r="O502" i="1" s="1"/>
  <c r="O499" i="1"/>
  <c r="O500" i="1" s="1"/>
  <c r="O497" i="1"/>
  <c r="O498" i="1" s="1"/>
  <c r="O495" i="1"/>
  <c r="O496" i="1" s="1"/>
  <c r="O493" i="1"/>
  <c r="O494" i="1" s="1"/>
  <c r="O491" i="1"/>
  <c r="O492" i="1" s="1"/>
  <c r="O489" i="1"/>
  <c r="O490" i="1" s="1"/>
  <c r="O487" i="1"/>
  <c r="O488" i="1" s="1"/>
  <c r="O485" i="1"/>
  <c r="O486" i="1" s="1"/>
  <c r="O483" i="1"/>
  <c r="O484" i="1" s="1"/>
  <c r="O481" i="1"/>
  <c r="O482" i="1" s="1"/>
  <c r="O479" i="1"/>
  <c r="O480" i="1" s="1"/>
  <c r="O477" i="1"/>
  <c r="O478" i="1" s="1"/>
  <c r="O475" i="1"/>
  <c r="O476" i="1" s="1"/>
  <c r="O473" i="1"/>
  <c r="O474" i="1" s="1"/>
  <c r="O471" i="1"/>
  <c r="O472" i="1" s="1"/>
  <c r="O469" i="1"/>
  <c r="O470" i="1" s="1"/>
  <c r="O467" i="1"/>
  <c r="O468" i="1" s="1"/>
  <c r="O465" i="1"/>
  <c r="O466" i="1" s="1"/>
  <c r="O463" i="1"/>
  <c r="O464" i="1" s="1"/>
  <c r="O461" i="1"/>
  <c r="O462" i="1" s="1"/>
  <c r="O459" i="1"/>
  <c r="O460" i="1" s="1"/>
  <c r="O457" i="1"/>
  <c r="O458" i="1" s="1"/>
  <c r="O455" i="1"/>
  <c r="O456" i="1" s="1"/>
  <c r="O453" i="1"/>
  <c r="O454" i="1" s="1"/>
  <c r="O451" i="1"/>
  <c r="O452" i="1" s="1"/>
  <c r="O449" i="1"/>
  <c r="O450" i="1" s="1"/>
  <c r="O447" i="1"/>
  <c r="O448" i="1" s="1"/>
  <c r="O445" i="1"/>
  <c r="O446" i="1" s="1"/>
  <c r="O443" i="1"/>
  <c r="O444" i="1" s="1"/>
  <c r="O441" i="1"/>
  <c r="O442" i="1" s="1"/>
  <c r="O439" i="1"/>
  <c r="O440" i="1" s="1"/>
  <c r="O437" i="1"/>
  <c r="O438" i="1" s="1"/>
  <c r="O435" i="1"/>
  <c r="O436" i="1" s="1"/>
  <c r="O433" i="1"/>
  <c r="O434" i="1" s="1"/>
  <c r="O431" i="1"/>
  <c r="O432" i="1" s="1"/>
  <c r="O429" i="1"/>
  <c r="O430" i="1" s="1"/>
  <c r="O427" i="1"/>
  <c r="O428" i="1" s="1"/>
  <c r="O425" i="1"/>
  <c r="O426" i="1" s="1"/>
  <c r="O423" i="1"/>
  <c r="O424" i="1" s="1"/>
  <c r="O421" i="1"/>
  <c r="O422" i="1" s="1"/>
  <c r="O419" i="1"/>
  <c r="O420" i="1" s="1"/>
  <c r="O417" i="1"/>
  <c r="O418" i="1" s="1"/>
  <c r="O415" i="1"/>
  <c r="O416" i="1" s="1"/>
  <c r="O413" i="1"/>
  <c r="O414" i="1" s="1"/>
  <c r="O411" i="1"/>
  <c r="O412" i="1" s="1"/>
  <c r="O409" i="1"/>
  <c r="O410" i="1" s="1"/>
  <c r="O407" i="1"/>
  <c r="O408" i="1" s="1"/>
  <c r="O405" i="1"/>
  <c r="O406" i="1" s="1"/>
  <c r="O403" i="1"/>
  <c r="O404" i="1" s="1"/>
  <c r="O401" i="1"/>
  <c r="O402" i="1" s="1"/>
  <c r="O399" i="1"/>
  <c r="O400" i="1" s="1"/>
  <c r="O397" i="1"/>
  <c r="O398" i="1" s="1"/>
  <c r="O395" i="1"/>
  <c r="O396" i="1" s="1"/>
  <c r="O393" i="1"/>
  <c r="O394" i="1" s="1"/>
  <c r="O391" i="1"/>
  <c r="O392" i="1" s="1"/>
  <c r="O389" i="1"/>
  <c r="O390" i="1" s="1"/>
  <c r="O387" i="1"/>
  <c r="O388" i="1" s="1"/>
  <c r="O385" i="1"/>
  <c r="O386" i="1" s="1"/>
  <c r="O383" i="1"/>
  <c r="O384" i="1" s="1"/>
  <c r="O381" i="1"/>
  <c r="O382" i="1" s="1"/>
  <c r="O379" i="1"/>
  <c r="O380" i="1" s="1"/>
  <c r="O377" i="1"/>
  <c r="O378" i="1" s="1"/>
  <c r="O375" i="1"/>
  <c r="O376" i="1" s="1"/>
  <c r="O373" i="1"/>
  <c r="O374" i="1" s="1"/>
  <c r="O371" i="1"/>
  <c r="O372" i="1" s="1"/>
  <c r="O369" i="1"/>
  <c r="O370" i="1" s="1"/>
  <c r="O367" i="1"/>
  <c r="O368" i="1" s="1"/>
  <c r="O365" i="1"/>
  <c r="O366" i="1" s="1"/>
  <c r="O363" i="1"/>
  <c r="O364" i="1" s="1"/>
  <c r="O361" i="1"/>
  <c r="O362" i="1" s="1"/>
  <c r="O359" i="1"/>
  <c r="O360" i="1" s="1"/>
  <c r="O357" i="1"/>
  <c r="O358" i="1" s="1"/>
  <c r="O355" i="1"/>
  <c r="O356" i="1" s="1"/>
  <c r="O353" i="1"/>
  <c r="O354" i="1" s="1"/>
  <c r="O351" i="1"/>
  <c r="O352" i="1" s="1"/>
  <c r="O349" i="1"/>
  <c r="O350" i="1" s="1"/>
  <c r="O347" i="1"/>
  <c r="O348" i="1" s="1"/>
  <c r="O345" i="1"/>
  <c r="O346" i="1" s="1"/>
  <c r="O343" i="1"/>
  <c r="O344" i="1" s="1"/>
  <c r="O341" i="1"/>
  <c r="O342" i="1" s="1"/>
  <c r="O339" i="1"/>
  <c r="O340" i="1" s="1"/>
  <c r="O337" i="1"/>
  <c r="O338" i="1" s="1"/>
  <c r="O335" i="1"/>
  <c r="O336" i="1" s="1"/>
  <c r="O333" i="1"/>
  <c r="O334" i="1" s="1"/>
  <c r="O331" i="1"/>
  <c r="O332" i="1" s="1"/>
  <c r="O329" i="1"/>
  <c r="O330" i="1" s="1"/>
  <c r="O327" i="1"/>
  <c r="O328" i="1" s="1"/>
  <c r="O325" i="1"/>
  <c r="O326" i="1" s="1"/>
  <c r="O323" i="1"/>
  <c r="O324" i="1" s="1"/>
  <c r="O321" i="1"/>
  <c r="O322" i="1" s="1"/>
  <c r="O319" i="1"/>
  <c r="O320" i="1" s="1"/>
  <c r="O317" i="1"/>
  <c r="O318" i="1" s="1"/>
  <c r="O315" i="1"/>
  <c r="O316" i="1" s="1"/>
  <c r="O313" i="1"/>
  <c r="O314" i="1" s="1"/>
  <c r="O311" i="1"/>
  <c r="O312" i="1" s="1"/>
  <c r="O309" i="1"/>
  <c r="O310" i="1" s="1"/>
  <c r="O307" i="1"/>
  <c r="O308" i="1" s="1"/>
  <c r="O305" i="1"/>
  <c r="O306" i="1" s="1"/>
  <c r="O303" i="1"/>
  <c r="O304" i="1" s="1"/>
  <c r="O301" i="1"/>
  <c r="O302" i="1" s="1"/>
  <c r="O299" i="1"/>
  <c r="O300" i="1" s="1"/>
  <c r="O297" i="1"/>
  <c r="O298" i="1" s="1"/>
  <c r="O295" i="1"/>
  <c r="O296" i="1" s="1"/>
  <c r="O293" i="1"/>
  <c r="O294" i="1" s="1"/>
  <c r="O291" i="1"/>
  <c r="O292" i="1" s="1"/>
  <c r="O289" i="1"/>
  <c r="O290" i="1" s="1"/>
  <c r="O287" i="1"/>
  <c r="O288" i="1" s="1"/>
  <c r="O285" i="1"/>
  <c r="O286" i="1" s="1"/>
  <c r="O283" i="1"/>
  <c r="O284" i="1" s="1"/>
  <c r="O281" i="1"/>
  <c r="O282" i="1" s="1"/>
  <c r="O279" i="1"/>
  <c r="O280" i="1" s="1"/>
  <c r="O277" i="1"/>
  <c r="O278" i="1" s="1"/>
  <c r="O275" i="1"/>
  <c r="O276" i="1" s="1"/>
  <c r="O273" i="1"/>
  <c r="O274" i="1" s="1"/>
  <c r="O271" i="1"/>
  <c r="O272" i="1" s="1"/>
  <c r="O269" i="1"/>
  <c r="O270" i="1" s="1"/>
  <c r="O267" i="1"/>
  <c r="O268" i="1" s="1"/>
  <c r="O265" i="1"/>
  <c r="O266" i="1" s="1"/>
  <c r="O263" i="1"/>
  <c r="O264" i="1" s="1"/>
  <c r="O261" i="1"/>
  <c r="O262" i="1" s="1"/>
  <c r="O259" i="1"/>
  <c r="O260" i="1" s="1"/>
  <c r="O257" i="1"/>
  <c r="O258" i="1" s="1"/>
  <c r="O255" i="1"/>
  <c r="O256" i="1" s="1"/>
  <c r="O253" i="1"/>
  <c r="O254" i="1" s="1"/>
  <c r="O251" i="1"/>
  <c r="O252" i="1" s="1"/>
  <c r="O249" i="1"/>
  <c r="O250" i="1" s="1"/>
  <c r="O247" i="1"/>
  <c r="O248" i="1" s="1"/>
  <c r="O245" i="1"/>
  <c r="O246" i="1" s="1"/>
  <c r="O243" i="1"/>
  <c r="O244" i="1" s="1"/>
  <c r="O241" i="1"/>
  <c r="O242" i="1" s="1"/>
  <c r="O239" i="1"/>
  <c r="O240" i="1" s="1"/>
  <c r="O237" i="1"/>
  <c r="O238" i="1" s="1"/>
  <c r="O235" i="1"/>
  <c r="O236" i="1" s="1"/>
  <c r="O233" i="1"/>
  <c r="O234" i="1" s="1"/>
  <c r="O231" i="1"/>
  <c r="O232" i="1" s="1"/>
  <c r="O229" i="1"/>
  <c r="O230" i="1" s="1"/>
  <c r="O227" i="1"/>
  <c r="O228" i="1" s="1"/>
  <c r="O225" i="1"/>
  <c r="O226" i="1" s="1"/>
  <c r="O223" i="1"/>
  <c r="O224" i="1" s="1"/>
  <c r="O221" i="1"/>
  <c r="O222" i="1" s="1"/>
  <c r="O219" i="1"/>
  <c r="O220" i="1" s="1"/>
  <c r="O217" i="1"/>
  <c r="O218" i="1" s="1"/>
  <c r="O215" i="1"/>
  <c r="O216" i="1" s="1"/>
  <c r="O213" i="1"/>
  <c r="O214" i="1" s="1"/>
  <c r="O211" i="1"/>
  <c r="O212" i="1" s="1"/>
  <c r="O209" i="1"/>
  <c r="O210" i="1" s="1"/>
  <c r="O207" i="1"/>
  <c r="O208" i="1" s="1"/>
  <c r="O205" i="1"/>
  <c r="O206" i="1" s="1"/>
  <c r="O203" i="1"/>
  <c r="O204" i="1" s="1"/>
  <c r="O201" i="1"/>
  <c r="O202" i="1" s="1"/>
  <c r="O199" i="1"/>
  <c r="O200" i="1" s="1"/>
  <c r="O197" i="1"/>
  <c r="O198" i="1" s="1"/>
  <c r="O195" i="1"/>
  <c r="O196" i="1" s="1"/>
  <c r="O193" i="1"/>
  <c r="O194" i="1" s="1"/>
  <c r="O191" i="1"/>
  <c r="O192" i="1" s="1"/>
  <c r="O189" i="1"/>
  <c r="O190" i="1" s="1"/>
  <c r="O187" i="1"/>
  <c r="O188" i="1" s="1"/>
  <c r="O185" i="1"/>
  <c r="O186" i="1" s="1"/>
  <c r="O183" i="1"/>
  <c r="O184" i="1" s="1"/>
  <c r="O181" i="1"/>
  <c r="O182" i="1" s="1"/>
  <c r="O179" i="1"/>
  <c r="O180" i="1" s="1"/>
  <c r="O177" i="1"/>
  <c r="O178" i="1" s="1"/>
  <c r="O175" i="1"/>
  <c r="O176" i="1" s="1"/>
  <c r="O173" i="1"/>
  <c r="O174" i="1" s="1"/>
  <c r="O171" i="1"/>
  <c r="O172" i="1" s="1"/>
  <c r="O169" i="1"/>
  <c r="O170" i="1" s="1"/>
  <c r="O167" i="1"/>
  <c r="O168" i="1" s="1"/>
  <c r="O165" i="1"/>
  <c r="O166" i="1" s="1"/>
  <c r="O163" i="1"/>
  <c r="O164" i="1" s="1"/>
  <c r="O161" i="1"/>
  <c r="O162" i="1" s="1"/>
  <c r="O159" i="1"/>
  <c r="O160" i="1" s="1"/>
  <c r="O157" i="1"/>
  <c r="O158" i="1" s="1"/>
  <c r="O155" i="1"/>
  <c r="O156" i="1" s="1"/>
  <c r="O153" i="1"/>
  <c r="O154" i="1" s="1"/>
  <c r="O151" i="1"/>
  <c r="O152" i="1" s="1"/>
  <c r="O149" i="1"/>
  <c r="O150" i="1" s="1"/>
  <c r="O147" i="1"/>
  <c r="O148" i="1" s="1"/>
  <c r="O145" i="1"/>
  <c r="O146" i="1" s="1"/>
  <c r="O143" i="1"/>
  <c r="O144" i="1" s="1"/>
  <c r="O141" i="1"/>
  <c r="O142" i="1" s="1"/>
  <c r="O139" i="1"/>
  <c r="O140" i="1" s="1"/>
  <c r="O137" i="1"/>
  <c r="O138" i="1" s="1"/>
  <c r="O135" i="1"/>
  <c r="O136" i="1" s="1"/>
  <c r="O133" i="1"/>
  <c r="O134" i="1" s="1"/>
  <c r="O131" i="1"/>
  <c r="O132" i="1" s="1"/>
  <c r="O129" i="1"/>
  <c r="O130" i="1" s="1"/>
  <c r="O127" i="1"/>
  <c r="O128" i="1" s="1"/>
  <c r="O125" i="1"/>
  <c r="O126" i="1" s="1"/>
  <c r="O123" i="1"/>
  <c r="O124" i="1" s="1"/>
  <c r="O121" i="1"/>
  <c r="O122" i="1" s="1"/>
  <c r="O119" i="1"/>
  <c r="O120" i="1" s="1"/>
  <c r="O117" i="1"/>
  <c r="O118" i="1" s="1"/>
  <c r="O115" i="1"/>
  <c r="O116" i="1" s="1"/>
  <c r="O113" i="1"/>
  <c r="O114" i="1" s="1"/>
  <c r="O111" i="1"/>
  <c r="O112" i="1" s="1"/>
  <c r="O109" i="1"/>
  <c r="O110" i="1" s="1"/>
  <c r="O107" i="1"/>
  <c r="O108" i="1" s="1"/>
  <c r="O105" i="1"/>
  <c r="O106" i="1" s="1"/>
  <c r="O103" i="1"/>
  <c r="O104" i="1" s="1"/>
  <c r="O101" i="1"/>
  <c r="O102" i="1" s="1"/>
  <c r="O99" i="1"/>
  <c r="O100" i="1" s="1"/>
  <c r="O97" i="1"/>
  <c r="O98" i="1" s="1"/>
  <c r="O95" i="1"/>
  <c r="O96" i="1" s="1"/>
  <c r="O93" i="1"/>
  <c r="O94" i="1" s="1"/>
  <c r="O91" i="1"/>
  <c r="O92" i="1" s="1"/>
  <c r="O89" i="1"/>
  <c r="O90" i="1" s="1"/>
  <c r="O87" i="1"/>
  <c r="O88" i="1" s="1"/>
  <c r="O85" i="1"/>
  <c r="O86" i="1" s="1"/>
  <c r="O83" i="1"/>
  <c r="O84" i="1" s="1"/>
  <c r="O81" i="1"/>
  <c r="O82" i="1" s="1"/>
  <c r="O79" i="1"/>
  <c r="O80" i="1" s="1"/>
  <c r="O77" i="1"/>
  <c r="O78" i="1" s="1"/>
  <c r="O75" i="1"/>
  <c r="O76" i="1" s="1"/>
  <c r="O73" i="1"/>
  <c r="O74" i="1" s="1"/>
  <c r="O71" i="1"/>
  <c r="O72" i="1" s="1"/>
  <c r="O69" i="1"/>
  <c r="O70" i="1" s="1"/>
  <c r="O67" i="1"/>
  <c r="O68" i="1" s="1"/>
  <c r="O65" i="1"/>
  <c r="O66" i="1" s="1"/>
  <c r="O63" i="1"/>
  <c r="O64" i="1" s="1"/>
  <c r="O61" i="1"/>
  <c r="O62" i="1" s="1"/>
  <c r="O59" i="1"/>
  <c r="O60" i="1" s="1"/>
  <c r="O57" i="1"/>
  <c r="O58" i="1" s="1"/>
  <c r="O55" i="1"/>
  <c r="O56" i="1" s="1"/>
  <c r="O53" i="1"/>
  <c r="O54" i="1" s="1"/>
  <c r="O51" i="1"/>
  <c r="O52" i="1" s="1"/>
  <c r="O49" i="1"/>
  <c r="O50" i="1" s="1"/>
  <c r="O47" i="1"/>
  <c r="O48" i="1" s="1"/>
  <c r="O45" i="1"/>
  <c r="O46" i="1" s="1"/>
  <c r="O43" i="1"/>
  <c r="O44" i="1" s="1"/>
  <c r="O41" i="1"/>
  <c r="O42" i="1" s="1"/>
  <c r="O39" i="1"/>
  <c r="O40" i="1" s="1"/>
  <c r="O37" i="1"/>
  <c r="O38" i="1" s="1"/>
  <c r="O35" i="1"/>
  <c r="O36" i="1" s="1"/>
  <c r="O33" i="1"/>
  <c r="O34" i="1" s="1"/>
  <c r="O31" i="1"/>
  <c r="O32" i="1" s="1"/>
  <c r="O29" i="1"/>
  <c r="O30" i="1" s="1"/>
  <c r="O27" i="1"/>
  <c r="O28" i="1" s="1"/>
  <c r="O25" i="1"/>
  <c r="O26" i="1" s="1"/>
  <c r="O23" i="1"/>
  <c r="O24" i="1" s="1"/>
  <c r="O21" i="1"/>
  <c r="O22" i="1" s="1"/>
  <c r="O19" i="1"/>
  <c r="O20" i="1" s="1"/>
  <c r="O17" i="1"/>
  <c r="O18" i="1" s="1"/>
  <c r="O15" i="1"/>
  <c r="O16" i="1" s="1"/>
  <c r="O13" i="1"/>
  <c r="O14" i="1" s="1"/>
  <c r="O11" i="1"/>
  <c r="O12" i="1" s="1"/>
  <c r="O9" i="1"/>
  <c r="O10" i="1" s="1"/>
  <c r="O7" i="1"/>
  <c r="O8" i="1" s="1"/>
  <c r="O5" i="1"/>
  <c r="O6" i="1" s="1"/>
  <c r="P948" i="1" l="1"/>
  <c r="E8" i="13"/>
  <c r="N941" i="1"/>
  <c r="N942" i="1" s="1"/>
  <c r="N939" i="1"/>
  <c r="N940" i="1" s="1"/>
  <c r="N937" i="1"/>
  <c r="N938" i="1" s="1"/>
  <c r="N935" i="1"/>
  <c r="N936" i="1" s="1"/>
  <c r="N933" i="1"/>
  <c r="N934" i="1" s="1"/>
  <c r="N931" i="1"/>
  <c r="N932" i="1" s="1"/>
  <c r="N929" i="1"/>
  <c r="N930" i="1" s="1"/>
  <c r="N927" i="1"/>
  <c r="N928" i="1" s="1"/>
  <c r="N925" i="1"/>
  <c r="N926" i="1" s="1"/>
  <c r="N923" i="1"/>
  <c r="N924" i="1" s="1"/>
  <c r="N921" i="1"/>
  <c r="N922" i="1" s="1"/>
  <c r="N919" i="1"/>
  <c r="N920" i="1" s="1"/>
  <c r="N917" i="1"/>
  <c r="N918" i="1" s="1"/>
  <c r="N915" i="1"/>
  <c r="N916" i="1" s="1"/>
  <c r="N913" i="1"/>
  <c r="N914" i="1" s="1"/>
  <c r="N911" i="1"/>
  <c r="N912" i="1" s="1"/>
  <c r="N909" i="1"/>
  <c r="N910" i="1" s="1"/>
  <c r="N907" i="1"/>
  <c r="N908" i="1" s="1"/>
  <c r="N905" i="1"/>
  <c r="N906" i="1" s="1"/>
  <c r="N903" i="1"/>
  <c r="N904" i="1" s="1"/>
  <c r="N901" i="1"/>
  <c r="N902" i="1" s="1"/>
  <c r="N899" i="1"/>
  <c r="N900" i="1" s="1"/>
  <c r="N897" i="1"/>
  <c r="N898" i="1" s="1"/>
  <c r="N895" i="1"/>
  <c r="N896" i="1" s="1"/>
  <c r="N893" i="1"/>
  <c r="N894" i="1" s="1"/>
  <c r="N891" i="1"/>
  <c r="N892" i="1" s="1"/>
  <c r="N889" i="1"/>
  <c r="N890" i="1" s="1"/>
  <c r="N887" i="1"/>
  <c r="N888" i="1" s="1"/>
  <c r="N885" i="1"/>
  <c r="N886" i="1" s="1"/>
  <c r="N883" i="1"/>
  <c r="N884" i="1" s="1"/>
  <c r="N881" i="1"/>
  <c r="N882" i="1" s="1"/>
  <c r="N879" i="1"/>
  <c r="N880" i="1" s="1"/>
  <c r="N877" i="1"/>
  <c r="N878" i="1" s="1"/>
  <c r="N875" i="1"/>
  <c r="N876" i="1" s="1"/>
  <c r="N873" i="1"/>
  <c r="N874" i="1" s="1"/>
  <c r="N871" i="1"/>
  <c r="N872" i="1" s="1"/>
  <c r="N869" i="1"/>
  <c r="N870" i="1" s="1"/>
  <c r="N867" i="1"/>
  <c r="N868" i="1" s="1"/>
  <c r="N865" i="1"/>
  <c r="N866" i="1" s="1"/>
  <c r="N863" i="1"/>
  <c r="N864" i="1" s="1"/>
  <c r="N861" i="1"/>
  <c r="N862" i="1" s="1"/>
  <c r="N859" i="1"/>
  <c r="N860" i="1" s="1"/>
  <c r="N857" i="1"/>
  <c r="N858" i="1" s="1"/>
  <c r="N855" i="1"/>
  <c r="N856" i="1" s="1"/>
  <c r="N853" i="1"/>
  <c r="N854" i="1" s="1"/>
  <c r="N851" i="1"/>
  <c r="N852" i="1" s="1"/>
  <c r="N849" i="1"/>
  <c r="N850" i="1" s="1"/>
  <c r="N847" i="1"/>
  <c r="N848" i="1" s="1"/>
  <c r="N845" i="1"/>
  <c r="N846" i="1" s="1"/>
  <c r="N843" i="1"/>
  <c r="N844" i="1" s="1"/>
  <c r="N841" i="1"/>
  <c r="N842" i="1" s="1"/>
  <c r="N839" i="1"/>
  <c r="N840" i="1" s="1"/>
  <c r="N837" i="1"/>
  <c r="N838" i="1" s="1"/>
  <c r="N835" i="1"/>
  <c r="N836" i="1" s="1"/>
  <c r="N833" i="1"/>
  <c r="N834" i="1" s="1"/>
  <c r="N831" i="1"/>
  <c r="N832" i="1" s="1"/>
  <c r="N829" i="1"/>
  <c r="N830" i="1" s="1"/>
  <c r="N827" i="1"/>
  <c r="N828" i="1" s="1"/>
  <c r="N825" i="1"/>
  <c r="N826" i="1" s="1"/>
  <c r="N823" i="1"/>
  <c r="N824" i="1" s="1"/>
  <c r="N821" i="1"/>
  <c r="N822" i="1" s="1"/>
  <c r="N819" i="1"/>
  <c r="N820" i="1" s="1"/>
  <c r="N817" i="1"/>
  <c r="N818" i="1" s="1"/>
  <c r="N815" i="1"/>
  <c r="N816" i="1" s="1"/>
  <c r="N813" i="1"/>
  <c r="N814" i="1" s="1"/>
  <c r="N811" i="1"/>
  <c r="N812" i="1" s="1"/>
  <c r="N809" i="1"/>
  <c r="N810" i="1" s="1"/>
  <c r="N807" i="1"/>
  <c r="N808" i="1" s="1"/>
  <c r="N805" i="1"/>
  <c r="N806" i="1" s="1"/>
  <c r="N803" i="1"/>
  <c r="N804" i="1" s="1"/>
  <c r="N801" i="1"/>
  <c r="N802" i="1" s="1"/>
  <c r="N799" i="1"/>
  <c r="N800" i="1" s="1"/>
  <c r="N797" i="1"/>
  <c r="N798" i="1" s="1"/>
  <c r="N795" i="1"/>
  <c r="N796" i="1" s="1"/>
  <c r="N793" i="1"/>
  <c r="N794" i="1" s="1"/>
  <c r="N791" i="1"/>
  <c r="N792" i="1" s="1"/>
  <c r="N789" i="1"/>
  <c r="N790" i="1" s="1"/>
  <c r="N787" i="1"/>
  <c r="N788" i="1" s="1"/>
  <c r="N785" i="1"/>
  <c r="N786" i="1" s="1"/>
  <c r="N783" i="1"/>
  <c r="N784" i="1" s="1"/>
  <c r="N781" i="1"/>
  <c r="N782" i="1" s="1"/>
  <c r="N779" i="1"/>
  <c r="N780" i="1" s="1"/>
  <c r="N777" i="1"/>
  <c r="N778" i="1" s="1"/>
  <c r="N775" i="1"/>
  <c r="N776" i="1" s="1"/>
  <c r="N773" i="1"/>
  <c r="N774" i="1" s="1"/>
  <c r="N771" i="1"/>
  <c r="N772" i="1" s="1"/>
  <c r="N769" i="1"/>
  <c r="N770" i="1" s="1"/>
  <c r="N767" i="1"/>
  <c r="N768" i="1" s="1"/>
  <c r="N765" i="1"/>
  <c r="N766" i="1" s="1"/>
  <c r="N763" i="1"/>
  <c r="N764" i="1" s="1"/>
  <c r="N761" i="1"/>
  <c r="N762" i="1" s="1"/>
  <c r="N759" i="1"/>
  <c r="N760" i="1" s="1"/>
  <c r="N757" i="1"/>
  <c r="N758" i="1" s="1"/>
  <c r="N755" i="1"/>
  <c r="N756" i="1" s="1"/>
  <c r="N753" i="1"/>
  <c r="N754" i="1" s="1"/>
  <c r="N751" i="1"/>
  <c r="N752" i="1" s="1"/>
  <c r="N749" i="1"/>
  <c r="N750" i="1" s="1"/>
  <c r="N747" i="1"/>
  <c r="N748" i="1" s="1"/>
  <c r="N745" i="1"/>
  <c r="N746" i="1" s="1"/>
  <c r="N743" i="1"/>
  <c r="N744" i="1" s="1"/>
  <c r="N741" i="1"/>
  <c r="N742" i="1" s="1"/>
  <c r="N739" i="1"/>
  <c r="N740" i="1" s="1"/>
  <c r="N737" i="1"/>
  <c r="N738" i="1" s="1"/>
  <c r="N735" i="1"/>
  <c r="N736" i="1" s="1"/>
  <c r="N733" i="1"/>
  <c r="N734" i="1" s="1"/>
  <c r="N731" i="1"/>
  <c r="N732" i="1" s="1"/>
  <c r="N729" i="1"/>
  <c r="N730" i="1" s="1"/>
  <c r="N727" i="1"/>
  <c r="N728" i="1" s="1"/>
  <c r="N725" i="1"/>
  <c r="N726" i="1" s="1"/>
  <c r="N723" i="1"/>
  <c r="N724" i="1" s="1"/>
  <c r="N721" i="1"/>
  <c r="N722" i="1" s="1"/>
  <c r="N719" i="1"/>
  <c r="N720" i="1" s="1"/>
  <c r="N717" i="1"/>
  <c r="N718" i="1" s="1"/>
  <c r="N715" i="1"/>
  <c r="N716" i="1" s="1"/>
  <c r="N713" i="1"/>
  <c r="N714" i="1" s="1"/>
  <c r="N711" i="1"/>
  <c r="N712" i="1" s="1"/>
  <c r="N709" i="1"/>
  <c r="N710" i="1" s="1"/>
  <c r="N707" i="1"/>
  <c r="N708" i="1" s="1"/>
  <c r="N705" i="1"/>
  <c r="N706" i="1" s="1"/>
  <c r="N703" i="1"/>
  <c r="N704" i="1" s="1"/>
  <c r="N701" i="1"/>
  <c r="N702" i="1" s="1"/>
  <c r="N699" i="1"/>
  <c r="N700" i="1" s="1"/>
  <c r="N697" i="1"/>
  <c r="N698" i="1" s="1"/>
  <c r="N695" i="1"/>
  <c r="N696" i="1" s="1"/>
  <c r="N693" i="1"/>
  <c r="N694" i="1" s="1"/>
  <c r="N691" i="1"/>
  <c r="N692" i="1" s="1"/>
  <c r="N689" i="1"/>
  <c r="N690" i="1" s="1"/>
  <c r="N687" i="1"/>
  <c r="N688" i="1" s="1"/>
  <c r="N685" i="1"/>
  <c r="N686" i="1" s="1"/>
  <c r="N683" i="1"/>
  <c r="N684" i="1" s="1"/>
  <c r="N681" i="1"/>
  <c r="N682" i="1" s="1"/>
  <c r="N679" i="1"/>
  <c r="N680" i="1" s="1"/>
  <c r="N677" i="1"/>
  <c r="N678" i="1" s="1"/>
  <c r="N675" i="1"/>
  <c r="N676" i="1" s="1"/>
  <c r="N673" i="1"/>
  <c r="N674" i="1" s="1"/>
  <c r="N671" i="1"/>
  <c r="N672" i="1" s="1"/>
  <c r="N669" i="1"/>
  <c r="N670" i="1" s="1"/>
  <c r="N667" i="1"/>
  <c r="N668" i="1" s="1"/>
  <c r="N665" i="1"/>
  <c r="N666" i="1" s="1"/>
  <c r="N663" i="1"/>
  <c r="N664" i="1" s="1"/>
  <c r="N661" i="1"/>
  <c r="N662" i="1" s="1"/>
  <c r="N659" i="1"/>
  <c r="N660" i="1" s="1"/>
  <c r="N657" i="1"/>
  <c r="N658" i="1" s="1"/>
  <c r="N655" i="1"/>
  <c r="N656" i="1" s="1"/>
  <c r="N653" i="1"/>
  <c r="N654" i="1" s="1"/>
  <c r="N651" i="1"/>
  <c r="N652" i="1" s="1"/>
  <c r="N649" i="1"/>
  <c r="N650" i="1" s="1"/>
  <c r="N647" i="1"/>
  <c r="N648" i="1" s="1"/>
  <c r="N645" i="1"/>
  <c r="N646" i="1" s="1"/>
  <c r="N643" i="1"/>
  <c r="N644" i="1" s="1"/>
  <c r="N641" i="1"/>
  <c r="N642" i="1" s="1"/>
  <c r="N639" i="1"/>
  <c r="N640" i="1" s="1"/>
  <c r="N637" i="1"/>
  <c r="N638" i="1" s="1"/>
  <c r="N635" i="1"/>
  <c r="N636" i="1" s="1"/>
  <c r="N633" i="1"/>
  <c r="N634" i="1" s="1"/>
  <c r="N631" i="1"/>
  <c r="N632" i="1" s="1"/>
  <c r="N629" i="1"/>
  <c r="N630" i="1" s="1"/>
  <c r="N627" i="1"/>
  <c r="N628" i="1" s="1"/>
  <c r="N625" i="1"/>
  <c r="N626" i="1" s="1"/>
  <c r="N623" i="1"/>
  <c r="N624" i="1" s="1"/>
  <c r="N621" i="1"/>
  <c r="N622" i="1" s="1"/>
  <c r="N619" i="1"/>
  <c r="N620" i="1" s="1"/>
  <c r="N617" i="1"/>
  <c r="N618" i="1" s="1"/>
  <c r="N615" i="1"/>
  <c r="N616" i="1" s="1"/>
  <c r="N613" i="1"/>
  <c r="N614" i="1" s="1"/>
  <c r="N611" i="1"/>
  <c r="N612" i="1" s="1"/>
  <c r="N609" i="1"/>
  <c r="N610" i="1" s="1"/>
  <c r="N607" i="1"/>
  <c r="N608" i="1" s="1"/>
  <c r="N605" i="1"/>
  <c r="N606" i="1" s="1"/>
  <c r="N603" i="1"/>
  <c r="N604" i="1" s="1"/>
  <c r="N601" i="1"/>
  <c r="N602" i="1" s="1"/>
  <c r="N599" i="1"/>
  <c r="N600" i="1" s="1"/>
  <c r="N597" i="1"/>
  <c r="N598" i="1" s="1"/>
  <c r="N595" i="1"/>
  <c r="N596" i="1" s="1"/>
  <c r="N593" i="1"/>
  <c r="N594" i="1" s="1"/>
  <c r="N591" i="1"/>
  <c r="N592" i="1" s="1"/>
  <c r="N589" i="1"/>
  <c r="N590" i="1" s="1"/>
  <c r="N587" i="1"/>
  <c r="N588" i="1" s="1"/>
  <c r="N585" i="1"/>
  <c r="N586" i="1" s="1"/>
  <c r="N583" i="1"/>
  <c r="N584" i="1" s="1"/>
  <c r="N581" i="1"/>
  <c r="N582" i="1" s="1"/>
  <c r="N579" i="1"/>
  <c r="N580" i="1" s="1"/>
  <c r="N577" i="1"/>
  <c r="N578" i="1" s="1"/>
  <c r="N575" i="1"/>
  <c r="N576" i="1" s="1"/>
  <c r="N573" i="1"/>
  <c r="N574" i="1" s="1"/>
  <c r="N571" i="1"/>
  <c r="N572" i="1" s="1"/>
  <c r="N569" i="1"/>
  <c r="N570" i="1" s="1"/>
  <c r="N567" i="1"/>
  <c r="N568" i="1" s="1"/>
  <c r="N565" i="1"/>
  <c r="N566" i="1" s="1"/>
  <c r="N563" i="1"/>
  <c r="N564" i="1" s="1"/>
  <c r="N561" i="1"/>
  <c r="N562" i="1" s="1"/>
  <c r="N559" i="1"/>
  <c r="N560" i="1" s="1"/>
  <c r="N557" i="1"/>
  <c r="N558" i="1" s="1"/>
  <c r="N555" i="1"/>
  <c r="N556" i="1" s="1"/>
  <c r="N553" i="1"/>
  <c r="N554" i="1" s="1"/>
  <c r="N551" i="1"/>
  <c r="N552" i="1" s="1"/>
  <c r="N549" i="1"/>
  <c r="N550" i="1" s="1"/>
  <c r="N547" i="1"/>
  <c r="N548" i="1" s="1"/>
  <c r="N545" i="1"/>
  <c r="N546" i="1" s="1"/>
  <c r="N543" i="1"/>
  <c r="N544" i="1" s="1"/>
  <c r="N541" i="1"/>
  <c r="N542" i="1" s="1"/>
  <c r="N539" i="1"/>
  <c r="N540" i="1" s="1"/>
  <c r="N537" i="1"/>
  <c r="N538" i="1" s="1"/>
  <c r="N535" i="1"/>
  <c r="N536" i="1" s="1"/>
  <c r="N533" i="1"/>
  <c r="N534" i="1" s="1"/>
  <c r="N531" i="1"/>
  <c r="N532" i="1" s="1"/>
  <c r="N529" i="1"/>
  <c r="N530" i="1" s="1"/>
  <c r="N527" i="1"/>
  <c r="N528" i="1" s="1"/>
  <c r="N525" i="1"/>
  <c r="N526" i="1" s="1"/>
  <c r="N523" i="1"/>
  <c r="N524" i="1" s="1"/>
  <c r="N521" i="1"/>
  <c r="N522" i="1" s="1"/>
  <c r="N519" i="1"/>
  <c r="N520" i="1" s="1"/>
  <c r="N517" i="1"/>
  <c r="N518" i="1" s="1"/>
  <c r="N515" i="1"/>
  <c r="N516" i="1" s="1"/>
  <c r="N513" i="1"/>
  <c r="N514" i="1" s="1"/>
  <c r="N511" i="1"/>
  <c r="N512" i="1" s="1"/>
  <c r="N509" i="1"/>
  <c r="N510" i="1" s="1"/>
  <c r="N507" i="1"/>
  <c r="N508" i="1" s="1"/>
  <c r="N505" i="1"/>
  <c r="N506" i="1" s="1"/>
  <c r="N503" i="1"/>
  <c r="N504" i="1" s="1"/>
  <c r="N501" i="1"/>
  <c r="N502" i="1" s="1"/>
  <c r="N499" i="1"/>
  <c r="N500" i="1" s="1"/>
  <c r="N497" i="1"/>
  <c r="N498" i="1" s="1"/>
  <c r="N495" i="1"/>
  <c r="N496" i="1" s="1"/>
  <c r="N493" i="1"/>
  <c r="N494" i="1" s="1"/>
  <c r="N491" i="1"/>
  <c r="N492" i="1" s="1"/>
  <c r="N489" i="1"/>
  <c r="N490" i="1" s="1"/>
  <c r="N487" i="1"/>
  <c r="N488" i="1" s="1"/>
  <c r="N485" i="1"/>
  <c r="N486" i="1" s="1"/>
  <c r="N483" i="1"/>
  <c r="N484" i="1" s="1"/>
  <c r="N481" i="1"/>
  <c r="N482" i="1" s="1"/>
  <c r="N479" i="1"/>
  <c r="N480" i="1" s="1"/>
  <c r="N477" i="1"/>
  <c r="N478" i="1" s="1"/>
  <c r="N475" i="1"/>
  <c r="N476" i="1" s="1"/>
  <c r="N473" i="1"/>
  <c r="N474" i="1" s="1"/>
  <c r="N471" i="1"/>
  <c r="N472" i="1" s="1"/>
  <c r="N469" i="1"/>
  <c r="N470" i="1" s="1"/>
  <c r="N467" i="1"/>
  <c r="N468" i="1" s="1"/>
  <c r="N465" i="1"/>
  <c r="N466" i="1" s="1"/>
  <c r="N463" i="1"/>
  <c r="N464" i="1" s="1"/>
  <c r="N461" i="1"/>
  <c r="N462" i="1" s="1"/>
  <c r="N459" i="1"/>
  <c r="N460" i="1" s="1"/>
  <c r="N457" i="1"/>
  <c r="N458" i="1" s="1"/>
  <c r="N455" i="1"/>
  <c r="N456" i="1" s="1"/>
  <c r="N453" i="1"/>
  <c r="N454" i="1" s="1"/>
  <c r="N451" i="1"/>
  <c r="N452" i="1" s="1"/>
  <c r="N449" i="1"/>
  <c r="N450" i="1" s="1"/>
  <c r="N447" i="1"/>
  <c r="N448" i="1" s="1"/>
  <c r="N445" i="1"/>
  <c r="N446" i="1" s="1"/>
  <c r="N443" i="1"/>
  <c r="N444" i="1" s="1"/>
  <c r="N441" i="1"/>
  <c r="N442" i="1" s="1"/>
  <c r="N439" i="1"/>
  <c r="N440" i="1" s="1"/>
  <c r="N437" i="1"/>
  <c r="N438" i="1" s="1"/>
  <c r="N435" i="1"/>
  <c r="N436" i="1" s="1"/>
  <c r="N433" i="1"/>
  <c r="N434" i="1" s="1"/>
  <c r="N431" i="1"/>
  <c r="N432" i="1" s="1"/>
  <c r="N429" i="1"/>
  <c r="N430" i="1" s="1"/>
  <c r="N427" i="1"/>
  <c r="N428" i="1" s="1"/>
  <c r="N425" i="1"/>
  <c r="N426" i="1" s="1"/>
  <c r="N423" i="1"/>
  <c r="N424" i="1" s="1"/>
  <c r="N421" i="1"/>
  <c r="N422" i="1" s="1"/>
  <c r="N419" i="1"/>
  <c r="N420" i="1" s="1"/>
  <c r="N417" i="1"/>
  <c r="N418" i="1" s="1"/>
  <c r="N415" i="1"/>
  <c r="N416" i="1" s="1"/>
  <c r="N413" i="1"/>
  <c r="N414" i="1" s="1"/>
  <c r="N411" i="1"/>
  <c r="N412" i="1" s="1"/>
  <c r="N409" i="1"/>
  <c r="N410" i="1" s="1"/>
  <c r="N407" i="1"/>
  <c r="N408" i="1" s="1"/>
  <c r="N405" i="1"/>
  <c r="N406" i="1" s="1"/>
  <c r="N403" i="1"/>
  <c r="N404" i="1" s="1"/>
  <c r="N401" i="1"/>
  <c r="N402" i="1" s="1"/>
  <c r="N399" i="1"/>
  <c r="N400" i="1" s="1"/>
  <c r="N397" i="1"/>
  <c r="N398" i="1" s="1"/>
  <c r="N395" i="1"/>
  <c r="N396" i="1" s="1"/>
  <c r="N393" i="1"/>
  <c r="N394" i="1" s="1"/>
  <c r="N391" i="1"/>
  <c r="N392" i="1" s="1"/>
  <c r="N389" i="1"/>
  <c r="N390" i="1" s="1"/>
  <c r="N387" i="1"/>
  <c r="N388" i="1" s="1"/>
  <c r="N385" i="1"/>
  <c r="N386" i="1" s="1"/>
  <c r="N383" i="1"/>
  <c r="N384" i="1" s="1"/>
  <c r="N381" i="1"/>
  <c r="N382" i="1" s="1"/>
  <c r="N379" i="1"/>
  <c r="N380" i="1" s="1"/>
  <c r="N377" i="1"/>
  <c r="N378" i="1" s="1"/>
  <c r="N375" i="1"/>
  <c r="N376" i="1" s="1"/>
  <c r="N373" i="1"/>
  <c r="N374" i="1" s="1"/>
  <c r="N371" i="1"/>
  <c r="N372" i="1" s="1"/>
  <c r="N369" i="1"/>
  <c r="N370" i="1" s="1"/>
  <c r="N367" i="1"/>
  <c r="N368" i="1" s="1"/>
  <c r="N365" i="1"/>
  <c r="N366" i="1" s="1"/>
  <c r="N363" i="1"/>
  <c r="N364" i="1" s="1"/>
  <c r="N361" i="1"/>
  <c r="N362" i="1" s="1"/>
  <c r="N359" i="1"/>
  <c r="N360" i="1" s="1"/>
  <c r="N357" i="1"/>
  <c r="N358" i="1" s="1"/>
  <c r="N355" i="1"/>
  <c r="N356" i="1" s="1"/>
  <c r="N353" i="1"/>
  <c r="N354" i="1" s="1"/>
  <c r="N351" i="1"/>
  <c r="N352" i="1" s="1"/>
  <c r="N349" i="1"/>
  <c r="N350" i="1" s="1"/>
  <c r="N347" i="1"/>
  <c r="N348" i="1" s="1"/>
  <c r="N345" i="1"/>
  <c r="N346" i="1" s="1"/>
  <c r="N343" i="1"/>
  <c r="N344" i="1" s="1"/>
  <c r="N341" i="1"/>
  <c r="N342" i="1" s="1"/>
  <c r="N339" i="1"/>
  <c r="N340" i="1" s="1"/>
  <c r="N337" i="1"/>
  <c r="N338" i="1" s="1"/>
  <c r="N335" i="1"/>
  <c r="N336" i="1" s="1"/>
  <c r="N333" i="1"/>
  <c r="N334" i="1" s="1"/>
  <c r="N331" i="1"/>
  <c r="N332" i="1" s="1"/>
  <c r="N329" i="1"/>
  <c r="N330" i="1" s="1"/>
  <c r="N327" i="1"/>
  <c r="N328" i="1" s="1"/>
  <c r="N325" i="1"/>
  <c r="N326" i="1" s="1"/>
  <c r="N323" i="1"/>
  <c r="N324" i="1" s="1"/>
  <c r="N321" i="1"/>
  <c r="N322" i="1" s="1"/>
  <c r="N319" i="1"/>
  <c r="N320" i="1" s="1"/>
  <c r="N317" i="1"/>
  <c r="N318" i="1" s="1"/>
  <c r="N315" i="1"/>
  <c r="N316" i="1" s="1"/>
  <c r="N313" i="1"/>
  <c r="N314" i="1" s="1"/>
  <c r="N311" i="1"/>
  <c r="N312" i="1" s="1"/>
  <c r="N309" i="1"/>
  <c r="N310" i="1" s="1"/>
  <c r="N307" i="1"/>
  <c r="N308" i="1" s="1"/>
  <c r="N305" i="1"/>
  <c r="N306" i="1" s="1"/>
  <c r="N303" i="1"/>
  <c r="N304" i="1" s="1"/>
  <c r="N301" i="1"/>
  <c r="N302" i="1" s="1"/>
  <c r="N299" i="1"/>
  <c r="N300" i="1" s="1"/>
  <c r="N297" i="1"/>
  <c r="N298" i="1" s="1"/>
  <c r="N295" i="1"/>
  <c r="N296" i="1" s="1"/>
  <c r="N293" i="1"/>
  <c r="N294" i="1" s="1"/>
  <c r="N291" i="1"/>
  <c r="N292" i="1" s="1"/>
  <c r="N289" i="1"/>
  <c r="N290" i="1" s="1"/>
  <c r="N287" i="1"/>
  <c r="N288" i="1" s="1"/>
  <c r="N285" i="1"/>
  <c r="N286" i="1" s="1"/>
  <c r="N283" i="1"/>
  <c r="N284" i="1" s="1"/>
  <c r="N281" i="1"/>
  <c r="N282" i="1" s="1"/>
  <c r="N279" i="1"/>
  <c r="N280" i="1" s="1"/>
  <c r="N277" i="1"/>
  <c r="N278" i="1" s="1"/>
  <c r="N275" i="1"/>
  <c r="N276" i="1" s="1"/>
  <c r="N273" i="1"/>
  <c r="N274" i="1" s="1"/>
  <c r="N271" i="1"/>
  <c r="N272" i="1" s="1"/>
  <c r="N269" i="1"/>
  <c r="N270" i="1" s="1"/>
  <c r="N267" i="1"/>
  <c r="N268" i="1" s="1"/>
  <c r="N265" i="1"/>
  <c r="N266" i="1" s="1"/>
  <c r="N263" i="1"/>
  <c r="N264" i="1" s="1"/>
  <c r="N261" i="1"/>
  <c r="N262" i="1" s="1"/>
  <c r="N259" i="1"/>
  <c r="N260" i="1" s="1"/>
  <c r="N257" i="1"/>
  <c r="N258" i="1" s="1"/>
  <c r="N255" i="1"/>
  <c r="N256" i="1" s="1"/>
  <c r="N253" i="1"/>
  <c r="N254" i="1" s="1"/>
  <c r="N251" i="1"/>
  <c r="N252" i="1" s="1"/>
  <c r="N249" i="1"/>
  <c r="N250" i="1" s="1"/>
  <c r="N247" i="1"/>
  <c r="N248" i="1" s="1"/>
  <c r="N245" i="1"/>
  <c r="N246" i="1" s="1"/>
  <c r="N243" i="1"/>
  <c r="N244" i="1" s="1"/>
  <c r="N241" i="1"/>
  <c r="N242" i="1" s="1"/>
  <c r="N239" i="1"/>
  <c r="N240" i="1" s="1"/>
  <c r="N237" i="1"/>
  <c r="N238" i="1" s="1"/>
  <c r="N235" i="1"/>
  <c r="N236" i="1" s="1"/>
  <c r="N233" i="1"/>
  <c r="N234" i="1" s="1"/>
  <c r="N231" i="1"/>
  <c r="N232" i="1" s="1"/>
  <c r="N229" i="1"/>
  <c r="N230" i="1" s="1"/>
  <c r="N227" i="1"/>
  <c r="N228" i="1" s="1"/>
  <c r="N225" i="1"/>
  <c r="N226" i="1" s="1"/>
  <c r="N223" i="1"/>
  <c r="N224" i="1" s="1"/>
  <c r="N221" i="1"/>
  <c r="N222" i="1" s="1"/>
  <c r="N219" i="1"/>
  <c r="N220" i="1" s="1"/>
  <c r="N217" i="1"/>
  <c r="N218" i="1" s="1"/>
  <c r="N215" i="1"/>
  <c r="N216" i="1" s="1"/>
  <c r="N213" i="1"/>
  <c r="N214" i="1" s="1"/>
  <c r="N211" i="1"/>
  <c r="N212" i="1" s="1"/>
  <c r="N209" i="1"/>
  <c r="N210" i="1" s="1"/>
  <c r="N207" i="1"/>
  <c r="N208" i="1" s="1"/>
  <c r="N205" i="1"/>
  <c r="N206" i="1" s="1"/>
  <c r="N203" i="1"/>
  <c r="N204" i="1" s="1"/>
  <c r="N201" i="1"/>
  <c r="N202" i="1" s="1"/>
  <c r="N199" i="1"/>
  <c r="N200" i="1" s="1"/>
  <c r="N197" i="1"/>
  <c r="N198" i="1" s="1"/>
  <c r="N195" i="1"/>
  <c r="N196" i="1" s="1"/>
  <c r="N193" i="1"/>
  <c r="N194" i="1" s="1"/>
  <c r="N191" i="1"/>
  <c r="N192" i="1" s="1"/>
  <c r="N189" i="1"/>
  <c r="N190" i="1" s="1"/>
  <c r="N187" i="1"/>
  <c r="N188" i="1" s="1"/>
  <c r="N185" i="1"/>
  <c r="N186" i="1" s="1"/>
  <c r="N183" i="1"/>
  <c r="N184" i="1" s="1"/>
  <c r="N181" i="1"/>
  <c r="N182" i="1" s="1"/>
  <c r="N179" i="1"/>
  <c r="N180" i="1" s="1"/>
  <c r="N177" i="1"/>
  <c r="N178" i="1" s="1"/>
  <c r="N175" i="1"/>
  <c r="N176" i="1" s="1"/>
  <c r="N173" i="1"/>
  <c r="N174" i="1" s="1"/>
  <c r="N171" i="1"/>
  <c r="N172" i="1" s="1"/>
  <c r="N169" i="1"/>
  <c r="N170" i="1" s="1"/>
  <c r="N167" i="1"/>
  <c r="N168" i="1" s="1"/>
  <c r="N165" i="1"/>
  <c r="N166" i="1" s="1"/>
  <c r="N163" i="1"/>
  <c r="N164" i="1" s="1"/>
  <c r="N161" i="1"/>
  <c r="N162" i="1" s="1"/>
  <c r="N159" i="1"/>
  <c r="N160" i="1" s="1"/>
  <c r="N157" i="1"/>
  <c r="N158" i="1" s="1"/>
  <c r="N155" i="1"/>
  <c r="N156" i="1" s="1"/>
  <c r="N153" i="1"/>
  <c r="N154" i="1" s="1"/>
  <c r="N151" i="1"/>
  <c r="N152" i="1" s="1"/>
  <c r="N149" i="1"/>
  <c r="N150" i="1" s="1"/>
  <c r="N147" i="1"/>
  <c r="N148" i="1" s="1"/>
  <c r="N145" i="1"/>
  <c r="N146" i="1" s="1"/>
  <c r="N143" i="1"/>
  <c r="N144" i="1" s="1"/>
  <c r="N141" i="1"/>
  <c r="N142" i="1" s="1"/>
  <c r="N139" i="1"/>
  <c r="N140" i="1" s="1"/>
  <c r="N137" i="1"/>
  <c r="N138" i="1" s="1"/>
  <c r="N135" i="1"/>
  <c r="N136" i="1" s="1"/>
  <c r="N133" i="1"/>
  <c r="N134" i="1" s="1"/>
  <c r="N131" i="1"/>
  <c r="N132" i="1" s="1"/>
  <c r="N129" i="1"/>
  <c r="N130" i="1" s="1"/>
  <c r="N127" i="1"/>
  <c r="N128" i="1" s="1"/>
  <c r="N125" i="1"/>
  <c r="N126" i="1" s="1"/>
  <c r="N123" i="1"/>
  <c r="N124" i="1" s="1"/>
  <c r="N121" i="1"/>
  <c r="N122" i="1" s="1"/>
  <c r="N119" i="1"/>
  <c r="N120" i="1" s="1"/>
  <c r="N117" i="1"/>
  <c r="N118" i="1" s="1"/>
  <c r="N115" i="1"/>
  <c r="N116" i="1" s="1"/>
  <c r="N113" i="1"/>
  <c r="N114" i="1" s="1"/>
  <c r="N111" i="1"/>
  <c r="N112" i="1" s="1"/>
  <c r="N109" i="1"/>
  <c r="N110" i="1" s="1"/>
  <c r="N107" i="1"/>
  <c r="N108" i="1" s="1"/>
  <c r="N105" i="1"/>
  <c r="N106" i="1" s="1"/>
  <c r="N103" i="1"/>
  <c r="N104" i="1" s="1"/>
  <c r="N101" i="1"/>
  <c r="N102" i="1" s="1"/>
  <c r="N99" i="1"/>
  <c r="N100" i="1" s="1"/>
  <c r="N97" i="1"/>
  <c r="N98" i="1" s="1"/>
  <c r="N95" i="1"/>
  <c r="N96" i="1" s="1"/>
  <c r="N93" i="1"/>
  <c r="N94" i="1" s="1"/>
  <c r="N91" i="1"/>
  <c r="N92" i="1" s="1"/>
  <c r="N89" i="1"/>
  <c r="N90" i="1" s="1"/>
  <c r="N87" i="1"/>
  <c r="N88" i="1" s="1"/>
  <c r="N85" i="1"/>
  <c r="N86" i="1" s="1"/>
  <c r="N83" i="1"/>
  <c r="N84" i="1" s="1"/>
  <c r="N81" i="1"/>
  <c r="N82" i="1" s="1"/>
  <c r="N79" i="1"/>
  <c r="N80" i="1" s="1"/>
  <c r="N77" i="1"/>
  <c r="N78" i="1" s="1"/>
  <c r="N75" i="1"/>
  <c r="N76" i="1" s="1"/>
  <c r="N73" i="1"/>
  <c r="N74" i="1" s="1"/>
  <c r="N71" i="1"/>
  <c r="N72" i="1" s="1"/>
  <c r="N69" i="1"/>
  <c r="N70" i="1" s="1"/>
  <c r="N67" i="1"/>
  <c r="N68" i="1" s="1"/>
  <c r="N65" i="1"/>
  <c r="N66" i="1" s="1"/>
  <c r="N63" i="1"/>
  <c r="N64" i="1" s="1"/>
  <c r="N61" i="1"/>
  <c r="N62" i="1" s="1"/>
  <c r="N59" i="1"/>
  <c r="N60" i="1" s="1"/>
  <c r="N57" i="1"/>
  <c r="N58" i="1" s="1"/>
  <c r="N55" i="1"/>
  <c r="N56" i="1" s="1"/>
  <c r="N53" i="1"/>
  <c r="N54" i="1" s="1"/>
  <c r="N51" i="1"/>
  <c r="N52" i="1" s="1"/>
  <c r="N49" i="1"/>
  <c r="N50" i="1" s="1"/>
  <c r="N47" i="1"/>
  <c r="N48" i="1" s="1"/>
  <c r="N45" i="1"/>
  <c r="N46" i="1" s="1"/>
  <c r="N43" i="1"/>
  <c r="N44" i="1" s="1"/>
  <c r="N41" i="1"/>
  <c r="N42" i="1" s="1"/>
  <c r="N39" i="1"/>
  <c r="N40" i="1" s="1"/>
  <c r="N37" i="1"/>
  <c r="N38" i="1" s="1"/>
  <c r="N35" i="1"/>
  <c r="N36" i="1" s="1"/>
  <c r="N33" i="1"/>
  <c r="N34" i="1" s="1"/>
  <c r="N31" i="1"/>
  <c r="N32" i="1" s="1"/>
  <c r="N29" i="1"/>
  <c r="N30" i="1" s="1"/>
  <c r="N27" i="1"/>
  <c r="N28" i="1" s="1"/>
  <c r="N25" i="1"/>
  <c r="N26" i="1" s="1"/>
  <c r="N23" i="1"/>
  <c r="N24" i="1" s="1"/>
  <c r="N21" i="1"/>
  <c r="N22" i="1" s="1"/>
  <c r="N19" i="1"/>
  <c r="N20" i="1" s="1"/>
  <c r="N17" i="1"/>
  <c r="N18" i="1" s="1"/>
  <c r="N15" i="1"/>
  <c r="N16" i="1" s="1"/>
  <c r="N13" i="1"/>
  <c r="N14" i="1" s="1"/>
  <c r="N11" i="1"/>
  <c r="N12" i="1" s="1"/>
  <c r="N9" i="1"/>
  <c r="N10" i="1" s="1"/>
  <c r="N7" i="1"/>
  <c r="N8" i="1" s="1"/>
  <c r="N5" i="1"/>
  <c r="N6" i="1" s="1"/>
  <c r="M941" i="1"/>
  <c r="M942" i="1" s="1"/>
  <c r="M939" i="1"/>
  <c r="M940" i="1" s="1"/>
  <c r="M937" i="1"/>
  <c r="M938" i="1" s="1"/>
  <c r="M935" i="1"/>
  <c r="M936" i="1" s="1"/>
  <c r="M933" i="1"/>
  <c r="M934" i="1" s="1"/>
  <c r="M931" i="1"/>
  <c r="M932" i="1" s="1"/>
  <c r="M929" i="1"/>
  <c r="M930" i="1" s="1"/>
  <c r="M927" i="1"/>
  <c r="M928" i="1" s="1"/>
  <c r="M925" i="1"/>
  <c r="M926" i="1" s="1"/>
  <c r="M923" i="1"/>
  <c r="M924" i="1" s="1"/>
  <c r="M921" i="1"/>
  <c r="M922" i="1" s="1"/>
  <c r="M919" i="1"/>
  <c r="M920" i="1" s="1"/>
  <c r="M917" i="1"/>
  <c r="M918" i="1" s="1"/>
  <c r="M915" i="1"/>
  <c r="M916" i="1" s="1"/>
  <c r="M913" i="1"/>
  <c r="M914" i="1" s="1"/>
  <c r="M911" i="1"/>
  <c r="M912" i="1" s="1"/>
  <c r="M909" i="1"/>
  <c r="M910" i="1" s="1"/>
  <c r="M907" i="1"/>
  <c r="M908" i="1" s="1"/>
  <c r="M905" i="1"/>
  <c r="M906" i="1" s="1"/>
  <c r="M903" i="1"/>
  <c r="M904" i="1" s="1"/>
  <c r="M901" i="1"/>
  <c r="M902" i="1" s="1"/>
  <c r="M899" i="1"/>
  <c r="M900" i="1" s="1"/>
  <c r="M897" i="1"/>
  <c r="M898" i="1" s="1"/>
  <c r="M895" i="1"/>
  <c r="M896" i="1" s="1"/>
  <c r="M893" i="1"/>
  <c r="M894" i="1" s="1"/>
  <c r="M891" i="1"/>
  <c r="M892" i="1" s="1"/>
  <c r="M889" i="1"/>
  <c r="M890" i="1" s="1"/>
  <c r="M887" i="1"/>
  <c r="M888" i="1" s="1"/>
  <c r="M885" i="1"/>
  <c r="M886" i="1" s="1"/>
  <c r="M883" i="1"/>
  <c r="M884" i="1" s="1"/>
  <c r="M881" i="1"/>
  <c r="M882" i="1" s="1"/>
  <c r="M879" i="1"/>
  <c r="M880" i="1" s="1"/>
  <c r="M877" i="1"/>
  <c r="M878" i="1" s="1"/>
  <c r="M875" i="1"/>
  <c r="M876" i="1" s="1"/>
  <c r="M873" i="1"/>
  <c r="M874" i="1" s="1"/>
  <c r="M871" i="1"/>
  <c r="M872" i="1" s="1"/>
  <c r="M869" i="1"/>
  <c r="M870" i="1" s="1"/>
  <c r="M867" i="1"/>
  <c r="M868" i="1" s="1"/>
  <c r="M865" i="1"/>
  <c r="M866" i="1" s="1"/>
  <c r="M863" i="1"/>
  <c r="M864" i="1" s="1"/>
  <c r="M861" i="1"/>
  <c r="M862" i="1" s="1"/>
  <c r="M859" i="1"/>
  <c r="M860" i="1" s="1"/>
  <c r="M857" i="1"/>
  <c r="M858" i="1" s="1"/>
  <c r="M855" i="1"/>
  <c r="M856" i="1" s="1"/>
  <c r="M853" i="1"/>
  <c r="M854" i="1" s="1"/>
  <c r="M851" i="1"/>
  <c r="M852" i="1" s="1"/>
  <c r="M849" i="1"/>
  <c r="M850" i="1" s="1"/>
  <c r="M847" i="1"/>
  <c r="M848" i="1" s="1"/>
  <c r="M845" i="1"/>
  <c r="M846" i="1" s="1"/>
  <c r="M843" i="1"/>
  <c r="M844" i="1" s="1"/>
  <c r="M841" i="1"/>
  <c r="M842" i="1" s="1"/>
  <c r="M839" i="1"/>
  <c r="M840" i="1" s="1"/>
  <c r="M837" i="1"/>
  <c r="M838" i="1" s="1"/>
  <c r="M835" i="1"/>
  <c r="M836" i="1" s="1"/>
  <c r="M833" i="1"/>
  <c r="M834" i="1" s="1"/>
  <c r="M831" i="1"/>
  <c r="M832" i="1" s="1"/>
  <c r="M829" i="1"/>
  <c r="M830" i="1" s="1"/>
  <c r="M827" i="1"/>
  <c r="M828" i="1" s="1"/>
  <c r="M825" i="1"/>
  <c r="M826" i="1" s="1"/>
  <c r="M823" i="1"/>
  <c r="M824" i="1" s="1"/>
  <c r="M821" i="1"/>
  <c r="M822" i="1" s="1"/>
  <c r="M819" i="1"/>
  <c r="M820" i="1" s="1"/>
  <c r="M817" i="1"/>
  <c r="M818" i="1" s="1"/>
  <c r="M815" i="1"/>
  <c r="M816" i="1" s="1"/>
  <c r="M813" i="1"/>
  <c r="M814" i="1" s="1"/>
  <c r="M811" i="1"/>
  <c r="M812" i="1" s="1"/>
  <c r="M809" i="1"/>
  <c r="M810" i="1" s="1"/>
  <c r="M807" i="1"/>
  <c r="M808" i="1" s="1"/>
  <c r="M805" i="1"/>
  <c r="M806" i="1" s="1"/>
  <c r="M803" i="1"/>
  <c r="M804" i="1" s="1"/>
  <c r="M801" i="1"/>
  <c r="M802" i="1" s="1"/>
  <c r="M799" i="1"/>
  <c r="M800" i="1" s="1"/>
  <c r="M797" i="1"/>
  <c r="M798" i="1" s="1"/>
  <c r="M795" i="1"/>
  <c r="M796" i="1" s="1"/>
  <c r="M793" i="1"/>
  <c r="M794" i="1" s="1"/>
  <c r="M791" i="1"/>
  <c r="M792" i="1" s="1"/>
  <c r="M789" i="1"/>
  <c r="M790" i="1" s="1"/>
  <c r="M787" i="1"/>
  <c r="M788" i="1" s="1"/>
  <c r="M785" i="1"/>
  <c r="M786" i="1" s="1"/>
  <c r="M783" i="1"/>
  <c r="M784" i="1" s="1"/>
  <c r="M781" i="1"/>
  <c r="M782" i="1" s="1"/>
  <c r="M779" i="1"/>
  <c r="M780" i="1" s="1"/>
  <c r="M777" i="1"/>
  <c r="M778" i="1" s="1"/>
  <c r="M775" i="1"/>
  <c r="M776" i="1" s="1"/>
  <c r="M773" i="1"/>
  <c r="M774" i="1" s="1"/>
  <c r="M771" i="1"/>
  <c r="M772" i="1" s="1"/>
  <c r="M769" i="1"/>
  <c r="M770" i="1" s="1"/>
  <c r="M767" i="1"/>
  <c r="M768" i="1" s="1"/>
  <c r="M765" i="1"/>
  <c r="M766" i="1" s="1"/>
  <c r="M763" i="1"/>
  <c r="M764" i="1" s="1"/>
  <c r="M761" i="1"/>
  <c r="M762" i="1" s="1"/>
  <c r="M759" i="1"/>
  <c r="M760" i="1" s="1"/>
  <c r="M757" i="1"/>
  <c r="M758" i="1" s="1"/>
  <c r="M755" i="1"/>
  <c r="M756" i="1" s="1"/>
  <c r="M753" i="1"/>
  <c r="M754" i="1" s="1"/>
  <c r="M751" i="1"/>
  <c r="M752" i="1" s="1"/>
  <c r="M749" i="1"/>
  <c r="M750" i="1" s="1"/>
  <c r="M747" i="1"/>
  <c r="M748" i="1" s="1"/>
  <c r="M745" i="1"/>
  <c r="M746" i="1" s="1"/>
  <c r="M743" i="1"/>
  <c r="M744" i="1" s="1"/>
  <c r="M741" i="1"/>
  <c r="M742" i="1" s="1"/>
  <c r="M739" i="1"/>
  <c r="M740" i="1" s="1"/>
  <c r="M737" i="1"/>
  <c r="M738" i="1" s="1"/>
  <c r="M735" i="1"/>
  <c r="M736" i="1" s="1"/>
  <c r="M733" i="1"/>
  <c r="M734" i="1" s="1"/>
  <c r="M731" i="1"/>
  <c r="M732" i="1" s="1"/>
  <c r="M729" i="1"/>
  <c r="M730" i="1" s="1"/>
  <c r="M727" i="1"/>
  <c r="M728" i="1" s="1"/>
  <c r="M725" i="1"/>
  <c r="M726" i="1" s="1"/>
  <c r="M723" i="1"/>
  <c r="M724" i="1" s="1"/>
  <c r="M721" i="1"/>
  <c r="M722" i="1" s="1"/>
  <c r="M719" i="1"/>
  <c r="M720" i="1" s="1"/>
  <c r="M717" i="1"/>
  <c r="M718" i="1" s="1"/>
  <c r="M715" i="1"/>
  <c r="M716" i="1" s="1"/>
  <c r="M713" i="1"/>
  <c r="M714" i="1" s="1"/>
  <c r="M711" i="1"/>
  <c r="M712" i="1" s="1"/>
  <c r="M709" i="1"/>
  <c r="M710" i="1" s="1"/>
  <c r="M707" i="1"/>
  <c r="M708" i="1" s="1"/>
  <c r="M705" i="1"/>
  <c r="M706" i="1" s="1"/>
  <c r="M703" i="1"/>
  <c r="M704" i="1" s="1"/>
  <c r="M701" i="1"/>
  <c r="M702" i="1" s="1"/>
  <c r="M699" i="1"/>
  <c r="M700" i="1" s="1"/>
  <c r="M697" i="1"/>
  <c r="M698" i="1" s="1"/>
  <c r="M695" i="1"/>
  <c r="M696" i="1" s="1"/>
  <c r="M693" i="1"/>
  <c r="M694" i="1" s="1"/>
  <c r="M691" i="1"/>
  <c r="M692" i="1" s="1"/>
  <c r="M689" i="1"/>
  <c r="M690" i="1" s="1"/>
  <c r="M687" i="1"/>
  <c r="M688" i="1" s="1"/>
  <c r="M685" i="1"/>
  <c r="M686" i="1" s="1"/>
  <c r="M683" i="1"/>
  <c r="M684" i="1" s="1"/>
  <c r="M681" i="1"/>
  <c r="M682" i="1" s="1"/>
  <c r="M679" i="1"/>
  <c r="M680" i="1" s="1"/>
  <c r="M677" i="1"/>
  <c r="M678" i="1" s="1"/>
  <c r="M675" i="1"/>
  <c r="M676" i="1" s="1"/>
  <c r="M673" i="1"/>
  <c r="M674" i="1" s="1"/>
  <c r="M671" i="1"/>
  <c r="M672" i="1" s="1"/>
  <c r="M669" i="1"/>
  <c r="M670" i="1" s="1"/>
  <c r="M667" i="1"/>
  <c r="M668" i="1" s="1"/>
  <c r="M665" i="1"/>
  <c r="M666" i="1" s="1"/>
  <c r="M663" i="1"/>
  <c r="M664" i="1" s="1"/>
  <c r="M661" i="1"/>
  <c r="M662" i="1" s="1"/>
  <c r="M659" i="1"/>
  <c r="M660" i="1" s="1"/>
  <c r="M657" i="1"/>
  <c r="M658" i="1" s="1"/>
  <c r="M655" i="1"/>
  <c r="M656" i="1" s="1"/>
  <c r="M653" i="1"/>
  <c r="M654" i="1" s="1"/>
  <c r="M651" i="1"/>
  <c r="M652" i="1" s="1"/>
  <c r="M649" i="1"/>
  <c r="M650" i="1" s="1"/>
  <c r="M647" i="1"/>
  <c r="M648" i="1" s="1"/>
  <c r="M645" i="1"/>
  <c r="M646" i="1" s="1"/>
  <c r="M643" i="1"/>
  <c r="M644" i="1" s="1"/>
  <c r="M641" i="1"/>
  <c r="M642" i="1" s="1"/>
  <c r="M639" i="1"/>
  <c r="M640" i="1" s="1"/>
  <c r="M637" i="1"/>
  <c r="M638" i="1" s="1"/>
  <c r="M635" i="1"/>
  <c r="M636" i="1" s="1"/>
  <c r="M633" i="1"/>
  <c r="M634" i="1" s="1"/>
  <c r="M631" i="1"/>
  <c r="M632" i="1" s="1"/>
  <c r="M629" i="1"/>
  <c r="M630" i="1" s="1"/>
  <c r="M627" i="1"/>
  <c r="M628" i="1" s="1"/>
  <c r="M625" i="1"/>
  <c r="M626" i="1" s="1"/>
  <c r="M623" i="1"/>
  <c r="M624" i="1" s="1"/>
  <c r="M621" i="1"/>
  <c r="M622" i="1" s="1"/>
  <c r="M619" i="1"/>
  <c r="M620" i="1" s="1"/>
  <c r="M617" i="1"/>
  <c r="M618" i="1" s="1"/>
  <c r="M615" i="1"/>
  <c r="M616" i="1" s="1"/>
  <c r="M613" i="1"/>
  <c r="M614" i="1" s="1"/>
  <c r="M611" i="1"/>
  <c r="M612" i="1" s="1"/>
  <c r="M609" i="1"/>
  <c r="M610" i="1" s="1"/>
  <c r="M607" i="1"/>
  <c r="M608" i="1" s="1"/>
  <c r="M605" i="1"/>
  <c r="M606" i="1" s="1"/>
  <c r="M603" i="1"/>
  <c r="M604" i="1" s="1"/>
  <c r="M601" i="1"/>
  <c r="M602" i="1" s="1"/>
  <c r="M599" i="1"/>
  <c r="M600" i="1" s="1"/>
  <c r="M597" i="1"/>
  <c r="M598" i="1" s="1"/>
  <c r="M595" i="1"/>
  <c r="M596" i="1" s="1"/>
  <c r="M593" i="1"/>
  <c r="M594" i="1" s="1"/>
  <c r="M591" i="1"/>
  <c r="M592" i="1" s="1"/>
  <c r="M589" i="1"/>
  <c r="M590" i="1" s="1"/>
  <c r="M587" i="1"/>
  <c r="M588" i="1" s="1"/>
  <c r="M585" i="1"/>
  <c r="M586" i="1" s="1"/>
  <c r="M583" i="1"/>
  <c r="M584" i="1" s="1"/>
  <c r="M581" i="1"/>
  <c r="M582" i="1" s="1"/>
  <c r="M579" i="1"/>
  <c r="M580" i="1" s="1"/>
  <c r="M577" i="1"/>
  <c r="M578" i="1" s="1"/>
  <c r="M575" i="1"/>
  <c r="M576" i="1" s="1"/>
  <c r="M573" i="1"/>
  <c r="M574" i="1" s="1"/>
  <c r="M571" i="1"/>
  <c r="M572" i="1" s="1"/>
  <c r="M569" i="1"/>
  <c r="M570" i="1" s="1"/>
  <c r="M567" i="1"/>
  <c r="M568" i="1" s="1"/>
  <c r="M565" i="1"/>
  <c r="M566" i="1" s="1"/>
  <c r="M563" i="1"/>
  <c r="M564" i="1" s="1"/>
  <c r="M561" i="1"/>
  <c r="M562" i="1" s="1"/>
  <c r="M559" i="1"/>
  <c r="M560" i="1" s="1"/>
  <c r="M557" i="1"/>
  <c r="M558" i="1" s="1"/>
  <c r="M555" i="1"/>
  <c r="M556" i="1" s="1"/>
  <c r="M553" i="1"/>
  <c r="M554" i="1" s="1"/>
  <c r="M551" i="1"/>
  <c r="M552" i="1" s="1"/>
  <c r="M549" i="1"/>
  <c r="M550" i="1" s="1"/>
  <c r="M547" i="1"/>
  <c r="M548" i="1" s="1"/>
  <c r="M545" i="1"/>
  <c r="M546" i="1" s="1"/>
  <c r="M543" i="1"/>
  <c r="M544" i="1" s="1"/>
  <c r="M541" i="1"/>
  <c r="M542" i="1" s="1"/>
  <c r="M539" i="1"/>
  <c r="M540" i="1" s="1"/>
  <c r="M537" i="1"/>
  <c r="M538" i="1" s="1"/>
  <c r="M535" i="1"/>
  <c r="M536" i="1" s="1"/>
  <c r="M533" i="1"/>
  <c r="M534" i="1" s="1"/>
  <c r="M531" i="1"/>
  <c r="M532" i="1" s="1"/>
  <c r="M529" i="1"/>
  <c r="M530" i="1" s="1"/>
  <c r="M527" i="1"/>
  <c r="M528" i="1" s="1"/>
  <c r="M525" i="1"/>
  <c r="M526" i="1" s="1"/>
  <c r="M523" i="1"/>
  <c r="M524" i="1" s="1"/>
  <c r="M521" i="1"/>
  <c r="M522" i="1" s="1"/>
  <c r="M519" i="1"/>
  <c r="M520" i="1" s="1"/>
  <c r="M517" i="1"/>
  <c r="M518" i="1" s="1"/>
  <c r="M515" i="1"/>
  <c r="M516" i="1" s="1"/>
  <c r="M513" i="1"/>
  <c r="M514" i="1" s="1"/>
  <c r="M511" i="1"/>
  <c r="M512" i="1" s="1"/>
  <c r="M509" i="1"/>
  <c r="M510" i="1" s="1"/>
  <c r="M507" i="1"/>
  <c r="M508" i="1" s="1"/>
  <c r="M505" i="1"/>
  <c r="M506" i="1" s="1"/>
  <c r="M503" i="1"/>
  <c r="M504" i="1" s="1"/>
  <c r="M501" i="1"/>
  <c r="M502" i="1" s="1"/>
  <c r="M499" i="1"/>
  <c r="M500" i="1" s="1"/>
  <c r="M497" i="1"/>
  <c r="M498" i="1" s="1"/>
  <c r="M495" i="1"/>
  <c r="M496" i="1" s="1"/>
  <c r="M493" i="1"/>
  <c r="M494" i="1" s="1"/>
  <c r="M491" i="1"/>
  <c r="M492" i="1" s="1"/>
  <c r="M489" i="1"/>
  <c r="M490" i="1" s="1"/>
  <c r="M487" i="1"/>
  <c r="M488" i="1" s="1"/>
  <c r="M485" i="1"/>
  <c r="M486" i="1" s="1"/>
  <c r="M483" i="1"/>
  <c r="M484" i="1" s="1"/>
  <c r="M481" i="1"/>
  <c r="M482" i="1" s="1"/>
  <c r="M479" i="1"/>
  <c r="M480" i="1" s="1"/>
  <c r="M477" i="1"/>
  <c r="M478" i="1" s="1"/>
  <c r="M475" i="1"/>
  <c r="M476" i="1" s="1"/>
  <c r="M473" i="1"/>
  <c r="M474" i="1" s="1"/>
  <c r="M471" i="1"/>
  <c r="M472" i="1" s="1"/>
  <c r="M469" i="1"/>
  <c r="M470" i="1" s="1"/>
  <c r="M467" i="1"/>
  <c r="M468" i="1" s="1"/>
  <c r="M465" i="1"/>
  <c r="M466" i="1" s="1"/>
  <c r="M463" i="1"/>
  <c r="M464" i="1" s="1"/>
  <c r="M461" i="1"/>
  <c r="M462" i="1" s="1"/>
  <c r="M459" i="1"/>
  <c r="M460" i="1" s="1"/>
  <c r="M457" i="1"/>
  <c r="M458" i="1" s="1"/>
  <c r="M455" i="1"/>
  <c r="M456" i="1" s="1"/>
  <c r="M453" i="1"/>
  <c r="M454" i="1" s="1"/>
  <c r="M451" i="1"/>
  <c r="M452" i="1" s="1"/>
  <c r="M449" i="1"/>
  <c r="M450" i="1" s="1"/>
  <c r="M447" i="1"/>
  <c r="M448" i="1" s="1"/>
  <c r="M445" i="1"/>
  <c r="M446" i="1" s="1"/>
  <c r="M443" i="1"/>
  <c r="M444" i="1" s="1"/>
  <c r="M441" i="1"/>
  <c r="M442" i="1" s="1"/>
  <c r="M439" i="1"/>
  <c r="M440" i="1" s="1"/>
  <c r="M437" i="1"/>
  <c r="M438" i="1" s="1"/>
  <c r="M435" i="1"/>
  <c r="M436" i="1" s="1"/>
  <c r="M433" i="1"/>
  <c r="M434" i="1" s="1"/>
  <c r="M431" i="1"/>
  <c r="M432" i="1" s="1"/>
  <c r="M429" i="1"/>
  <c r="M430" i="1" s="1"/>
  <c r="M427" i="1"/>
  <c r="M428" i="1" s="1"/>
  <c r="M425" i="1"/>
  <c r="M426" i="1" s="1"/>
  <c r="M423" i="1"/>
  <c r="M424" i="1" s="1"/>
  <c r="M421" i="1"/>
  <c r="M422" i="1" s="1"/>
  <c r="M419" i="1"/>
  <c r="M420" i="1" s="1"/>
  <c r="M417" i="1"/>
  <c r="M418" i="1" s="1"/>
  <c r="M415" i="1"/>
  <c r="M416" i="1" s="1"/>
  <c r="M413" i="1"/>
  <c r="M414" i="1" s="1"/>
  <c r="M411" i="1"/>
  <c r="M412" i="1" s="1"/>
  <c r="M409" i="1"/>
  <c r="M410" i="1" s="1"/>
  <c r="M407" i="1"/>
  <c r="M408" i="1" s="1"/>
  <c r="M405" i="1"/>
  <c r="M406" i="1" s="1"/>
  <c r="M403" i="1"/>
  <c r="M404" i="1" s="1"/>
  <c r="M401" i="1"/>
  <c r="M402" i="1" s="1"/>
  <c r="M399" i="1"/>
  <c r="M400" i="1" s="1"/>
  <c r="M397" i="1"/>
  <c r="M398" i="1" s="1"/>
  <c r="M395" i="1"/>
  <c r="M396" i="1" s="1"/>
  <c r="M393" i="1"/>
  <c r="M394" i="1" s="1"/>
  <c r="M391" i="1"/>
  <c r="M392" i="1" s="1"/>
  <c r="M389" i="1"/>
  <c r="M390" i="1" s="1"/>
  <c r="M387" i="1"/>
  <c r="M388" i="1" s="1"/>
  <c r="M385" i="1"/>
  <c r="M386" i="1" s="1"/>
  <c r="M383" i="1"/>
  <c r="M384" i="1" s="1"/>
  <c r="M381" i="1"/>
  <c r="M382" i="1" s="1"/>
  <c r="M379" i="1"/>
  <c r="M380" i="1" s="1"/>
  <c r="M377" i="1"/>
  <c r="M378" i="1" s="1"/>
  <c r="M375" i="1"/>
  <c r="M376" i="1" s="1"/>
  <c r="M373" i="1"/>
  <c r="M374" i="1" s="1"/>
  <c r="M371" i="1"/>
  <c r="M372" i="1" s="1"/>
  <c r="M369" i="1"/>
  <c r="M370" i="1" s="1"/>
  <c r="M367" i="1"/>
  <c r="M368" i="1" s="1"/>
  <c r="M365" i="1"/>
  <c r="M366" i="1" s="1"/>
  <c r="M363" i="1"/>
  <c r="M364" i="1" s="1"/>
  <c r="M361" i="1"/>
  <c r="M362" i="1" s="1"/>
  <c r="M359" i="1"/>
  <c r="M360" i="1" s="1"/>
  <c r="M357" i="1"/>
  <c r="M358" i="1" s="1"/>
  <c r="M355" i="1"/>
  <c r="M356" i="1" s="1"/>
  <c r="M353" i="1"/>
  <c r="M354" i="1" s="1"/>
  <c r="M351" i="1"/>
  <c r="M352" i="1" s="1"/>
  <c r="M349" i="1"/>
  <c r="M350" i="1" s="1"/>
  <c r="M347" i="1"/>
  <c r="M348" i="1" s="1"/>
  <c r="M345" i="1"/>
  <c r="M346" i="1" s="1"/>
  <c r="M343" i="1"/>
  <c r="M344" i="1" s="1"/>
  <c r="M341" i="1"/>
  <c r="M342" i="1" s="1"/>
  <c r="M339" i="1"/>
  <c r="M340" i="1" s="1"/>
  <c r="M337" i="1"/>
  <c r="M338" i="1" s="1"/>
  <c r="M335" i="1"/>
  <c r="M336" i="1" s="1"/>
  <c r="M333" i="1"/>
  <c r="M334" i="1" s="1"/>
  <c r="M331" i="1"/>
  <c r="M332" i="1" s="1"/>
  <c r="M329" i="1"/>
  <c r="M330" i="1" s="1"/>
  <c r="M327" i="1"/>
  <c r="M328" i="1" s="1"/>
  <c r="M325" i="1"/>
  <c r="M326" i="1" s="1"/>
  <c r="M323" i="1"/>
  <c r="M324" i="1" s="1"/>
  <c r="M321" i="1"/>
  <c r="M322" i="1" s="1"/>
  <c r="M319" i="1"/>
  <c r="M320" i="1" s="1"/>
  <c r="M317" i="1"/>
  <c r="M318" i="1" s="1"/>
  <c r="M315" i="1"/>
  <c r="M316" i="1" s="1"/>
  <c r="M313" i="1"/>
  <c r="M314" i="1" s="1"/>
  <c r="M311" i="1"/>
  <c r="M312" i="1" s="1"/>
  <c r="M309" i="1"/>
  <c r="M310" i="1" s="1"/>
  <c r="M307" i="1"/>
  <c r="M308" i="1" s="1"/>
  <c r="M305" i="1"/>
  <c r="M306" i="1" s="1"/>
  <c r="M303" i="1"/>
  <c r="M304" i="1" s="1"/>
  <c r="M301" i="1"/>
  <c r="M302" i="1" s="1"/>
  <c r="M299" i="1"/>
  <c r="M300" i="1" s="1"/>
  <c r="M297" i="1"/>
  <c r="M298" i="1" s="1"/>
  <c r="M295" i="1"/>
  <c r="M296" i="1" s="1"/>
  <c r="M293" i="1"/>
  <c r="M294" i="1" s="1"/>
  <c r="M291" i="1"/>
  <c r="M292" i="1" s="1"/>
  <c r="M289" i="1"/>
  <c r="M290" i="1" s="1"/>
  <c r="M287" i="1"/>
  <c r="M288" i="1" s="1"/>
  <c r="M285" i="1"/>
  <c r="M286" i="1" s="1"/>
  <c r="M283" i="1"/>
  <c r="M284" i="1" s="1"/>
  <c r="M281" i="1"/>
  <c r="M282" i="1" s="1"/>
  <c r="M279" i="1"/>
  <c r="M280" i="1" s="1"/>
  <c r="M277" i="1"/>
  <c r="M278" i="1" s="1"/>
  <c r="M275" i="1"/>
  <c r="M276" i="1" s="1"/>
  <c r="M273" i="1"/>
  <c r="M274" i="1" s="1"/>
  <c r="M271" i="1"/>
  <c r="M272" i="1" s="1"/>
  <c r="M269" i="1"/>
  <c r="M270" i="1" s="1"/>
  <c r="M267" i="1"/>
  <c r="M268" i="1" s="1"/>
  <c r="M265" i="1"/>
  <c r="M266" i="1" s="1"/>
  <c r="M263" i="1"/>
  <c r="M264" i="1" s="1"/>
  <c r="M261" i="1"/>
  <c r="M262" i="1" s="1"/>
  <c r="M259" i="1"/>
  <c r="M260" i="1" s="1"/>
  <c r="M257" i="1"/>
  <c r="M258" i="1" s="1"/>
  <c r="M255" i="1"/>
  <c r="M256" i="1" s="1"/>
  <c r="M253" i="1"/>
  <c r="M254" i="1" s="1"/>
  <c r="M251" i="1"/>
  <c r="M252" i="1" s="1"/>
  <c r="M249" i="1"/>
  <c r="M250" i="1" s="1"/>
  <c r="M247" i="1"/>
  <c r="M248" i="1" s="1"/>
  <c r="M245" i="1"/>
  <c r="M246" i="1" s="1"/>
  <c r="M243" i="1"/>
  <c r="M244" i="1" s="1"/>
  <c r="M241" i="1"/>
  <c r="M242" i="1" s="1"/>
  <c r="M239" i="1"/>
  <c r="M240" i="1" s="1"/>
  <c r="M237" i="1"/>
  <c r="M238" i="1" s="1"/>
  <c r="M235" i="1"/>
  <c r="M236" i="1" s="1"/>
  <c r="M233" i="1"/>
  <c r="M234" i="1" s="1"/>
  <c r="M231" i="1"/>
  <c r="M232" i="1" s="1"/>
  <c r="M229" i="1"/>
  <c r="M230" i="1" s="1"/>
  <c r="M227" i="1"/>
  <c r="M228" i="1" s="1"/>
  <c r="M225" i="1"/>
  <c r="M226" i="1" s="1"/>
  <c r="M223" i="1"/>
  <c r="M224" i="1" s="1"/>
  <c r="M221" i="1"/>
  <c r="M222" i="1" s="1"/>
  <c r="M219" i="1"/>
  <c r="M220" i="1" s="1"/>
  <c r="M217" i="1"/>
  <c r="M218" i="1" s="1"/>
  <c r="M215" i="1"/>
  <c r="M216" i="1" s="1"/>
  <c r="M213" i="1"/>
  <c r="M214" i="1" s="1"/>
  <c r="M211" i="1"/>
  <c r="M212" i="1" s="1"/>
  <c r="M209" i="1"/>
  <c r="M210" i="1" s="1"/>
  <c r="M207" i="1"/>
  <c r="M208" i="1" s="1"/>
  <c r="M205" i="1"/>
  <c r="M206" i="1" s="1"/>
  <c r="M203" i="1"/>
  <c r="M204" i="1" s="1"/>
  <c r="M201" i="1"/>
  <c r="M202" i="1" s="1"/>
  <c r="M199" i="1"/>
  <c r="M200" i="1" s="1"/>
  <c r="M197" i="1"/>
  <c r="M198" i="1" s="1"/>
  <c r="M195" i="1"/>
  <c r="M196" i="1" s="1"/>
  <c r="M193" i="1"/>
  <c r="M194" i="1" s="1"/>
  <c r="M191" i="1"/>
  <c r="M192" i="1" s="1"/>
  <c r="M189" i="1"/>
  <c r="M190" i="1" s="1"/>
  <c r="M187" i="1"/>
  <c r="M188" i="1" s="1"/>
  <c r="M185" i="1"/>
  <c r="M186" i="1" s="1"/>
  <c r="M183" i="1"/>
  <c r="M184" i="1" s="1"/>
  <c r="M181" i="1"/>
  <c r="M182" i="1" s="1"/>
  <c r="M179" i="1"/>
  <c r="M180" i="1" s="1"/>
  <c r="M177" i="1"/>
  <c r="M178" i="1" s="1"/>
  <c r="M175" i="1"/>
  <c r="M176" i="1" s="1"/>
  <c r="M173" i="1"/>
  <c r="M174" i="1" s="1"/>
  <c r="M171" i="1"/>
  <c r="M172" i="1" s="1"/>
  <c r="M169" i="1"/>
  <c r="M170" i="1" s="1"/>
  <c r="M167" i="1"/>
  <c r="M168" i="1" s="1"/>
  <c r="M165" i="1"/>
  <c r="M166" i="1" s="1"/>
  <c r="M163" i="1"/>
  <c r="M164" i="1" s="1"/>
  <c r="M161" i="1"/>
  <c r="M162" i="1" s="1"/>
  <c r="M159" i="1"/>
  <c r="M160" i="1" s="1"/>
  <c r="M157" i="1"/>
  <c r="M158" i="1" s="1"/>
  <c r="M155" i="1"/>
  <c r="M156" i="1" s="1"/>
  <c r="M153" i="1"/>
  <c r="M154" i="1" s="1"/>
  <c r="M151" i="1"/>
  <c r="M152" i="1" s="1"/>
  <c r="M149" i="1"/>
  <c r="M150" i="1" s="1"/>
  <c r="M147" i="1"/>
  <c r="M148" i="1" s="1"/>
  <c r="M145" i="1"/>
  <c r="M146" i="1" s="1"/>
  <c r="M143" i="1"/>
  <c r="M144" i="1" s="1"/>
  <c r="M141" i="1"/>
  <c r="M142" i="1" s="1"/>
  <c r="M139" i="1"/>
  <c r="M140" i="1" s="1"/>
  <c r="M137" i="1"/>
  <c r="M138" i="1" s="1"/>
  <c r="M135" i="1"/>
  <c r="M136" i="1" s="1"/>
  <c r="M133" i="1"/>
  <c r="M134" i="1" s="1"/>
  <c r="M131" i="1"/>
  <c r="M132" i="1" s="1"/>
  <c r="M129" i="1"/>
  <c r="M130" i="1" s="1"/>
  <c r="M127" i="1"/>
  <c r="M128" i="1" s="1"/>
  <c r="M125" i="1"/>
  <c r="M126" i="1" s="1"/>
  <c r="M123" i="1"/>
  <c r="M124" i="1" s="1"/>
  <c r="M121" i="1"/>
  <c r="M122" i="1" s="1"/>
  <c r="M119" i="1"/>
  <c r="M120" i="1" s="1"/>
  <c r="M117" i="1"/>
  <c r="M118" i="1" s="1"/>
  <c r="M115" i="1"/>
  <c r="M116" i="1" s="1"/>
  <c r="M113" i="1"/>
  <c r="M114" i="1" s="1"/>
  <c r="M111" i="1"/>
  <c r="M112" i="1" s="1"/>
  <c r="M109" i="1"/>
  <c r="M110" i="1" s="1"/>
  <c r="M107" i="1"/>
  <c r="M108" i="1" s="1"/>
  <c r="M105" i="1"/>
  <c r="M106" i="1" s="1"/>
  <c r="M103" i="1"/>
  <c r="M104" i="1" s="1"/>
  <c r="M101" i="1"/>
  <c r="M102" i="1" s="1"/>
  <c r="M99" i="1"/>
  <c r="M100" i="1" s="1"/>
  <c r="M97" i="1"/>
  <c r="M98" i="1" s="1"/>
  <c r="M95" i="1"/>
  <c r="M96" i="1" s="1"/>
  <c r="M93" i="1"/>
  <c r="M94" i="1" s="1"/>
  <c r="M91" i="1"/>
  <c r="M92" i="1" s="1"/>
  <c r="M89" i="1"/>
  <c r="M90" i="1" s="1"/>
  <c r="M87" i="1"/>
  <c r="M88" i="1" s="1"/>
  <c r="M85" i="1"/>
  <c r="M86" i="1" s="1"/>
  <c r="M83" i="1"/>
  <c r="M84" i="1" s="1"/>
  <c r="M81" i="1"/>
  <c r="M82" i="1" s="1"/>
  <c r="M79" i="1"/>
  <c r="M80" i="1" s="1"/>
  <c r="M77" i="1"/>
  <c r="M78" i="1" s="1"/>
  <c r="M75" i="1"/>
  <c r="M76" i="1" s="1"/>
  <c r="M73" i="1"/>
  <c r="M74" i="1" s="1"/>
  <c r="M71" i="1"/>
  <c r="M72" i="1" s="1"/>
  <c r="M69" i="1"/>
  <c r="M70" i="1" s="1"/>
  <c r="M67" i="1"/>
  <c r="M68" i="1" s="1"/>
  <c r="M65" i="1"/>
  <c r="M66" i="1" s="1"/>
  <c r="M63" i="1"/>
  <c r="M64" i="1" s="1"/>
  <c r="M61" i="1"/>
  <c r="M62" i="1" s="1"/>
  <c r="M59" i="1"/>
  <c r="M60" i="1" s="1"/>
  <c r="M57" i="1"/>
  <c r="M58" i="1" s="1"/>
  <c r="M55" i="1"/>
  <c r="M56" i="1" s="1"/>
  <c r="M53" i="1"/>
  <c r="M54" i="1" s="1"/>
  <c r="M51" i="1"/>
  <c r="M52" i="1" s="1"/>
  <c r="M49" i="1"/>
  <c r="M50" i="1" s="1"/>
  <c r="M47" i="1"/>
  <c r="M48" i="1" s="1"/>
  <c r="M45" i="1"/>
  <c r="M46" i="1" s="1"/>
  <c r="M43" i="1"/>
  <c r="M44" i="1" s="1"/>
  <c r="M41" i="1"/>
  <c r="M42" i="1" s="1"/>
  <c r="M39" i="1"/>
  <c r="M40" i="1" s="1"/>
  <c r="M37" i="1"/>
  <c r="M38" i="1" s="1"/>
  <c r="M35" i="1"/>
  <c r="M36" i="1" s="1"/>
  <c r="M33" i="1"/>
  <c r="M34" i="1" s="1"/>
  <c r="M31" i="1"/>
  <c r="M32" i="1" s="1"/>
  <c r="M29" i="1"/>
  <c r="M30" i="1" s="1"/>
  <c r="M27" i="1"/>
  <c r="M28" i="1" s="1"/>
  <c r="M25" i="1"/>
  <c r="M26" i="1" s="1"/>
  <c r="M23" i="1"/>
  <c r="M24" i="1" s="1"/>
  <c r="M21" i="1"/>
  <c r="M22" i="1" s="1"/>
  <c r="M19" i="1"/>
  <c r="M20" i="1" s="1"/>
  <c r="M17" i="1"/>
  <c r="M18" i="1" s="1"/>
  <c r="M15" i="1"/>
  <c r="M16" i="1" s="1"/>
  <c r="M13" i="1"/>
  <c r="M14" i="1" s="1"/>
  <c r="M11" i="1"/>
  <c r="M12" i="1" s="1"/>
  <c r="M9" i="1"/>
  <c r="M10" i="1" s="1"/>
  <c r="M7" i="1"/>
  <c r="M8" i="1" s="1"/>
  <c r="M5" i="1"/>
  <c r="M6" i="1" s="1"/>
  <c r="L941" i="1"/>
  <c r="L942" i="1" s="1"/>
  <c r="L939" i="1"/>
  <c r="L940" i="1" s="1"/>
  <c r="L937" i="1"/>
  <c r="L938" i="1" s="1"/>
  <c r="L935" i="1"/>
  <c r="L936" i="1" s="1"/>
  <c r="L933" i="1"/>
  <c r="L934" i="1" s="1"/>
  <c r="L931" i="1"/>
  <c r="L932" i="1" s="1"/>
  <c r="L929" i="1"/>
  <c r="L930" i="1" s="1"/>
  <c r="L927" i="1"/>
  <c r="L928" i="1" s="1"/>
  <c r="L925" i="1"/>
  <c r="L926" i="1" s="1"/>
  <c r="L923" i="1"/>
  <c r="L924" i="1" s="1"/>
  <c r="L921" i="1"/>
  <c r="L922" i="1" s="1"/>
  <c r="L919" i="1"/>
  <c r="L920" i="1" s="1"/>
  <c r="L917" i="1"/>
  <c r="L918" i="1" s="1"/>
  <c r="L915" i="1"/>
  <c r="L916" i="1" s="1"/>
  <c r="L913" i="1"/>
  <c r="L914" i="1" s="1"/>
  <c r="L911" i="1"/>
  <c r="L912" i="1" s="1"/>
  <c r="L909" i="1"/>
  <c r="L910" i="1" s="1"/>
  <c r="L907" i="1"/>
  <c r="L908" i="1" s="1"/>
  <c r="L905" i="1"/>
  <c r="L906" i="1" s="1"/>
  <c r="L903" i="1"/>
  <c r="L904" i="1" s="1"/>
  <c r="L901" i="1"/>
  <c r="L902" i="1" s="1"/>
  <c r="L899" i="1"/>
  <c r="L900" i="1" s="1"/>
  <c r="L897" i="1"/>
  <c r="L898" i="1" s="1"/>
  <c r="L895" i="1"/>
  <c r="L896" i="1" s="1"/>
  <c r="L893" i="1"/>
  <c r="L894" i="1" s="1"/>
  <c r="L891" i="1"/>
  <c r="L892" i="1" s="1"/>
  <c r="L889" i="1"/>
  <c r="L890" i="1" s="1"/>
  <c r="L887" i="1"/>
  <c r="L888" i="1" s="1"/>
  <c r="L885" i="1"/>
  <c r="L886" i="1" s="1"/>
  <c r="L883" i="1"/>
  <c r="L884" i="1" s="1"/>
  <c r="L881" i="1"/>
  <c r="L882" i="1" s="1"/>
  <c r="L879" i="1"/>
  <c r="L880" i="1" s="1"/>
  <c r="L877" i="1"/>
  <c r="L878" i="1" s="1"/>
  <c r="L875" i="1"/>
  <c r="L876" i="1" s="1"/>
  <c r="L873" i="1"/>
  <c r="L874" i="1" s="1"/>
  <c r="L871" i="1"/>
  <c r="L872" i="1" s="1"/>
  <c r="L869" i="1"/>
  <c r="L870" i="1" s="1"/>
  <c r="L867" i="1"/>
  <c r="L868" i="1" s="1"/>
  <c r="L865" i="1"/>
  <c r="L866" i="1" s="1"/>
  <c r="L863" i="1"/>
  <c r="L864" i="1" s="1"/>
  <c r="L861" i="1"/>
  <c r="L862" i="1" s="1"/>
  <c r="L859" i="1"/>
  <c r="L860" i="1" s="1"/>
  <c r="L857" i="1"/>
  <c r="L858" i="1" s="1"/>
  <c r="L855" i="1"/>
  <c r="L856" i="1" s="1"/>
  <c r="L853" i="1"/>
  <c r="L854" i="1" s="1"/>
  <c r="L851" i="1"/>
  <c r="L852" i="1" s="1"/>
  <c r="L849" i="1"/>
  <c r="L850" i="1" s="1"/>
  <c r="L847" i="1"/>
  <c r="L848" i="1" s="1"/>
  <c r="L845" i="1"/>
  <c r="L846" i="1" s="1"/>
  <c r="L843" i="1"/>
  <c r="L844" i="1" s="1"/>
  <c r="L841" i="1"/>
  <c r="L842" i="1" s="1"/>
  <c r="L839" i="1"/>
  <c r="L840" i="1" s="1"/>
  <c r="L837" i="1"/>
  <c r="L838" i="1" s="1"/>
  <c r="L835" i="1"/>
  <c r="L836" i="1" s="1"/>
  <c r="L833" i="1"/>
  <c r="L834" i="1" s="1"/>
  <c r="L831" i="1"/>
  <c r="L832" i="1" s="1"/>
  <c r="L829" i="1"/>
  <c r="L830" i="1" s="1"/>
  <c r="L827" i="1"/>
  <c r="L828" i="1" s="1"/>
  <c r="L825" i="1"/>
  <c r="L826" i="1" s="1"/>
  <c r="L823" i="1"/>
  <c r="L824" i="1" s="1"/>
  <c r="L821" i="1"/>
  <c r="L822" i="1" s="1"/>
  <c r="L819" i="1"/>
  <c r="L820" i="1" s="1"/>
  <c r="L817" i="1"/>
  <c r="L818" i="1" s="1"/>
  <c r="L815" i="1"/>
  <c r="L816" i="1" s="1"/>
  <c r="L813" i="1"/>
  <c r="L814" i="1" s="1"/>
  <c r="L811" i="1"/>
  <c r="L812" i="1" s="1"/>
  <c r="L809" i="1"/>
  <c r="L810" i="1" s="1"/>
  <c r="L807" i="1"/>
  <c r="L808" i="1" s="1"/>
  <c r="L805" i="1"/>
  <c r="L806" i="1" s="1"/>
  <c r="L803" i="1"/>
  <c r="L804" i="1" s="1"/>
  <c r="L801" i="1"/>
  <c r="L802" i="1" s="1"/>
  <c r="L799" i="1"/>
  <c r="L800" i="1" s="1"/>
  <c r="L797" i="1"/>
  <c r="L798" i="1" s="1"/>
  <c r="L795" i="1"/>
  <c r="L796" i="1" s="1"/>
  <c r="L793" i="1"/>
  <c r="L794" i="1" s="1"/>
  <c r="L791" i="1"/>
  <c r="L792" i="1" s="1"/>
  <c r="L789" i="1"/>
  <c r="L790" i="1" s="1"/>
  <c r="L787" i="1"/>
  <c r="L788" i="1" s="1"/>
  <c r="L785" i="1"/>
  <c r="L786" i="1" s="1"/>
  <c r="L783" i="1"/>
  <c r="L784" i="1" s="1"/>
  <c r="L781" i="1"/>
  <c r="L782" i="1" s="1"/>
  <c r="L779" i="1"/>
  <c r="L780" i="1" s="1"/>
  <c r="L777" i="1"/>
  <c r="L778" i="1" s="1"/>
  <c r="L775" i="1"/>
  <c r="L776" i="1" s="1"/>
  <c r="L773" i="1"/>
  <c r="L774" i="1" s="1"/>
  <c r="L771" i="1"/>
  <c r="L772" i="1" s="1"/>
  <c r="L769" i="1"/>
  <c r="L770" i="1" s="1"/>
  <c r="L767" i="1"/>
  <c r="L768" i="1" s="1"/>
  <c r="L765" i="1"/>
  <c r="L766" i="1" s="1"/>
  <c r="L763" i="1"/>
  <c r="L764" i="1" s="1"/>
  <c r="L761" i="1"/>
  <c r="L762" i="1" s="1"/>
  <c r="L759" i="1"/>
  <c r="L760" i="1" s="1"/>
  <c r="L757" i="1"/>
  <c r="L758" i="1" s="1"/>
  <c r="L755" i="1"/>
  <c r="L756" i="1" s="1"/>
  <c r="L753" i="1"/>
  <c r="L754" i="1" s="1"/>
  <c r="L751" i="1"/>
  <c r="L752" i="1" s="1"/>
  <c r="L749" i="1"/>
  <c r="L750" i="1" s="1"/>
  <c r="L747" i="1"/>
  <c r="L748" i="1" s="1"/>
  <c r="L745" i="1"/>
  <c r="L746" i="1" s="1"/>
  <c r="L743" i="1"/>
  <c r="L744" i="1" s="1"/>
  <c r="L741" i="1"/>
  <c r="L742" i="1" s="1"/>
  <c r="L739" i="1"/>
  <c r="L740" i="1" s="1"/>
  <c r="L737" i="1"/>
  <c r="L738" i="1" s="1"/>
  <c r="L735" i="1"/>
  <c r="L736" i="1" s="1"/>
  <c r="L733" i="1"/>
  <c r="L734" i="1" s="1"/>
  <c r="L731" i="1"/>
  <c r="L732" i="1" s="1"/>
  <c r="L729" i="1"/>
  <c r="L730" i="1" s="1"/>
  <c r="L727" i="1"/>
  <c r="L728" i="1" s="1"/>
  <c r="L725" i="1"/>
  <c r="L726" i="1" s="1"/>
  <c r="L723" i="1"/>
  <c r="L724" i="1" s="1"/>
  <c r="L721" i="1"/>
  <c r="L722" i="1" s="1"/>
  <c r="L719" i="1"/>
  <c r="L720" i="1" s="1"/>
  <c r="L717" i="1"/>
  <c r="L718" i="1" s="1"/>
  <c r="L715" i="1"/>
  <c r="L716" i="1" s="1"/>
  <c r="L713" i="1"/>
  <c r="L714" i="1" s="1"/>
  <c r="L711" i="1"/>
  <c r="L712" i="1" s="1"/>
  <c r="L709" i="1"/>
  <c r="L710" i="1" s="1"/>
  <c r="L707" i="1"/>
  <c r="L708" i="1" s="1"/>
  <c r="L705" i="1"/>
  <c r="L706" i="1" s="1"/>
  <c r="L703" i="1"/>
  <c r="L704" i="1" s="1"/>
  <c r="L701" i="1"/>
  <c r="L702" i="1" s="1"/>
  <c r="L699" i="1"/>
  <c r="L700" i="1" s="1"/>
  <c r="L697" i="1"/>
  <c r="L698" i="1" s="1"/>
  <c r="L695" i="1"/>
  <c r="L696" i="1" s="1"/>
  <c r="L693" i="1"/>
  <c r="L694" i="1" s="1"/>
  <c r="L691" i="1"/>
  <c r="L692" i="1" s="1"/>
  <c r="L689" i="1"/>
  <c r="L690" i="1" s="1"/>
  <c r="L687" i="1"/>
  <c r="L688" i="1" s="1"/>
  <c r="L685" i="1"/>
  <c r="L686" i="1" s="1"/>
  <c r="L683" i="1"/>
  <c r="L684" i="1" s="1"/>
  <c r="L681" i="1"/>
  <c r="L682" i="1" s="1"/>
  <c r="L679" i="1"/>
  <c r="L680" i="1" s="1"/>
  <c r="L677" i="1"/>
  <c r="L678" i="1" s="1"/>
  <c r="L675" i="1"/>
  <c r="L676" i="1" s="1"/>
  <c r="L673" i="1"/>
  <c r="L674" i="1" s="1"/>
  <c r="L671" i="1"/>
  <c r="L672" i="1" s="1"/>
  <c r="L669" i="1"/>
  <c r="L670" i="1" s="1"/>
  <c r="L667" i="1"/>
  <c r="L668" i="1" s="1"/>
  <c r="L665" i="1"/>
  <c r="L666" i="1" s="1"/>
  <c r="L663" i="1"/>
  <c r="L664" i="1" s="1"/>
  <c r="L661" i="1"/>
  <c r="L662" i="1" s="1"/>
  <c r="L659" i="1"/>
  <c r="L660" i="1" s="1"/>
  <c r="L657" i="1"/>
  <c r="L658" i="1" s="1"/>
  <c r="L655" i="1"/>
  <c r="L656" i="1" s="1"/>
  <c r="L653" i="1"/>
  <c r="L654" i="1" s="1"/>
  <c r="L651" i="1"/>
  <c r="L652" i="1" s="1"/>
  <c r="L649" i="1"/>
  <c r="L650" i="1" s="1"/>
  <c r="L647" i="1"/>
  <c r="L648" i="1" s="1"/>
  <c r="L645" i="1"/>
  <c r="L646" i="1" s="1"/>
  <c r="L643" i="1"/>
  <c r="L644" i="1" s="1"/>
  <c r="L641" i="1"/>
  <c r="L642" i="1" s="1"/>
  <c r="L639" i="1"/>
  <c r="L640" i="1" s="1"/>
  <c r="L637" i="1"/>
  <c r="L638" i="1" s="1"/>
  <c r="L635" i="1"/>
  <c r="L636" i="1" s="1"/>
  <c r="L633" i="1"/>
  <c r="L634" i="1" s="1"/>
  <c r="L631" i="1"/>
  <c r="L632" i="1" s="1"/>
  <c r="L629" i="1"/>
  <c r="L630" i="1" s="1"/>
  <c r="L627" i="1"/>
  <c r="L628" i="1" s="1"/>
  <c r="L625" i="1"/>
  <c r="L626" i="1" s="1"/>
  <c r="L623" i="1"/>
  <c r="L624" i="1" s="1"/>
  <c r="L621" i="1"/>
  <c r="L622" i="1" s="1"/>
  <c r="L619" i="1"/>
  <c r="L620" i="1" s="1"/>
  <c r="L617" i="1"/>
  <c r="L618" i="1" s="1"/>
  <c r="L615" i="1"/>
  <c r="L616" i="1" s="1"/>
  <c r="L613" i="1"/>
  <c r="L614" i="1" s="1"/>
  <c r="L611" i="1"/>
  <c r="L612" i="1" s="1"/>
  <c r="L609" i="1"/>
  <c r="L610" i="1" s="1"/>
  <c r="L607" i="1"/>
  <c r="L608" i="1" s="1"/>
  <c r="L605" i="1"/>
  <c r="L606" i="1" s="1"/>
  <c r="L603" i="1"/>
  <c r="L604" i="1" s="1"/>
  <c r="L601" i="1"/>
  <c r="L602" i="1" s="1"/>
  <c r="L599" i="1"/>
  <c r="L600" i="1" s="1"/>
  <c r="L597" i="1"/>
  <c r="L598" i="1" s="1"/>
  <c r="L595" i="1"/>
  <c r="L596" i="1" s="1"/>
  <c r="L593" i="1"/>
  <c r="L594" i="1" s="1"/>
  <c r="L591" i="1"/>
  <c r="L592" i="1" s="1"/>
  <c r="L589" i="1"/>
  <c r="L590" i="1" s="1"/>
  <c r="L587" i="1"/>
  <c r="L588" i="1" s="1"/>
  <c r="L585" i="1"/>
  <c r="L586" i="1" s="1"/>
  <c r="L583" i="1"/>
  <c r="L584" i="1" s="1"/>
  <c r="L581" i="1"/>
  <c r="L582" i="1" s="1"/>
  <c r="L579" i="1"/>
  <c r="L580" i="1" s="1"/>
  <c r="L577" i="1"/>
  <c r="L578" i="1" s="1"/>
  <c r="L575" i="1"/>
  <c r="L576" i="1" s="1"/>
  <c r="L573" i="1"/>
  <c r="L574" i="1" s="1"/>
  <c r="L571" i="1"/>
  <c r="L572" i="1" s="1"/>
  <c r="L569" i="1"/>
  <c r="L570" i="1" s="1"/>
  <c r="L567" i="1"/>
  <c r="L568" i="1" s="1"/>
  <c r="L565" i="1"/>
  <c r="L566" i="1" s="1"/>
  <c r="L563" i="1"/>
  <c r="L564" i="1" s="1"/>
  <c r="L561" i="1"/>
  <c r="L562" i="1" s="1"/>
  <c r="L559" i="1"/>
  <c r="L560" i="1" s="1"/>
  <c r="L557" i="1"/>
  <c r="L558" i="1" s="1"/>
  <c r="L555" i="1"/>
  <c r="L556" i="1" s="1"/>
  <c r="L553" i="1"/>
  <c r="L554" i="1" s="1"/>
  <c r="L551" i="1"/>
  <c r="L552" i="1" s="1"/>
  <c r="L549" i="1"/>
  <c r="L550" i="1" s="1"/>
  <c r="L547" i="1"/>
  <c r="L548" i="1" s="1"/>
  <c r="L545" i="1"/>
  <c r="L546" i="1" s="1"/>
  <c r="L543" i="1"/>
  <c r="L544" i="1" s="1"/>
  <c r="L541" i="1"/>
  <c r="L542" i="1" s="1"/>
  <c r="L539" i="1"/>
  <c r="L540" i="1" s="1"/>
  <c r="L537" i="1"/>
  <c r="L538" i="1" s="1"/>
  <c r="L535" i="1"/>
  <c r="L536" i="1" s="1"/>
  <c r="L533" i="1"/>
  <c r="L534" i="1" s="1"/>
  <c r="L531" i="1"/>
  <c r="L532" i="1" s="1"/>
  <c r="L529" i="1"/>
  <c r="L530" i="1" s="1"/>
  <c r="L527" i="1"/>
  <c r="L528" i="1" s="1"/>
  <c r="L525" i="1"/>
  <c r="L526" i="1" s="1"/>
  <c r="L523" i="1"/>
  <c r="L524" i="1" s="1"/>
  <c r="L521" i="1"/>
  <c r="L522" i="1" s="1"/>
  <c r="L519" i="1"/>
  <c r="L520" i="1" s="1"/>
  <c r="L517" i="1"/>
  <c r="L518" i="1" s="1"/>
  <c r="L515" i="1"/>
  <c r="L516" i="1" s="1"/>
  <c r="L513" i="1"/>
  <c r="L514" i="1" s="1"/>
  <c r="L511" i="1"/>
  <c r="L512" i="1" s="1"/>
  <c r="L509" i="1"/>
  <c r="L510" i="1" s="1"/>
  <c r="L507" i="1"/>
  <c r="L508" i="1" s="1"/>
  <c r="L505" i="1"/>
  <c r="L506" i="1" s="1"/>
  <c r="L503" i="1"/>
  <c r="L504" i="1" s="1"/>
  <c r="L501" i="1"/>
  <c r="L502" i="1" s="1"/>
  <c r="L499" i="1"/>
  <c r="L500" i="1" s="1"/>
  <c r="L497" i="1"/>
  <c r="L498" i="1" s="1"/>
  <c r="L495" i="1"/>
  <c r="L496" i="1" s="1"/>
  <c r="L493" i="1"/>
  <c r="L494" i="1" s="1"/>
  <c r="L491" i="1"/>
  <c r="L492" i="1" s="1"/>
  <c r="L489" i="1"/>
  <c r="L490" i="1" s="1"/>
  <c r="L487" i="1"/>
  <c r="L488" i="1" s="1"/>
  <c r="L485" i="1"/>
  <c r="L486" i="1" s="1"/>
  <c r="L483" i="1"/>
  <c r="L484" i="1" s="1"/>
  <c r="L481" i="1"/>
  <c r="L482" i="1" s="1"/>
  <c r="L479" i="1"/>
  <c r="L480" i="1" s="1"/>
  <c r="L477" i="1"/>
  <c r="L478" i="1" s="1"/>
  <c r="L475" i="1"/>
  <c r="L476" i="1" s="1"/>
  <c r="L473" i="1"/>
  <c r="L474" i="1" s="1"/>
  <c r="L471" i="1"/>
  <c r="L472" i="1" s="1"/>
  <c r="L469" i="1"/>
  <c r="L470" i="1" s="1"/>
  <c r="L467" i="1"/>
  <c r="L468" i="1" s="1"/>
  <c r="L465" i="1"/>
  <c r="L466" i="1" s="1"/>
  <c r="L463" i="1"/>
  <c r="L464" i="1" s="1"/>
  <c r="L461" i="1"/>
  <c r="L462" i="1" s="1"/>
  <c r="L459" i="1"/>
  <c r="L460" i="1" s="1"/>
  <c r="L457" i="1"/>
  <c r="L458" i="1" s="1"/>
  <c r="L455" i="1"/>
  <c r="L456" i="1" s="1"/>
  <c r="L453" i="1"/>
  <c r="L454" i="1" s="1"/>
  <c r="L451" i="1"/>
  <c r="L452" i="1" s="1"/>
  <c r="L449" i="1"/>
  <c r="L450" i="1" s="1"/>
  <c r="L447" i="1"/>
  <c r="L448" i="1" s="1"/>
  <c r="L445" i="1"/>
  <c r="L446" i="1" s="1"/>
  <c r="L443" i="1"/>
  <c r="L444" i="1" s="1"/>
  <c r="L441" i="1"/>
  <c r="L442" i="1" s="1"/>
  <c r="L439" i="1"/>
  <c r="L440" i="1" s="1"/>
  <c r="L437" i="1"/>
  <c r="L438" i="1" s="1"/>
  <c r="L435" i="1"/>
  <c r="L436" i="1" s="1"/>
  <c r="L433" i="1"/>
  <c r="L434" i="1" s="1"/>
  <c r="L431" i="1"/>
  <c r="L432" i="1" s="1"/>
  <c r="L429" i="1"/>
  <c r="L430" i="1" s="1"/>
  <c r="L427" i="1"/>
  <c r="L428" i="1" s="1"/>
  <c r="L425" i="1"/>
  <c r="L426" i="1" s="1"/>
  <c r="L423" i="1"/>
  <c r="L424" i="1" s="1"/>
  <c r="L421" i="1"/>
  <c r="L422" i="1" s="1"/>
  <c r="L419" i="1"/>
  <c r="L420" i="1" s="1"/>
  <c r="L417" i="1"/>
  <c r="L418" i="1" s="1"/>
  <c r="L415" i="1"/>
  <c r="L416" i="1" s="1"/>
  <c r="L413" i="1"/>
  <c r="L414" i="1" s="1"/>
  <c r="L411" i="1"/>
  <c r="L412" i="1" s="1"/>
  <c r="L409" i="1"/>
  <c r="L410" i="1" s="1"/>
  <c r="L407" i="1"/>
  <c r="L408" i="1" s="1"/>
  <c r="L405" i="1"/>
  <c r="L406" i="1" s="1"/>
  <c r="L403" i="1"/>
  <c r="L404" i="1" s="1"/>
  <c r="L401" i="1"/>
  <c r="L402" i="1" s="1"/>
  <c r="L399" i="1"/>
  <c r="L400" i="1" s="1"/>
  <c r="L397" i="1"/>
  <c r="L398" i="1" s="1"/>
  <c r="L395" i="1"/>
  <c r="L396" i="1" s="1"/>
  <c r="L393" i="1"/>
  <c r="L394" i="1" s="1"/>
  <c r="L391" i="1"/>
  <c r="L392" i="1" s="1"/>
  <c r="L389" i="1"/>
  <c r="L390" i="1" s="1"/>
  <c r="L387" i="1"/>
  <c r="L388" i="1" s="1"/>
  <c r="L385" i="1"/>
  <c r="L386" i="1" s="1"/>
  <c r="L383" i="1"/>
  <c r="L384" i="1" s="1"/>
  <c r="L381" i="1"/>
  <c r="L382" i="1" s="1"/>
  <c r="L379" i="1"/>
  <c r="L380" i="1" s="1"/>
  <c r="L377" i="1"/>
  <c r="L378" i="1" s="1"/>
  <c r="L375" i="1"/>
  <c r="L376" i="1" s="1"/>
  <c r="L373" i="1"/>
  <c r="L374" i="1" s="1"/>
  <c r="L371" i="1"/>
  <c r="L372" i="1" s="1"/>
  <c r="L369" i="1"/>
  <c r="L370" i="1" s="1"/>
  <c r="L367" i="1"/>
  <c r="L368" i="1" s="1"/>
  <c r="L365" i="1"/>
  <c r="L366" i="1" s="1"/>
  <c r="L363" i="1"/>
  <c r="L364" i="1" s="1"/>
  <c r="L361" i="1"/>
  <c r="L362" i="1" s="1"/>
  <c r="L359" i="1"/>
  <c r="L360" i="1" s="1"/>
  <c r="L357" i="1"/>
  <c r="L358" i="1" s="1"/>
  <c r="L355" i="1"/>
  <c r="L356" i="1" s="1"/>
  <c r="L353" i="1"/>
  <c r="L354" i="1" s="1"/>
  <c r="L351" i="1"/>
  <c r="L352" i="1" s="1"/>
  <c r="L349" i="1"/>
  <c r="L350" i="1" s="1"/>
  <c r="L347" i="1"/>
  <c r="L348" i="1" s="1"/>
  <c r="L345" i="1"/>
  <c r="L346" i="1" s="1"/>
  <c r="L343" i="1"/>
  <c r="L344" i="1" s="1"/>
  <c r="L341" i="1"/>
  <c r="L342" i="1" s="1"/>
  <c r="L339" i="1"/>
  <c r="L340" i="1" s="1"/>
  <c r="L337" i="1"/>
  <c r="L338" i="1" s="1"/>
  <c r="L335" i="1"/>
  <c r="L336" i="1" s="1"/>
  <c r="L333" i="1"/>
  <c r="L334" i="1" s="1"/>
  <c r="L331" i="1"/>
  <c r="L332" i="1" s="1"/>
  <c r="L329" i="1"/>
  <c r="L330" i="1" s="1"/>
  <c r="L327" i="1"/>
  <c r="L328" i="1" s="1"/>
  <c r="L325" i="1"/>
  <c r="L326" i="1" s="1"/>
  <c r="L323" i="1"/>
  <c r="L324" i="1" s="1"/>
  <c r="L321" i="1"/>
  <c r="L322" i="1" s="1"/>
  <c r="L319" i="1"/>
  <c r="L320" i="1" s="1"/>
  <c r="L317" i="1"/>
  <c r="L318" i="1" s="1"/>
  <c r="L315" i="1"/>
  <c r="L316" i="1" s="1"/>
  <c r="L313" i="1"/>
  <c r="L314" i="1" s="1"/>
  <c r="L311" i="1"/>
  <c r="L312" i="1" s="1"/>
  <c r="L309" i="1"/>
  <c r="L310" i="1" s="1"/>
  <c r="L307" i="1"/>
  <c r="L308" i="1" s="1"/>
  <c r="L305" i="1"/>
  <c r="L306" i="1" s="1"/>
  <c r="L303" i="1"/>
  <c r="L304" i="1" s="1"/>
  <c r="L301" i="1"/>
  <c r="L302" i="1" s="1"/>
  <c r="L299" i="1"/>
  <c r="L300" i="1" s="1"/>
  <c r="L297" i="1"/>
  <c r="L298" i="1" s="1"/>
  <c r="L295" i="1"/>
  <c r="L296" i="1" s="1"/>
  <c r="L293" i="1"/>
  <c r="L294" i="1" s="1"/>
  <c r="L291" i="1"/>
  <c r="L292" i="1" s="1"/>
  <c r="L289" i="1"/>
  <c r="L290" i="1" s="1"/>
  <c r="L287" i="1"/>
  <c r="L288" i="1" s="1"/>
  <c r="L285" i="1"/>
  <c r="L286" i="1" s="1"/>
  <c r="L283" i="1"/>
  <c r="L284" i="1" s="1"/>
  <c r="L281" i="1"/>
  <c r="L282" i="1" s="1"/>
  <c r="L279" i="1"/>
  <c r="L280" i="1" s="1"/>
  <c r="L277" i="1"/>
  <c r="L278" i="1" s="1"/>
  <c r="L275" i="1"/>
  <c r="L276" i="1" s="1"/>
  <c r="L273" i="1"/>
  <c r="L274" i="1" s="1"/>
  <c r="L271" i="1"/>
  <c r="L272" i="1" s="1"/>
  <c r="L269" i="1"/>
  <c r="L270" i="1" s="1"/>
  <c r="L267" i="1"/>
  <c r="L268" i="1" s="1"/>
  <c r="L265" i="1"/>
  <c r="L266" i="1" s="1"/>
  <c r="L263" i="1"/>
  <c r="L264" i="1" s="1"/>
  <c r="L261" i="1"/>
  <c r="L262" i="1" s="1"/>
  <c r="L259" i="1"/>
  <c r="L260" i="1" s="1"/>
  <c r="L257" i="1"/>
  <c r="L258" i="1" s="1"/>
  <c r="L255" i="1"/>
  <c r="L256" i="1" s="1"/>
  <c r="L253" i="1"/>
  <c r="L254" i="1" s="1"/>
  <c r="L251" i="1"/>
  <c r="L252" i="1" s="1"/>
  <c r="L249" i="1"/>
  <c r="L250" i="1" s="1"/>
  <c r="L247" i="1"/>
  <c r="L248" i="1" s="1"/>
  <c r="L245" i="1"/>
  <c r="L246" i="1" s="1"/>
  <c r="L243" i="1"/>
  <c r="L244" i="1" s="1"/>
  <c r="L241" i="1"/>
  <c r="L242" i="1" s="1"/>
  <c r="L239" i="1"/>
  <c r="L240" i="1" s="1"/>
  <c r="L237" i="1"/>
  <c r="L238" i="1" s="1"/>
  <c r="L235" i="1"/>
  <c r="L236" i="1" s="1"/>
  <c r="L233" i="1"/>
  <c r="L234" i="1" s="1"/>
  <c r="L231" i="1"/>
  <c r="L232" i="1" s="1"/>
  <c r="L229" i="1"/>
  <c r="L230" i="1" s="1"/>
  <c r="L227" i="1"/>
  <c r="L228" i="1" s="1"/>
  <c r="L225" i="1"/>
  <c r="L226" i="1" s="1"/>
  <c r="L223" i="1"/>
  <c r="L224" i="1" s="1"/>
  <c r="L221" i="1"/>
  <c r="L222" i="1" s="1"/>
  <c r="L219" i="1"/>
  <c r="L220" i="1" s="1"/>
  <c r="L217" i="1"/>
  <c r="L218" i="1" s="1"/>
  <c r="L215" i="1"/>
  <c r="L216" i="1" s="1"/>
  <c r="L213" i="1"/>
  <c r="L214" i="1" s="1"/>
  <c r="L211" i="1"/>
  <c r="L212" i="1" s="1"/>
  <c r="L209" i="1"/>
  <c r="L210" i="1" s="1"/>
  <c r="L207" i="1"/>
  <c r="L208" i="1" s="1"/>
  <c r="L205" i="1"/>
  <c r="L206" i="1" s="1"/>
  <c r="L203" i="1"/>
  <c r="L204" i="1" s="1"/>
  <c r="L201" i="1"/>
  <c r="L202" i="1" s="1"/>
  <c r="L199" i="1"/>
  <c r="L200" i="1" s="1"/>
  <c r="L197" i="1"/>
  <c r="L198" i="1" s="1"/>
  <c r="L195" i="1"/>
  <c r="L196" i="1" s="1"/>
  <c r="L193" i="1"/>
  <c r="L194" i="1" s="1"/>
  <c r="L191" i="1"/>
  <c r="L192" i="1" s="1"/>
  <c r="L189" i="1"/>
  <c r="L190" i="1" s="1"/>
  <c r="L187" i="1"/>
  <c r="L188" i="1" s="1"/>
  <c r="L185" i="1"/>
  <c r="L186" i="1" s="1"/>
  <c r="L183" i="1"/>
  <c r="L184" i="1" s="1"/>
  <c r="L181" i="1"/>
  <c r="L182" i="1" s="1"/>
  <c r="L179" i="1"/>
  <c r="L180" i="1" s="1"/>
  <c r="L177" i="1"/>
  <c r="L178" i="1" s="1"/>
  <c r="L175" i="1"/>
  <c r="L176" i="1" s="1"/>
  <c r="L173" i="1"/>
  <c r="L174" i="1" s="1"/>
  <c r="L171" i="1"/>
  <c r="L172" i="1" s="1"/>
  <c r="L169" i="1"/>
  <c r="L170" i="1" s="1"/>
  <c r="L167" i="1"/>
  <c r="L168" i="1" s="1"/>
  <c r="L165" i="1"/>
  <c r="L166" i="1" s="1"/>
  <c r="L163" i="1"/>
  <c r="L164" i="1" s="1"/>
  <c r="L161" i="1"/>
  <c r="L162" i="1" s="1"/>
  <c r="L159" i="1"/>
  <c r="L160" i="1" s="1"/>
  <c r="L157" i="1"/>
  <c r="L158" i="1" s="1"/>
  <c r="L155" i="1"/>
  <c r="L156" i="1" s="1"/>
  <c r="L153" i="1"/>
  <c r="L154" i="1" s="1"/>
  <c r="L151" i="1"/>
  <c r="L152" i="1" s="1"/>
  <c r="L149" i="1"/>
  <c r="L150" i="1" s="1"/>
  <c r="L147" i="1"/>
  <c r="L148" i="1" s="1"/>
  <c r="L145" i="1"/>
  <c r="L146" i="1" s="1"/>
  <c r="L143" i="1"/>
  <c r="L144" i="1" s="1"/>
  <c r="L141" i="1"/>
  <c r="L142" i="1" s="1"/>
  <c r="L139" i="1"/>
  <c r="L140" i="1" s="1"/>
  <c r="L137" i="1"/>
  <c r="L138" i="1" s="1"/>
  <c r="L135" i="1"/>
  <c r="L136" i="1" s="1"/>
  <c r="L133" i="1"/>
  <c r="L134" i="1" s="1"/>
  <c r="L131" i="1"/>
  <c r="L132" i="1" s="1"/>
  <c r="L129" i="1"/>
  <c r="L130" i="1" s="1"/>
  <c r="L127" i="1"/>
  <c r="L128" i="1" s="1"/>
  <c r="L125" i="1"/>
  <c r="L126" i="1" s="1"/>
  <c r="L123" i="1"/>
  <c r="L124" i="1" s="1"/>
  <c r="L121" i="1"/>
  <c r="L122" i="1" s="1"/>
  <c r="L119" i="1"/>
  <c r="L120" i="1" s="1"/>
  <c r="L117" i="1"/>
  <c r="L118" i="1" s="1"/>
  <c r="L115" i="1"/>
  <c r="L116" i="1" s="1"/>
  <c r="L113" i="1"/>
  <c r="L114" i="1" s="1"/>
  <c r="L111" i="1"/>
  <c r="L112" i="1" s="1"/>
  <c r="L109" i="1"/>
  <c r="L110" i="1" s="1"/>
  <c r="L107" i="1"/>
  <c r="L108" i="1" s="1"/>
  <c r="L105" i="1"/>
  <c r="L106" i="1" s="1"/>
  <c r="L103" i="1"/>
  <c r="L104" i="1" s="1"/>
  <c r="L101" i="1"/>
  <c r="L102" i="1" s="1"/>
  <c r="L99" i="1"/>
  <c r="L100" i="1" s="1"/>
  <c r="L97" i="1"/>
  <c r="L98" i="1" s="1"/>
  <c r="L95" i="1"/>
  <c r="L96" i="1" s="1"/>
  <c r="L93" i="1"/>
  <c r="L94" i="1" s="1"/>
  <c r="L91" i="1"/>
  <c r="L92" i="1" s="1"/>
  <c r="L89" i="1"/>
  <c r="L90" i="1" s="1"/>
  <c r="L87" i="1"/>
  <c r="L88" i="1" s="1"/>
  <c r="L85" i="1"/>
  <c r="L86" i="1" s="1"/>
  <c r="L83" i="1"/>
  <c r="L84" i="1" s="1"/>
  <c r="L81" i="1"/>
  <c r="L82" i="1" s="1"/>
  <c r="L79" i="1"/>
  <c r="L80" i="1" s="1"/>
  <c r="L77" i="1"/>
  <c r="L78" i="1" s="1"/>
  <c r="L75" i="1"/>
  <c r="L76" i="1" s="1"/>
  <c r="L73" i="1"/>
  <c r="L74" i="1" s="1"/>
  <c r="L71" i="1"/>
  <c r="L72" i="1" s="1"/>
  <c r="L69" i="1"/>
  <c r="L70" i="1" s="1"/>
  <c r="L67" i="1"/>
  <c r="L68" i="1" s="1"/>
  <c r="L65" i="1"/>
  <c r="L66" i="1" s="1"/>
  <c r="L63" i="1"/>
  <c r="L64" i="1" s="1"/>
  <c r="L61" i="1"/>
  <c r="L62" i="1" s="1"/>
  <c r="L59" i="1"/>
  <c r="L60" i="1" s="1"/>
  <c r="L57" i="1"/>
  <c r="L58" i="1" s="1"/>
  <c r="L55" i="1"/>
  <c r="L56" i="1" s="1"/>
  <c r="L53" i="1"/>
  <c r="L54" i="1" s="1"/>
  <c r="L51" i="1"/>
  <c r="L52" i="1" s="1"/>
  <c r="L49" i="1"/>
  <c r="L50" i="1" s="1"/>
  <c r="L47" i="1"/>
  <c r="L48" i="1" s="1"/>
  <c r="L45" i="1"/>
  <c r="L46" i="1" s="1"/>
  <c r="L43" i="1"/>
  <c r="L44" i="1" s="1"/>
  <c r="L41" i="1"/>
  <c r="L42" i="1" s="1"/>
  <c r="L39" i="1"/>
  <c r="L40" i="1" s="1"/>
  <c r="L37" i="1"/>
  <c r="L38" i="1" s="1"/>
  <c r="L35" i="1"/>
  <c r="L36" i="1" s="1"/>
  <c r="L33" i="1"/>
  <c r="L34" i="1" s="1"/>
  <c r="L31" i="1"/>
  <c r="L32" i="1" s="1"/>
  <c r="L29" i="1"/>
  <c r="L30" i="1" s="1"/>
  <c r="L27" i="1"/>
  <c r="L28" i="1" s="1"/>
  <c r="L25" i="1"/>
  <c r="L26" i="1" s="1"/>
  <c r="L23" i="1"/>
  <c r="L24" i="1" s="1"/>
  <c r="L21" i="1"/>
  <c r="L22" i="1" s="1"/>
  <c r="L19" i="1"/>
  <c r="L20" i="1" s="1"/>
  <c r="L17" i="1"/>
  <c r="L18" i="1" s="1"/>
  <c r="L15" i="1"/>
  <c r="L16" i="1" s="1"/>
  <c r="L13" i="1"/>
  <c r="L14" i="1" s="1"/>
  <c r="L11" i="1"/>
  <c r="L12" i="1" s="1"/>
  <c r="L9" i="1"/>
  <c r="L10" i="1" s="1"/>
  <c r="L7" i="1"/>
  <c r="L8" i="1" s="1"/>
  <c r="L5" i="1"/>
  <c r="L6" i="1" s="1"/>
  <c r="K941" i="1"/>
  <c r="K942" i="1" s="1"/>
  <c r="K939" i="1"/>
  <c r="K940" i="1" s="1"/>
  <c r="K937" i="1"/>
  <c r="K938" i="1" s="1"/>
  <c r="K935" i="1"/>
  <c r="K936" i="1" s="1"/>
  <c r="K933" i="1"/>
  <c r="K934" i="1" s="1"/>
  <c r="K931" i="1"/>
  <c r="K932" i="1" s="1"/>
  <c r="K929" i="1"/>
  <c r="K930" i="1" s="1"/>
  <c r="K927" i="1"/>
  <c r="K928" i="1" s="1"/>
  <c r="K925" i="1"/>
  <c r="K926" i="1" s="1"/>
  <c r="K923" i="1"/>
  <c r="K924" i="1" s="1"/>
  <c r="K921" i="1"/>
  <c r="K922" i="1" s="1"/>
  <c r="K917" i="1"/>
  <c r="K918" i="1" s="1"/>
  <c r="K915" i="1"/>
  <c r="K916" i="1" s="1"/>
  <c r="K913" i="1"/>
  <c r="K914" i="1" s="1"/>
  <c r="K911" i="1"/>
  <c r="K912" i="1" s="1"/>
  <c r="K909" i="1"/>
  <c r="K910" i="1" s="1"/>
  <c r="K907" i="1"/>
  <c r="K908" i="1" s="1"/>
  <c r="K905" i="1"/>
  <c r="K906" i="1" s="1"/>
  <c r="K903" i="1"/>
  <c r="K904" i="1" s="1"/>
  <c r="K901" i="1"/>
  <c r="K902" i="1" s="1"/>
  <c r="K899" i="1"/>
  <c r="K900" i="1" s="1"/>
  <c r="K897" i="1"/>
  <c r="K898" i="1" s="1"/>
  <c r="K895" i="1"/>
  <c r="K896" i="1" s="1"/>
  <c r="K891" i="1"/>
  <c r="K892" i="1" s="1"/>
  <c r="K889" i="1"/>
  <c r="K890" i="1" s="1"/>
  <c r="K887" i="1"/>
  <c r="K888" i="1" s="1"/>
  <c r="K885" i="1"/>
  <c r="K886" i="1" s="1"/>
  <c r="K881" i="1"/>
  <c r="K882" i="1" s="1"/>
  <c r="K879" i="1"/>
  <c r="K880" i="1" s="1"/>
  <c r="K877" i="1"/>
  <c r="K878" i="1" s="1"/>
  <c r="K875" i="1"/>
  <c r="K876" i="1" s="1"/>
  <c r="K873" i="1"/>
  <c r="K874" i="1" s="1"/>
  <c r="K871" i="1"/>
  <c r="K872" i="1" s="1"/>
  <c r="K869" i="1"/>
  <c r="K870" i="1" s="1"/>
  <c r="K867" i="1"/>
  <c r="K868" i="1" s="1"/>
  <c r="K865" i="1"/>
  <c r="K866" i="1" s="1"/>
  <c r="K863" i="1"/>
  <c r="K864" i="1" s="1"/>
  <c r="K861" i="1"/>
  <c r="K862" i="1" s="1"/>
  <c r="K859" i="1"/>
  <c r="K860" i="1" s="1"/>
  <c r="K857" i="1"/>
  <c r="K858" i="1" s="1"/>
  <c r="K855" i="1"/>
  <c r="K856" i="1" s="1"/>
  <c r="K853" i="1"/>
  <c r="K854" i="1" s="1"/>
  <c r="K851" i="1"/>
  <c r="K852" i="1" s="1"/>
  <c r="K849" i="1"/>
  <c r="K850" i="1" s="1"/>
  <c r="K847" i="1"/>
  <c r="K848" i="1" s="1"/>
  <c r="K845" i="1"/>
  <c r="K846" i="1" s="1"/>
  <c r="K843" i="1"/>
  <c r="K844" i="1" s="1"/>
  <c r="K841" i="1"/>
  <c r="K842" i="1" s="1"/>
  <c r="K839" i="1"/>
  <c r="K840" i="1" s="1"/>
  <c r="K837" i="1"/>
  <c r="K838" i="1" s="1"/>
  <c r="K835" i="1"/>
  <c r="K836" i="1" s="1"/>
  <c r="K833" i="1"/>
  <c r="K834" i="1" s="1"/>
  <c r="K831" i="1"/>
  <c r="K832" i="1" s="1"/>
  <c r="K829" i="1"/>
  <c r="K830" i="1" s="1"/>
  <c r="K825" i="1"/>
  <c r="K826" i="1" s="1"/>
  <c r="K823" i="1"/>
  <c r="K824" i="1" s="1"/>
  <c r="K821" i="1"/>
  <c r="K822" i="1" s="1"/>
  <c r="K819" i="1"/>
  <c r="K820" i="1" s="1"/>
  <c r="K817" i="1"/>
  <c r="K818" i="1" s="1"/>
  <c r="K815" i="1"/>
  <c r="K816" i="1" s="1"/>
  <c r="K813" i="1"/>
  <c r="K814" i="1" s="1"/>
  <c r="K811" i="1"/>
  <c r="K812" i="1" s="1"/>
  <c r="K809" i="1"/>
  <c r="K810" i="1" s="1"/>
  <c r="K807" i="1"/>
  <c r="K808" i="1" s="1"/>
  <c r="K805" i="1"/>
  <c r="K806" i="1" s="1"/>
  <c r="K803" i="1"/>
  <c r="K804" i="1" s="1"/>
  <c r="K801" i="1"/>
  <c r="K802" i="1" s="1"/>
  <c r="K799" i="1"/>
  <c r="K800" i="1" s="1"/>
  <c r="K797" i="1"/>
  <c r="K798" i="1" s="1"/>
  <c r="K795" i="1"/>
  <c r="K796" i="1" s="1"/>
  <c r="K793" i="1"/>
  <c r="K794" i="1" s="1"/>
  <c r="K791" i="1"/>
  <c r="K792" i="1" s="1"/>
  <c r="K789" i="1"/>
  <c r="K790" i="1" s="1"/>
  <c r="K787" i="1"/>
  <c r="K788" i="1" s="1"/>
  <c r="K785" i="1"/>
  <c r="K786" i="1" s="1"/>
  <c r="K783" i="1"/>
  <c r="K784" i="1" s="1"/>
  <c r="K781" i="1"/>
  <c r="K782" i="1" s="1"/>
  <c r="K779" i="1"/>
  <c r="K780" i="1" s="1"/>
  <c r="K775" i="1"/>
  <c r="K776" i="1" s="1"/>
  <c r="K773" i="1"/>
  <c r="K774" i="1" s="1"/>
  <c r="K771" i="1"/>
  <c r="K772" i="1" s="1"/>
  <c r="K769" i="1"/>
  <c r="K770" i="1" s="1"/>
  <c r="K765" i="1"/>
  <c r="K766" i="1" s="1"/>
  <c r="K763" i="1"/>
  <c r="K764" i="1" s="1"/>
  <c r="K761" i="1"/>
  <c r="K762" i="1" s="1"/>
  <c r="K759" i="1"/>
  <c r="K760" i="1" s="1"/>
  <c r="K757" i="1"/>
  <c r="K758" i="1" s="1"/>
  <c r="K755" i="1"/>
  <c r="K756" i="1" s="1"/>
  <c r="K753" i="1"/>
  <c r="K754" i="1" s="1"/>
  <c r="K751" i="1"/>
  <c r="K752" i="1" s="1"/>
  <c r="K749" i="1"/>
  <c r="K750" i="1" s="1"/>
  <c r="K747" i="1"/>
  <c r="K748" i="1" s="1"/>
  <c r="K745" i="1"/>
  <c r="K746" i="1" s="1"/>
  <c r="K741" i="1"/>
  <c r="K742" i="1" s="1"/>
  <c r="K739" i="1"/>
  <c r="K740" i="1" s="1"/>
  <c r="K737" i="1"/>
  <c r="K738" i="1" s="1"/>
  <c r="K735" i="1"/>
  <c r="K736" i="1" s="1"/>
  <c r="K731" i="1"/>
  <c r="K732" i="1" s="1"/>
  <c r="K727" i="1"/>
  <c r="K728" i="1" s="1"/>
  <c r="K725" i="1"/>
  <c r="K726" i="1" s="1"/>
  <c r="K721" i="1"/>
  <c r="K722" i="1" s="1"/>
  <c r="K719" i="1"/>
  <c r="K720" i="1" s="1"/>
  <c r="K717" i="1"/>
  <c r="K718" i="1" s="1"/>
  <c r="K715" i="1"/>
  <c r="K716" i="1" s="1"/>
  <c r="K713" i="1"/>
  <c r="K714" i="1" s="1"/>
  <c r="K711" i="1"/>
  <c r="K712" i="1" s="1"/>
  <c r="K709" i="1"/>
  <c r="K710" i="1" s="1"/>
  <c r="K707" i="1"/>
  <c r="K708" i="1" s="1"/>
  <c r="K705" i="1"/>
  <c r="K706" i="1" s="1"/>
  <c r="K701" i="1"/>
  <c r="K702" i="1" s="1"/>
  <c r="K699" i="1"/>
  <c r="K700" i="1" s="1"/>
  <c r="K697" i="1"/>
  <c r="K698" i="1" s="1"/>
  <c r="K695" i="1"/>
  <c r="K696" i="1" s="1"/>
  <c r="K691" i="1"/>
  <c r="K692" i="1" s="1"/>
  <c r="K689" i="1"/>
  <c r="K690" i="1" s="1"/>
  <c r="K687" i="1"/>
  <c r="K688" i="1" s="1"/>
  <c r="K685" i="1"/>
  <c r="K686" i="1" s="1"/>
  <c r="K683" i="1"/>
  <c r="K684" i="1" s="1"/>
  <c r="K681" i="1"/>
  <c r="K682" i="1" s="1"/>
  <c r="K679" i="1"/>
  <c r="K680" i="1" s="1"/>
  <c r="K677" i="1"/>
  <c r="K678" i="1" s="1"/>
  <c r="K675" i="1"/>
  <c r="K676" i="1" s="1"/>
  <c r="K673" i="1"/>
  <c r="K674" i="1" s="1"/>
  <c r="K671" i="1"/>
  <c r="K672" i="1" s="1"/>
  <c r="K669" i="1"/>
  <c r="K670" i="1" s="1"/>
  <c r="K667" i="1"/>
  <c r="K668" i="1" s="1"/>
  <c r="K665" i="1"/>
  <c r="K666" i="1" s="1"/>
  <c r="K659" i="1"/>
  <c r="K660" i="1" s="1"/>
  <c r="K657" i="1"/>
  <c r="K658" i="1" s="1"/>
  <c r="K655" i="1"/>
  <c r="K656" i="1" s="1"/>
  <c r="K653" i="1"/>
  <c r="K654" i="1" s="1"/>
  <c r="K651" i="1"/>
  <c r="K652" i="1" s="1"/>
  <c r="K647" i="1"/>
  <c r="K648" i="1" s="1"/>
  <c r="K645" i="1"/>
  <c r="K646" i="1" s="1"/>
  <c r="K641" i="1"/>
  <c r="K642" i="1" s="1"/>
  <c r="K639" i="1"/>
  <c r="K640" i="1" s="1"/>
  <c r="K637" i="1"/>
  <c r="K638" i="1" s="1"/>
  <c r="K635" i="1"/>
  <c r="K636" i="1" s="1"/>
  <c r="K633" i="1"/>
  <c r="K634" i="1" s="1"/>
  <c r="K631" i="1"/>
  <c r="K632" i="1" s="1"/>
  <c r="K629" i="1"/>
  <c r="K630" i="1" s="1"/>
  <c r="K627" i="1"/>
  <c r="K628" i="1" s="1"/>
  <c r="K625" i="1"/>
  <c r="K626" i="1" s="1"/>
  <c r="K623" i="1"/>
  <c r="K624" i="1" s="1"/>
  <c r="K621" i="1"/>
  <c r="K622" i="1" s="1"/>
  <c r="K619" i="1"/>
  <c r="K620" i="1" s="1"/>
  <c r="K617" i="1"/>
  <c r="K618" i="1" s="1"/>
  <c r="K615" i="1"/>
  <c r="K616" i="1" s="1"/>
  <c r="K611" i="1"/>
  <c r="K612" i="1" s="1"/>
  <c r="K609" i="1"/>
  <c r="K610" i="1" s="1"/>
  <c r="K605" i="1"/>
  <c r="K606" i="1" s="1"/>
  <c r="K603" i="1"/>
  <c r="K604" i="1" s="1"/>
  <c r="K601" i="1"/>
  <c r="K602" i="1" s="1"/>
  <c r="K599" i="1"/>
  <c r="K600" i="1" s="1"/>
  <c r="K597" i="1"/>
  <c r="K598" i="1" s="1"/>
  <c r="K595" i="1"/>
  <c r="K596" i="1" s="1"/>
  <c r="K593" i="1"/>
  <c r="K594" i="1" s="1"/>
  <c r="K589" i="1"/>
  <c r="K590" i="1" s="1"/>
  <c r="K587" i="1"/>
  <c r="K588" i="1" s="1"/>
  <c r="K585" i="1"/>
  <c r="K586" i="1" s="1"/>
  <c r="K581" i="1"/>
  <c r="K582" i="1" s="1"/>
  <c r="K579" i="1"/>
  <c r="K580" i="1" s="1"/>
  <c r="K575" i="1"/>
  <c r="K576" i="1" s="1"/>
  <c r="K573" i="1"/>
  <c r="K574" i="1" s="1"/>
  <c r="K567" i="1"/>
  <c r="K568" i="1" s="1"/>
  <c r="K565" i="1"/>
  <c r="K566" i="1" s="1"/>
  <c r="K557" i="1"/>
  <c r="K558" i="1" s="1"/>
  <c r="K553" i="1"/>
  <c r="K554" i="1" s="1"/>
  <c r="K551" i="1"/>
  <c r="K552" i="1" s="1"/>
  <c r="K547" i="1"/>
  <c r="K548" i="1" s="1"/>
  <c r="K545" i="1"/>
  <c r="K546" i="1" s="1"/>
  <c r="K541" i="1"/>
  <c r="K542" i="1" s="1"/>
  <c r="K535" i="1"/>
  <c r="K536" i="1" s="1"/>
  <c r="K531" i="1"/>
  <c r="K532" i="1" s="1"/>
  <c r="K521" i="1"/>
  <c r="K522" i="1" s="1"/>
  <c r="K517" i="1"/>
  <c r="K518" i="1" s="1"/>
  <c r="K515" i="1"/>
  <c r="K516" i="1" s="1"/>
  <c r="K513" i="1"/>
  <c r="K514" i="1" s="1"/>
  <c r="K511" i="1"/>
  <c r="K512" i="1" s="1"/>
  <c r="K509" i="1"/>
  <c r="K510" i="1" s="1"/>
  <c r="K507" i="1"/>
  <c r="K508" i="1" s="1"/>
  <c r="K505" i="1"/>
  <c r="K506" i="1" s="1"/>
  <c r="K503" i="1"/>
  <c r="K504" i="1" s="1"/>
  <c r="K501" i="1"/>
  <c r="K502" i="1" s="1"/>
  <c r="K499" i="1"/>
  <c r="K500" i="1" s="1"/>
  <c r="K497" i="1"/>
  <c r="K498" i="1" s="1"/>
  <c r="K495" i="1"/>
  <c r="K496" i="1" s="1"/>
  <c r="K493" i="1"/>
  <c r="K494" i="1" s="1"/>
  <c r="K491" i="1"/>
  <c r="K492" i="1" s="1"/>
  <c r="K489" i="1"/>
  <c r="K490" i="1" s="1"/>
  <c r="K485" i="1"/>
  <c r="K486" i="1" s="1"/>
  <c r="K483" i="1"/>
  <c r="K484" i="1" s="1"/>
  <c r="K481" i="1"/>
  <c r="K482" i="1" s="1"/>
  <c r="K479" i="1"/>
  <c r="K480" i="1" s="1"/>
  <c r="K477" i="1"/>
  <c r="K478" i="1" s="1"/>
  <c r="K475" i="1"/>
  <c r="K476" i="1" s="1"/>
  <c r="K473" i="1"/>
  <c r="K474" i="1" s="1"/>
  <c r="K471" i="1"/>
  <c r="K472" i="1" s="1"/>
  <c r="K469" i="1"/>
  <c r="K470" i="1" s="1"/>
  <c r="K467" i="1"/>
  <c r="K468" i="1" s="1"/>
  <c r="K465" i="1"/>
  <c r="K466" i="1" s="1"/>
  <c r="K457" i="1"/>
  <c r="K458" i="1" s="1"/>
  <c r="K455" i="1"/>
  <c r="K456" i="1" s="1"/>
  <c r="K447" i="1"/>
  <c r="K448" i="1" s="1"/>
  <c r="K445" i="1"/>
  <c r="K446" i="1" s="1"/>
  <c r="K443" i="1"/>
  <c r="K444" i="1" s="1"/>
  <c r="K437" i="1"/>
  <c r="K438" i="1" s="1"/>
  <c r="K433" i="1"/>
  <c r="K434" i="1" s="1"/>
  <c r="K417" i="1"/>
  <c r="K418" i="1" s="1"/>
  <c r="K415" i="1"/>
  <c r="K416" i="1" s="1"/>
  <c r="K413" i="1"/>
  <c r="K414" i="1" s="1"/>
  <c r="K411" i="1"/>
  <c r="K412" i="1" s="1"/>
  <c r="K409" i="1"/>
  <c r="K410" i="1" s="1"/>
  <c r="K407" i="1"/>
  <c r="K408" i="1" s="1"/>
  <c r="K405" i="1"/>
  <c r="K406" i="1" s="1"/>
  <c r="K403" i="1"/>
  <c r="K404" i="1" s="1"/>
  <c r="K401" i="1"/>
  <c r="K402" i="1" s="1"/>
  <c r="K399" i="1"/>
  <c r="K400" i="1" s="1"/>
  <c r="K397" i="1"/>
  <c r="K398" i="1" s="1"/>
  <c r="K395" i="1"/>
  <c r="K396" i="1" s="1"/>
  <c r="K393" i="1"/>
  <c r="K394" i="1" s="1"/>
  <c r="K391" i="1"/>
  <c r="K392" i="1" s="1"/>
  <c r="K389" i="1"/>
  <c r="K390" i="1" s="1"/>
  <c r="K387" i="1"/>
  <c r="K388" i="1" s="1"/>
  <c r="K385" i="1"/>
  <c r="K386" i="1" s="1"/>
  <c r="K381" i="1"/>
  <c r="K382" i="1" s="1"/>
  <c r="K379" i="1"/>
  <c r="K380" i="1" s="1"/>
  <c r="K377" i="1"/>
  <c r="K378" i="1" s="1"/>
  <c r="K375" i="1"/>
  <c r="K376" i="1" s="1"/>
  <c r="K373" i="1"/>
  <c r="K374" i="1" s="1"/>
  <c r="K371" i="1"/>
  <c r="K372" i="1" s="1"/>
  <c r="K369" i="1"/>
  <c r="K370" i="1" s="1"/>
  <c r="K367" i="1"/>
  <c r="K368" i="1" s="1"/>
  <c r="K365" i="1"/>
  <c r="K366" i="1" s="1"/>
  <c r="K363" i="1"/>
  <c r="K364" i="1" s="1"/>
  <c r="K361" i="1"/>
  <c r="K362" i="1" s="1"/>
  <c r="K359" i="1"/>
  <c r="K360" i="1" s="1"/>
  <c r="K357" i="1"/>
  <c r="K358" i="1" s="1"/>
  <c r="K355" i="1"/>
  <c r="K356" i="1" s="1"/>
  <c r="K353" i="1"/>
  <c r="K354" i="1" s="1"/>
  <c r="K351" i="1"/>
  <c r="K352" i="1" s="1"/>
  <c r="K349" i="1"/>
  <c r="K350" i="1" s="1"/>
  <c r="K347" i="1"/>
  <c r="K348" i="1" s="1"/>
  <c r="K345" i="1"/>
  <c r="K346" i="1" s="1"/>
  <c r="K343" i="1"/>
  <c r="K344" i="1" s="1"/>
  <c r="K341" i="1"/>
  <c r="K342" i="1" s="1"/>
  <c r="K339" i="1"/>
  <c r="K340" i="1" s="1"/>
  <c r="K337" i="1"/>
  <c r="K338" i="1" s="1"/>
  <c r="K335" i="1"/>
  <c r="K336" i="1" s="1"/>
  <c r="K333" i="1"/>
  <c r="K334" i="1" s="1"/>
  <c r="K331" i="1"/>
  <c r="K332" i="1" s="1"/>
  <c r="K329" i="1"/>
  <c r="K330" i="1" s="1"/>
  <c r="K327" i="1"/>
  <c r="K328" i="1" s="1"/>
  <c r="K325" i="1"/>
  <c r="K326" i="1" s="1"/>
  <c r="K323" i="1"/>
  <c r="K324" i="1" s="1"/>
  <c r="K321" i="1"/>
  <c r="K322" i="1" s="1"/>
  <c r="K319" i="1"/>
  <c r="K320" i="1" s="1"/>
  <c r="K317" i="1"/>
  <c r="K318" i="1" s="1"/>
  <c r="K315" i="1"/>
  <c r="K316" i="1" s="1"/>
  <c r="K313" i="1"/>
  <c r="K314" i="1" s="1"/>
  <c r="K311" i="1"/>
  <c r="K312" i="1" s="1"/>
  <c r="K309" i="1"/>
  <c r="K310" i="1" s="1"/>
  <c r="K307" i="1"/>
  <c r="K308" i="1" s="1"/>
  <c r="K305" i="1"/>
  <c r="K306" i="1" s="1"/>
  <c r="K303" i="1"/>
  <c r="K304" i="1" s="1"/>
  <c r="K301" i="1"/>
  <c r="K302" i="1" s="1"/>
  <c r="K299" i="1"/>
  <c r="K300" i="1" s="1"/>
  <c r="K297" i="1"/>
  <c r="K298" i="1" s="1"/>
  <c r="K295" i="1"/>
  <c r="K296" i="1" s="1"/>
  <c r="K293" i="1"/>
  <c r="K294" i="1" s="1"/>
  <c r="K291" i="1"/>
  <c r="K292" i="1" s="1"/>
  <c r="K289" i="1"/>
  <c r="K290" i="1" s="1"/>
  <c r="K287" i="1"/>
  <c r="K288" i="1" s="1"/>
  <c r="K285" i="1"/>
  <c r="K286" i="1" s="1"/>
  <c r="K283" i="1"/>
  <c r="K284" i="1" s="1"/>
  <c r="K281" i="1"/>
  <c r="K282" i="1" s="1"/>
  <c r="K279" i="1"/>
  <c r="K280" i="1" s="1"/>
  <c r="K277" i="1"/>
  <c r="K278" i="1" s="1"/>
  <c r="K275" i="1"/>
  <c r="K276" i="1" s="1"/>
  <c r="K273" i="1"/>
  <c r="K274" i="1" s="1"/>
  <c r="K271" i="1"/>
  <c r="K272" i="1" s="1"/>
  <c r="K269" i="1"/>
  <c r="K270" i="1" s="1"/>
  <c r="K267" i="1"/>
  <c r="K268" i="1" s="1"/>
  <c r="K265" i="1"/>
  <c r="K266" i="1" s="1"/>
  <c r="K263" i="1"/>
  <c r="K264" i="1" s="1"/>
  <c r="K261" i="1"/>
  <c r="K262" i="1" s="1"/>
  <c r="K259" i="1"/>
  <c r="K260" i="1" s="1"/>
  <c r="K257" i="1"/>
  <c r="K258" i="1" s="1"/>
  <c r="K255" i="1"/>
  <c r="K256" i="1" s="1"/>
  <c r="K253" i="1"/>
  <c r="K254" i="1" s="1"/>
  <c r="K251" i="1"/>
  <c r="K252" i="1" s="1"/>
  <c r="K249" i="1"/>
  <c r="K250" i="1" s="1"/>
  <c r="K247" i="1"/>
  <c r="K248" i="1" s="1"/>
  <c r="K245" i="1"/>
  <c r="K246" i="1" s="1"/>
  <c r="K243" i="1"/>
  <c r="K244" i="1" s="1"/>
  <c r="K241" i="1"/>
  <c r="K242" i="1" s="1"/>
  <c r="K239" i="1"/>
  <c r="K240" i="1" s="1"/>
  <c r="K237" i="1"/>
  <c r="K238" i="1" s="1"/>
  <c r="K235" i="1"/>
  <c r="K236" i="1" s="1"/>
  <c r="K233" i="1"/>
  <c r="K234" i="1" s="1"/>
  <c r="K231" i="1"/>
  <c r="K232" i="1" s="1"/>
  <c r="K229" i="1"/>
  <c r="K230" i="1" s="1"/>
  <c r="K227" i="1"/>
  <c r="K228" i="1" s="1"/>
  <c r="K225" i="1"/>
  <c r="K226" i="1" s="1"/>
  <c r="K223" i="1"/>
  <c r="K224" i="1" s="1"/>
  <c r="K221" i="1"/>
  <c r="K222" i="1" s="1"/>
  <c r="K219" i="1"/>
  <c r="K220" i="1" s="1"/>
  <c r="K217" i="1"/>
  <c r="K218" i="1" s="1"/>
  <c r="K211" i="1"/>
  <c r="K212" i="1" s="1"/>
  <c r="K209" i="1"/>
  <c r="K210" i="1" s="1"/>
  <c r="K207" i="1"/>
  <c r="K208" i="1" s="1"/>
  <c r="K205" i="1"/>
  <c r="K206" i="1" s="1"/>
  <c r="K201" i="1"/>
  <c r="K202" i="1" s="1"/>
  <c r="K199" i="1"/>
  <c r="K200" i="1" s="1"/>
  <c r="K197" i="1"/>
  <c r="K198" i="1" s="1"/>
  <c r="K195" i="1"/>
  <c r="K196" i="1" s="1"/>
  <c r="K193" i="1"/>
  <c r="K194" i="1" s="1"/>
  <c r="K191" i="1"/>
  <c r="K192" i="1" s="1"/>
  <c r="K189" i="1"/>
  <c r="K190" i="1" s="1"/>
  <c r="K187" i="1"/>
  <c r="K188" i="1" s="1"/>
  <c r="K185" i="1"/>
  <c r="K186" i="1" s="1"/>
  <c r="K183" i="1"/>
  <c r="K184" i="1" s="1"/>
  <c r="K181" i="1"/>
  <c r="K182" i="1" s="1"/>
  <c r="K179" i="1"/>
  <c r="K180" i="1" s="1"/>
  <c r="K177" i="1"/>
  <c r="K178" i="1" s="1"/>
  <c r="K175" i="1"/>
  <c r="K176" i="1" s="1"/>
  <c r="K173" i="1"/>
  <c r="K174" i="1" s="1"/>
  <c r="K171" i="1"/>
  <c r="K172" i="1" s="1"/>
  <c r="K169" i="1"/>
  <c r="K170" i="1" s="1"/>
  <c r="K167" i="1"/>
  <c r="K168" i="1" s="1"/>
  <c r="K165" i="1"/>
  <c r="K166" i="1" s="1"/>
  <c r="K153" i="1"/>
  <c r="K154" i="1" s="1"/>
  <c r="K151" i="1"/>
  <c r="K152" i="1" s="1"/>
  <c r="K149" i="1"/>
  <c r="K150" i="1" s="1"/>
  <c r="K147" i="1"/>
  <c r="K148" i="1" s="1"/>
  <c r="K145" i="1"/>
  <c r="K146" i="1" s="1"/>
  <c r="K143" i="1"/>
  <c r="K144" i="1" s="1"/>
  <c r="K141" i="1"/>
  <c r="K142" i="1" s="1"/>
  <c r="K139" i="1"/>
  <c r="K140" i="1" s="1"/>
  <c r="K137" i="1"/>
  <c r="K138" i="1" s="1"/>
  <c r="K135" i="1"/>
  <c r="K136" i="1" s="1"/>
  <c r="K133" i="1"/>
  <c r="K134" i="1" s="1"/>
  <c r="K131" i="1"/>
  <c r="K132" i="1" s="1"/>
  <c r="K129" i="1"/>
  <c r="K130" i="1" s="1"/>
  <c r="K127" i="1"/>
  <c r="K128" i="1" s="1"/>
  <c r="K125" i="1"/>
  <c r="K126" i="1" s="1"/>
  <c r="K123" i="1"/>
  <c r="K124" i="1" s="1"/>
  <c r="K121" i="1"/>
  <c r="K122" i="1" s="1"/>
  <c r="K119" i="1"/>
  <c r="K120" i="1" s="1"/>
  <c r="K117" i="1"/>
  <c r="K118" i="1" s="1"/>
  <c r="K115" i="1"/>
  <c r="K116" i="1" s="1"/>
  <c r="K113" i="1"/>
  <c r="K114" i="1" s="1"/>
  <c r="K111" i="1"/>
  <c r="K112" i="1" s="1"/>
  <c r="K109" i="1"/>
  <c r="K110" i="1" s="1"/>
  <c r="K107" i="1"/>
  <c r="K108" i="1" s="1"/>
  <c r="K105" i="1"/>
  <c r="K106" i="1" s="1"/>
  <c r="K103" i="1"/>
  <c r="K104" i="1" s="1"/>
  <c r="K101" i="1"/>
  <c r="K102" i="1" s="1"/>
  <c r="K99" i="1"/>
  <c r="K100" i="1" s="1"/>
  <c r="K97" i="1"/>
  <c r="K98" i="1" s="1"/>
  <c r="K95" i="1"/>
  <c r="K96" i="1" s="1"/>
  <c r="K93" i="1"/>
  <c r="K94" i="1" s="1"/>
  <c r="K91" i="1"/>
  <c r="K92" i="1" s="1"/>
  <c r="K89" i="1"/>
  <c r="K90" i="1" s="1"/>
  <c r="K87" i="1"/>
  <c r="K88" i="1" s="1"/>
  <c r="K85" i="1"/>
  <c r="K86" i="1" s="1"/>
  <c r="K83" i="1"/>
  <c r="K84" i="1" s="1"/>
  <c r="K81" i="1"/>
  <c r="K82" i="1" s="1"/>
  <c r="K79" i="1"/>
  <c r="K80" i="1" s="1"/>
  <c r="K77" i="1"/>
  <c r="K78" i="1" s="1"/>
  <c r="K75" i="1"/>
  <c r="K76" i="1" s="1"/>
  <c r="K73" i="1"/>
  <c r="K74" i="1" s="1"/>
  <c r="K71" i="1"/>
  <c r="K72" i="1" s="1"/>
  <c r="K69" i="1"/>
  <c r="K70" i="1" s="1"/>
  <c r="K67" i="1"/>
  <c r="K68" i="1" s="1"/>
  <c r="K65" i="1"/>
  <c r="K66" i="1" s="1"/>
  <c r="K63" i="1"/>
  <c r="K64" i="1" s="1"/>
  <c r="K61" i="1"/>
  <c r="K62" i="1" s="1"/>
  <c r="K59" i="1"/>
  <c r="K60" i="1" s="1"/>
  <c r="K57" i="1"/>
  <c r="K58" i="1" s="1"/>
  <c r="K55" i="1"/>
  <c r="K56" i="1" s="1"/>
  <c r="K53" i="1"/>
  <c r="K54" i="1" s="1"/>
  <c r="K51" i="1"/>
  <c r="K52" i="1" s="1"/>
  <c r="K49" i="1"/>
  <c r="K50" i="1" s="1"/>
  <c r="K47" i="1"/>
  <c r="K48" i="1" s="1"/>
  <c r="K45" i="1"/>
  <c r="K46" i="1" s="1"/>
  <c r="K43" i="1"/>
  <c r="K44" i="1" s="1"/>
  <c r="K41" i="1"/>
  <c r="K42" i="1" s="1"/>
  <c r="K39" i="1"/>
  <c r="K40" i="1" s="1"/>
  <c r="K37" i="1"/>
  <c r="K38" i="1" s="1"/>
  <c r="K35" i="1"/>
  <c r="K36" i="1" s="1"/>
  <c r="K33" i="1"/>
  <c r="K34" i="1" s="1"/>
  <c r="K31" i="1"/>
  <c r="K32" i="1" s="1"/>
  <c r="K29" i="1"/>
  <c r="K30" i="1" s="1"/>
  <c r="K27" i="1"/>
  <c r="K28" i="1" s="1"/>
  <c r="K25" i="1"/>
  <c r="K26" i="1" s="1"/>
  <c r="K23" i="1"/>
  <c r="K24" i="1" s="1"/>
  <c r="K21" i="1"/>
  <c r="K22" i="1" s="1"/>
  <c r="K19" i="1"/>
  <c r="K20" i="1" s="1"/>
  <c r="K17" i="1"/>
  <c r="K18" i="1" s="1"/>
  <c r="K15" i="1"/>
  <c r="K16" i="1" s="1"/>
  <c r="K13" i="1"/>
  <c r="K14" i="1" s="1"/>
  <c r="K11" i="1"/>
  <c r="K12" i="1" s="1"/>
  <c r="K9" i="1"/>
  <c r="K10" i="1" s="1"/>
  <c r="K7" i="1"/>
  <c r="K8" i="1" s="1"/>
  <c r="I941" i="1"/>
  <c r="I942" i="1" s="1"/>
  <c r="I939" i="1"/>
  <c r="I940" i="1" s="1"/>
  <c r="I937" i="1"/>
  <c r="I938" i="1" s="1"/>
  <c r="I935" i="1"/>
  <c r="I936" i="1" s="1"/>
  <c r="I933" i="1"/>
  <c r="I934" i="1" s="1"/>
  <c r="I931" i="1"/>
  <c r="I932" i="1" s="1"/>
  <c r="I929" i="1"/>
  <c r="I930" i="1" s="1"/>
  <c r="I927" i="1"/>
  <c r="I928" i="1" s="1"/>
  <c r="I925" i="1"/>
  <c r="I926" i="1" s="1"/>
  <c r="I923" i="1"/>
  <c r="I924" i="1" s="1"/>
  <c r="I921" i="1"/>
  <c r="I922" i="1" s="1"/>
  <c r="I919" i="1"/>
  <c r="I920" i="1" s="1"/>
  <c r="I917" i="1"/>
  <c r="I918" i="1" s="1"/>
  <c r="I915" i="1"/>
  <c r="I916" i="1" s="1"/>
  <c r="I913" i="1"/>
  <c r="I914" i="1" s="1"/>
  <c r="I911" i="1"/>
  <c r="I912" i="1" s="1"/>
  <c r="I909" i="1"/>
  <c r="I910" i="1" s="1"/>
  <c r="I907" i="1"/>
  <c r="I908" i="1" s="1"/>
  <c r="I905" i="1"/>
  <c r="I906" i="1" s="1"/>
  <c r="I903" i="1"/>
  <c r="I904" i="1" s="1"/>
  <c r="I901" i="1"/>
  <c r="I902" i="1" s="1"/>
  <c r="I899" i="1"/>
  <c r="I900" i="1" s="1"/>
  <c r="I897" i="1"/>
  <c r="I898" i="1" s="1"/>
  <c r="I895" i="1"/>
  <c r="I896" i="1" s="1"/>
  <c r="I893" i="1"/>
  <c r="I894" i="1" s="1"/>
  <c r="I891" i="1"/>
  <c r="I892" i="1" s="1"/>
  <c r="I889" i="1"/>
  <c r="I890" i="1" s="1"/>
  <c r="I887" i="1"/>
  <c r="I888" i="1" s="1"/>
  <c r="I885" i="1"/>
  <c r="I886" i="1" s="1"/>
  <c r="I883" i="1"/>
  <c r="I884" i="1" s="1"/>
  <c r="I881" i="1"/>
  <c r="I882" i="1" s="1"/>
  <c r="I879" i="1"/>
  <c r="I880" i="1" s="1"/>
  <c r="I877" i="1"/>
  <c r="I878" i="1" s="1"/>
  <c r="I875" i="1"/>
  <c r="I876" i="1" s="1"/>
  <c r="I873" i="1"/>
  <c r="I874" i="1" s="1"/>
  <c r="I871" i="1"/>
  <c r="I872" i="1" s="1"/>
  <c r="I869" i="1"/>
  <c r="I870" i="1" s="1"/>
  <c r="I867" i="1"/>
  <c r="I868" i="1" s="1"/>
  <c r="I865" i="1"/>
  <c r="I866" i="1" s="1"/>
  <c r="I863" i="1"/>
  <c r="I864" i="1" s="1"/>
  <c r="I861" i="1"/>
  <c r="I862" i="1" s="1"/>
  <c r="I859" i="1"/>
  <c r="I860" i="1" s="1"/>
  <c r="I857" i="1"/>
  <c r="I858" i="1" s="1"/>
  <c r="I855" i="1"/>
  <c r="I856" i="1" s="1"/>
  <c r="I853" i="1"/>
  <c r="I854" i="1" s="1"/>
  <c r="I851" i="1"/>
  <c r="I852" i="1" s="1"/>
  <c r="I849" i="1"/>
  <c r="I850" i="1" s="1"/>
  <c r="I847" i="1"/>
  <c r="I848" i="1" s="1"/>
  <c r="I845" i="1"/>
  <c r="I846" i="1" s="1"/>
  <c r="I843" i="1"/>
  <c r="I844" i="1" s="1"/>
  <c r="I841" i="1"/>
  <c r="I842" i="1" s="1"/>
  <c r="I839" i="1"/>
  <c r="I840" i="1" s="1"/>
  <c r="I837" i="1"/>
  <c r="I838" i="1" s="1"/>
  <c r="I835" i="1"/>
  <c r="I836" i="1" s="1"/>
  <c r="I833" i="1"/>
  <c r="I834" i="1" s="1"/>
  <c r="I831" i="1"/>
  <c r="I832" i="1" s="1"/>
  <c r="I829" i="1"/>
  <c r="I830" i="1" s="1"/>
  <c r="I827" i="1"/>
  <c r="I828" i="1" s="1"/>
  <c r="I825" i="1"/>
  <c r="I826" i="1" s="1"/>
  <c r="I823" i="1"/>
  <c r="I824" i="1" s="1"/>
  <c r="I821" i="1"/>
  <c r="I822" i="1" s="1"/>
  <c r="I819" i="1"/>
  <c r="I820" i="1" s="1"/>
  <c r="I817" i="1"/>
  <c r="I818" i="1" s="1"/>
  <c r="I815" i="1"/>
  <c r="I816" i="1" s="1"/>
  <c r="I813" i="1"/>
  <c r="I814" i="1" s="1"/>
  <c r="I811" i="1"/>
  <c r="I812" i="1" s="1"/>
  <c r="I809" i="1"/>
  <c r="I810" i="1" s="1"/>
  <c r="I807" i="1"/>
  <c r="I808" i="1" s="1"/>
  <c r="I805" i="1"/>
  <c r="I806" i="1" s="1"/>
  <c r="I803" i="1"/>
  <c r="I804" i="1" s="1"/>
  <c r="I801" i="1"/>
  <c r="I802" i="1" s="1"/>
  <c r="I799" i="1"/>
  <c r="I800" i="1" s="1"/>
  <c r="I797" i="1"/>
  <c r="I798" i="1" s="1"/>
  <c r="I795" i="1"/>
  <c r="I796" i="1" s="1"/>
  <c r="I793" i="1"/>
  <c r="I794" i="1" s="1"/>
  <c r="I791" i="1"/>
  <c r="I792" i="1" s="1"/>
  <c r="I789" i="1"/>
  <c r="I790" i="1" s="1"/>
  <c r="I787" i="1"/>
  <c r="I788" i="1" s="1"/>
  <c r="I785" i="1"/>
  <c r="I786" i="1" s="1"/>
  <c r="I783" i="1"/>
  <c r="I784" i="1" s="1"/>
  <c r="I781" i="1"/>
  <c r="I782" i="1" s="1"/>
  <c r="I779" i="1"/>
  <c r="I780" i="1" s="1"/>
  <c r="I777" i="1"/>
  <c r="I778" i="1" s="1"/>
  <c r="I775" i="1"/>
  <c r="I776" i="1" s="1"/>
  <c r="I773" i="1"/>
  <c r="I774" i="1" s="1"/>
  <c r="I771" i="1"/>
  <c r="I772" i="1" s="1"/>
  <c r="I769" i="1"/>
  <c r="I770" i="1" s="1"/>
  <c r="I767" i="1"/>
  <c r="I768" i="1" s="1"/>
  <c r="I765" i="1"/>
  <c r="I766" i="1" s="1"/>
  <c r="I763" i="1"/>
  <c r="I764" i="1" s="1"/>
  <c r="I761" i="1"/>
  <c r="I762" i="1" s="1"/>
  <c r="I759" i="1"/>
  <c r="I760" i="1" s="1"/>
  <c r="I757" i="1"/>
  <c r="I758" i="1" s="1"/>
  <c r="I755" i="1"/>
  <c r="I756" i="1" s="1"/>
  <c r="I753" i="1"/>
  <c r="I754" i="1" s="1"/>
  <c r="I751" i="1"/>
  <c r="I752" i="1" s="1"/>
  <c r="I749" i="1"/>
  <c r="I750" i="1" s="1"/>
  <c r="I747" i="1"/>
  <c r="I748" i="1" s="1"/>
  <c r="I745" i="1"/>
  <c r="I746" i="1" s="1"/>
  <c r="I743" i="1"/>
  <c r="I744" i="1" s="1"/>
  <c r="I741" i="1"/>
  <c r="I742" i="1" s="1"/>
  <c r="I739" i="1"/>
  <c r="I740" i="1" s="1"/>
  <c r="I737" i="1"/>
  <c r="I738" i="1" s="1"/>
  <c r="I735" i="1"/>
  <c r="I736" i="1" s="1"/>
  <c r="I733" i="1"/>
  <c r="I734" i="1" s="1"/>
  <c r="I731" i="1"/>
  <c r="I732" i="1" s="1"/>
  <c r="I729" i="1"/>
  <c r="I730" i="1" s="1"/>
  <c r="I727" i="1"/>
  <c r="I728" i="1" s="1"/>
  <c r="I725" i="1"/>
  <c r="I726" i="1" s="1"/>
  <c r="I723" i="1"/>
  <c r="I724" i="1" s="1"/>
  <c r="I721" i="1"/>
  <c r="I722" i="1" s="1"/>
  <c r="I719" i="1"/>
  <c r="I720" i="1" s="1"/>
  <c r="I717" i="1"/>
  <c r="I718" i="1" s="1"/>
  <c r="I715" i="1"/>
  <c r="I716" i="1" s="1"/>
  <c r="I713" i="1"/>
  <c r="I714" i="1" s="1"/>
  <c r="I711" i="1"/>
  <c r="I712" i="1" s="1"/>
  <c r="I709" i="1"/>
  <c r="I710" i="1" s="1"/>
  <c r="I707" i="1"/>
  <c r="I708" i="1" s="1"/>
  <c r="I705" i="1"/>
  <c r="I706" i="1" s="1"/>
  <c r="I703" i="1"/>
  <c r="I704" i="1" s="1"/>
  <c r="I701" i="1"/>
  <c r="I702" i="1" s="1"/>
  <c r="I699" i="1"/>
  <c r="I700" i="1" s="1"/>
  <c r="I697" i="1"/>
  <c r="I698" i="1" s="1"/>
  <c r="I695" i="1"/>
  <c r="I696" i="1" s="1"/>
  <c r="I693" i="1"/>
  <c r="I694" i="1" s="1"/>
  <c r="I691" i="1"/>
  <c r="I692" i="1" s="1"/>
  <c r="I689" i="1"/>
  <c r="I690" i="1" s="1"/>
  <c r="I687" i="1"/>
  <c r="I688" i="1" s="1"/>
  <c r="I685" i="1"/>
  <c r="I686" i="1" s="1"/>
  <c r="I683" i="1"/>
  <c r="I684" i="1" s="1"/>
  <c r="I681" i="1"/>
  <c r="I682" i="1" s="1"/>
  <c r="I679" i="1"/>
  <c r="I680" i="1" s="1"/>
  <c r="I677" i="1"/>
  <c r="I678" i="1" s="1"/>
  <c r="I675" i="1"/>
  <c r="I676" i="1" s="1"/>
  <c r="I673" i="1"/>
  <c r="I674" i="1" s="1"/>
  <c r="I671" i="1"/>
  <c r="I672" i="1" s="1"/>
  <c r="I669" i="1"/>
  <c r="I670" i="1" s="1"/>
  <c r="I667" i="1"/>
  <c r="I668" i="1" s="1"/>
  <c r="I665" i="1"/>
  <c r="I666" i="1" s="1"/>
  <c r="I663" i="1"/>
  <c r="I664" i="1" s="1"/>
  <c r="I661" i="1"/>
  <c r="I662" i="1" s="1"/>
  <c r="I659" i="1"/>
  <c r="I660" i="1" s="1"/>
  <c r="I657" i="1"/>
  <c r="I658" i="1" s="1"/>
  <c r="I655" i="1"/>
  <c r="I656" i="1" s="1"/>
  <c r="I653" i="1"/>
  <c r="I654" i="1" s="1"/>
  <c r="I651" i="1"/>
  <c r="I652" i="1" s="1"/>
  <c r="I649" i="1"/>
  <c r="I650" i="1" s="1"/>
  <c r="I647" i="1"/>
  <c r="I648" i="1" s="1"/>
  <c r="I645" i="1"/>
  <c r="I646" i="1" s="1"/>
  <c r="I643" i="1"/>
  <c r="I644" i="1" s="1"/>
  <c r="I641" i="1"/>
  <c r="I642" i="1" s="1"/>
  <c r="I639" i="1"/>
  <c r="I640" i="1" s="1"/>
  <c r="I637" i="1"/>
  <c r="I638" i="1" s="1"/>
  <c r="I635" i="1"/>
  <c r="I636" i="1" s="1"/>
  <c r="I633" i="1"/>
  <c r="I634" i="1" s="1"/>
  <c r="I631" i="1"/>
  <c r="I632" i="1" s="1"/>
  <c r="I629" i="1"/>
  <c r="I630" i="1" s="1"/>
  <c r="I627" i="1"/>
  <c r="I628" i="1" s="1"/>
  <c r="I625" i="1"/>
  <c r="I626" i="1" s="1"/>
  <c r="I623" i="1"/>
  <c r="I624" i="1" s="1"/>
  <c r="I621" i="1"/>
  <c r="I622" i="1" s="1"/>
  <c r="I619" i="1"/>
  <c r="I620" i="1" s="1"/>
  <c r="I617" i="1"/>
  <c r="I618" i="1" s="1"/>
  <c r="I615" i="1"/>
  <c r="I616" i="1" s="1"/>
  <c r="I613" i="1"/>
  <c r="I614" i="1" s="1"/>
  <c r="I611" i="1"/>
  <c r="I612" i="1" s="1"/>
  <c r="I609" i="1"/>
  <c r="I610" i="1" s="1"/>
  <c r="I607" i="1"/>
  <c r="I608" i="1" s="1"/>
  <c r="I605" i="1"/>
  <c r="I606" i="1" s="1"/>
  <c r="I603" i="1"/>
  <c r="I604" i="1" s="1"/>
  <c r="I601" i="1"/>
  <c r="I602" i="1" s="1"/>
  <c r="I599" i="1"/>
  <c r="I600" i="1" s="1"/>
  <c r="I597" i="1"/>
  <c r="I598" i="1" s="1"/>
  <c r="I595" i="1"/>
  <c r="I596" i="1" s="1"/>
  <c r="I593" i="1"/>
  <c r="I594" i="1" s="1"/>
  <c r="I591" i="1"/>
  <c r="I592" i="1" s="1"/>
  <c r="I589" i="1"/>
  <c r="I590" i="1" s="1"/>
  <c r="I587" i="1"/>
  <c r="I588" i="1" s="1"/>
  <c r="I585" i="1"/>
  <c r="I586" i="1" s="1"/>
  <c r="I583" i="1"/>
  <c r="I584" i="1" s="1"/>
  <c r="I581" i="1"/>
  <c r="I582" i="1" s="1"/>
  <c r="I579" i="1"/>
  <c r="I580" i="1" s="1"/>
  <c r="I577" i="1"/>
  <c r="I578" i="1" s="1"/>
  <c r="I575" i="1"/>
  <c r="I576" i="1" s="1"/>
  <c r="I573" i="1"/>
  <c r="I574" i="1" s="1"/>
  <c r="I571" i="1"/>
  <c r="I572" i="1" s="1"/>
  <c r="I569" i="1"/>
  <c r="I570" i="1" s="1"/>
  <c r="I567" i="1"/>
  <c r="I568" i="1" s="1"/>
  <c r="I565" i="1"/>
  <c r="I566" i="1" s="1"/>
  <c r="I563" i="1"/>
  <c r="I564" i="1" s="1"/>
  <c r="I561" i="1"/>
  <c r="I562" i="1" s="1"/>
  <c r="I559" i="1"/>
  <c r="I560" i="1" s="1"/>
  <c r="I557" i="1"/>
  <c r="I558" i="1" s="1"/>
  <c r="I555" i="1"/>
  <c r="I556" i="1" s="1"/>
  <c r="I553" i="1"/>
  <c r="I554" i="1" s="1"/>
  <c r="I551" i="1"/>
  <c r="I552" i="1" s="1"/>
  <c r="I549" i="1"/>
  <c r="I550" i="1" s="1"/>
  <c r="I547" i="1"/>
  <c r="I548" i="1" s="1"/>
  <c r="I545" i="1"/>
  <c r="I546" i="1" s="1"/>
  <c r="I543" i="1"/>
  <c r="I544" i="1" s="1"/>
  <c r="I541" i="1"/>
  <c r="I542" i="1" s="1"/>
  <c r="I539" i="1"/>
  <c r="I540" i="1" s="1"/>
  <c r="I537" i="1"/>
  <c r="I538" i="1" s="1"/>
  <c r="I535" i="1"/>
  <c r="I536" i="1" s="1"/>
  <c r="I533" i="1"/>
  <c r="I534" i="1" s="1"/>
  <c r="I531" i="1"/>
  <c r="I532" i="1" s="1"/>
  <c r="I529" i="1"/>
  <c r="I530" i="1" s="1"/>
  <c r="I527" i="1"/>
  <c r="I528" i="1" s="1"/>
  <c r="I525" i="1"/>
  <c r="I526" i="1" s="1"/>
  <c r="I523" i="1"/>
  <c r="I524" i="1" s="1"/>
  <c r="I521" i="1"/>
  <c r="I522" i="1" s="1"/>
  <c r="I519" i="1"/>
  <c r="I520" i="1" s="1"/>
  <c r="I517" i="1"/>
  <c r="I518" i="1" s="1"/>
  <c r="I515" i="1"/>
  <c r="I516" i="1" s="1"/>
  <c r="I513" i="1"/>
  <c r="I514" i="1" s="1"/>
  <c r="I511" i="1"/>
  <c r="I512" i="1" s="1"/>
  <c r="I509" i="1"/>
  <c r="I510" i="1" s="1"/>
  <c r="I507" i="1"/>
  <c r="I508" i="1" s="1"/>
  <c r="I505" i="1"/>
  <c r="I506" i="1" s="1"/>
  <c r="I503" i="1"/>
  <c r="I504" i="1" s="1"/>
  <c r="I501" i="1"/>
  <c r="I502" i="1" s="1"/>
  <c r="I499" i="1"/>
  <c r="I500" i="1" s="1"/>
  <c r="I497" i="1"/>
  <c r="I498" i="1" s="1"/>
  <c r="I495" i="1"/>
  <c r="I496" i="1" s="1"/>
  <c r="I493" i="1"/>
  <c r="I494" i="1" s="1"/>
  <c r="I491" i="1"/>
  <c r="I492" i="1" s="1"/>
  <c r="I489" i="1"/>
  <c r="I490" i="1" s="1"/>
  <c r="I487" i="1"/>
  <c r="I488" i="1" s="1"/>
  <c r="I485" i="1"/>
  <c r="I486" i="1" s="1"/>
  <c r="I483" i="1"/>
  <c r="I484" i="1" s="1"/>
  <c r="I481" i="1"/>
  <c r="I482" i="1" s="1"/>
  <c r="I479" i="1"/>
  <c r="I480" i="1" s="1"/>
  <c r="I477" i="1"/>
  <c r="I478" i="1" s="1"/>
  <c r="I475" i="1"/>
  <c r="I476" i="1" s="1"/>
  <c r="I473" i="1"/>
  <c r="I474" i="1" s="1"/>
  <c r="I471" i="1"/>
  <c r="I472" i="1" s="1"/>
  <c r="I469" i="1"/>
  <c r="I470" i="1" s="1"/>
  <c r="I467" i="1"/>
  <c r="I468" i="1" s="1"/>
  <c r="I465" i="1"/>
  <c r="I466" i="1" s="1"/>
  <c r="I463" i="1"/>
  <c r="I464" i="1" s="1"/>
  <c r="I461" i="1"/>
  <c r="I462" i="1" s="1"/>
  <c r="I459" i="1"/>
  <c r="I460" i="1" s="1"/>
  <c r="I457" i="1"/>
  <c r="I458" i="1" s="1"/>
  <c r="I455" i="1"/>
  <c r="I456" i="1" s="1"/>
  <c r="I453" i="1"/>
  <c r="I454" i="1" s="1"/>
  <c r="I451" i="1"/>
  <c r="I452" i="1" s="1"/>
  <c r="I449" i="1"/>
  <c r="I450" i="1" s="1"/>
  <c r="I447" i="1"/>
  <c r="I448" i="1" s="1"/>
  <c r="I445" i="1"/>
  <c r="I446" i="1" s="1"/>
  <c r="I443" i="1"/>
  <c r="I444" i="1" s="1"/>
  <c r="I441" i="1"/>
  <c r="I442" i="1" s="1"/>
  <c r="I439" i="1"/>
  <c r="I440" i="1" s="1"/>
  <c r="I437" i="1"/>
  <c r="I438" i="1" s="1"/>
  <c r="I435" i="1"/>
  <c r="I436" i="1" s="1"/>
  <c r="I433" i="1"/>
  <c r="I434" i="1" s="1"/>
  <c r="I431" i="1"/>
  <c r="I432" i="1" s="1"/>
  <c r="I429" i="1"/>
  <c r="I430" i="1" s="1"/>
  <c r="I427" i="1"/>
  <c r="I428" i="1" s="1"/>
  <c r="I425" i="1"/>
  <c r="I426" i="1" s="1"/>
  <c r="I423" i="1"/>
  <c r="I424" i="1" s="1"/>
  <c r="I421" i="1"/>
  <c r="I422" i="1" s="1"/>
  <c r="I419" i="1"/>
  <c r="I420" i="1" s="1"/>
  <c r="I417" i="1"/>
  <c r="I418" i="1" s="1"/>
  <c r="I415" i="1"/>
  <c r="I416" i="1" s="1"/>
  <c r="I413" i="1"/>
  <c r="I414" i="1" s="1"/>
  <c r="I411" i="1"/>
  <c r="I412" i="1" s="1"/>
  <c r="I409" i="1"/>
  <c r="I410" i="1" s="1"/>
  <c r="I407" i="1"/>
  <c r="I408" i="1" s="1"/>
  <c r="I405" i="1"/>
  <c r="I406" i="1" s="1"/>
  <c r="I403" i="1"/>
  <c r="I404" i="1" s="1"/>
  <c r="I401" i="1"/>
  <c r="I402" i="1" s="1"/>
  <c r="I399" i="1"/>
  <c r="I400" i="1" s="1"/>
  <c r="I397" i="1"/>
  <c r="I398" i="1" s="1"/>
  <c r="I395" i="1"/>
  <c r="I396" i="1" s="1"/>
  <c r="I393" i="1"/>
  <c r="I394" i="1" s="1"/>
  <c r="I391" i="1"/>
  <c r="I392" i="1" s="1"/>
  <c r="I389" i="1"/>
  <c r="I390" i="1" s="1"/>
  <c r="I387" i="1"/>
  <c r="I388" i="1" s="1"/>
  <c r="I385" i="1"/>
  <c r="I386" i="1" s="1"/>
  <c r="I383" i="1"/>
  <c r="I384" i="1" s="1"/>
  <c r="I381" i="1"/>
  <c r="I382" i="1" s="1"/>
  <c r="I379" i="1"/>
  <c r="I380" i="1" s="1"/>
  <c r="I377" i="1"/>
  <c r="I378" i="1" s="1"/>
  <c r="I375" i="1"/>
  <c r="I376" i="1" s="1"/>
  <c r="I373" i="1"/>
  <c r="I374" i="1" s="1"/>
  <c r="I371" i="1"/>
  <c r="I372" i="1" s="1"/>
  <c r="I369" i="1"/>
  <c r="I370" i="1" s="1"/>
  <c r="I367" i="1"/>
  <c r="I368" i="1" s="1"/>
  <c r="I365" i="1"/>
  <c r="I366" i="1" s="1"/>
  <c r="I363" i="1"/>
  <c r="I364" i="1" s="1"/>
  <c r="I361" i="1"/>
  <c r="I362" i="1" s="1"/>
  <c r="I359" i="1"/>
  <c r="I360" i="1" s="1"/>
  <c r="I357" i="1"/>
  <c r="I358" i="1" s="1"/>
  <c r="I355" i="1"/>
  <c r="I356" i="1" s="1"/>
  <c r="I353" i="1"/>
  <c r="I354" i="1" s="1"/>
  <c r="I351" i="1"/>
  <c r="I352" i="1" s="1"/>
  <c r="I349" i="1"/>
  <c r="I350" i="1" s="1"/>
  <c r="I347" i="1"/>
  <c r="I348" i="1" s="1"/>
  <c r="I345" i="1"/>
  <c r="I346" i="1" s="1"/>
  <c r="I343" i="1"/>
  <c r="I344" i="1" s="1"/>
  <c r="I341" i="1"/>
  <c r="I342" i="1" s="1"/>
  <c r="I339" i="1"/>
  <c r="I340" i="1" s="1"/>
  <c r="I337" i="1"/>
  <c r="I338" i="1" s="1"/>
  <c r="I335" i="1"/>
  <c r="I336" i="1" s="1"/>
  <c r="I333" i="1"/>
  <c r="I334" i="1" s="1"/>
  <c r="I331" i="1"/>
  <c r="I332" i="1" s="1"/>
  <c r="I329" i="1"/>
  <c r="I330" i="1" s="1"/>
  <c r="I327" i="1"/>
  <c r="I328" i="1" s="1"/>
  <c r="I325" i="1"/>
  <c r="I326" i="1" s="1"/>
  <c r="I323" i="1"/>
  <c r="I324" i="1" s="1"/>
  <c r="I321" i="1"/>
  <c r="I322" i="1" s="1"/>
  <c r="I319" i="1"/>
  <c r="I320" i="1" s="1"/>
  <c r="I317" i="1"/>
  <c r="I318" i="1" s="1"/>
  <c r="I315" i="1"/>
  <c r="I316" i="1" s="1"/>
  <c r="I313" i="1"/>
  <c r="I314" i="1" s="1"/>
  <c r="I311" i="1"/>
  <c r="I312" i="1" s="1"/>
  <c r="I309" i="1"/>
  <c r="I310" i="1" s="1"/>
  <c r="I307" i="1"/>
  <c r="I308" i="1" s="1"/>
  <c r="I305" i="1"/>
  <c r="I306" i="1" s="1"/>
  <c r="I303" i="1"/>
  <c r="I304" i="1" s="1"/>
  <c r="I301" i="1"/>
  <c r="I302" i="1" s="1"/>
  <c r="I299" i="1"/>
  <c r="I300" i="1" s="1"/>
  <c r="I297" i="1"/>
  <c r="I298" i="1" s="1"/>
  <c r="I295" i="1"/>
  <c r="I296" i="1" s="1"/>
  <c r="I293" i="1"/>
  <c r="I294" i="1" s="1"/>
  <c r="I291" i="1"/>
  <c r="I292" i="1" s="1"/>
  <c r="I289" i="1"/>
  <c r="I290" i="1" s="1"/>
  <c r="I287" i="1"/>
  <c r="I288" i="1" s="1"/>
  <c r="I285" i="1"/>
  <c r="I286" i="1" s="1"/>
  <c r="I283" i="1"/>
  <c r="I284" i="1" s="1"/>
  <c r="I281" i="1"/>
  <c r="I282" i="1" s="1"/>
  <c r="I279" i="1"/>
  <c r="I280" i="1" s="1"/>
  <c r="I277" i="1"/>
  <c r="I278" i="1" s="1"/>
  <c r="I275" i="1"/>
  <c r="I276" i="1" s="1"/>
  <c r="I273" i="1"/>
  <c r="I274" i="1" s="1"/>
  <c r="I271" i="1"/>
  <c r="I272" i="1" s="1"/>
  <c r="I269" i="1"/>
  <c r="I270" i="1" s="1"/>
  <c r="I267" i="1"/>
  <c r="I268" i="1" s="1"/>
  <c r="I265" i="1"/>
  <c r="I266" i="1" s="1"/>
  <c r="I263" i="1"/>
  <c r="I264" i="1" s="1"/>
  <c r="I261" i="1"/>
  <c r="I262" i="1" s="1"/>
  <c r="I259" i="1"/>
  <c r="I260" i="1" s="1"/>
  <c r="I257" i="1"/>
  <c r="I258" i="1" s="1"/>
  <c r="I255" i="1"/>
  <c r="I256" i="1" s="1"/>
  <c r="I253" i="1"/>
  <c r="I254" i="1" s="1"/>
  <c r="I251" i="1"/>
  <c r="I252" i="1" s="1"/>
  <c r="I249" i="1"/>
  <c r="I250" i="1" s="1"/>
  <c r="I247" i="1"/>
  <c r="I248" i="1" s="1"/>
  <c r="I245" i="1"/>
  <c r="I246" i="1" s="1"/>
  <c r="I243" i="1"/>
  <c r="I244" i="1" s="1"/>
  <c r="I241" i="1"/>
  <c r="I242" i="1" s="1"/>
  <c r="I239" i="1"/>
  <c r="I240" i="1" s="1"/>
  <c r="I237" i="1"/>
  <c r="I238" i="1" s="1"/>
  <c r="I235" i="1"/>
  <c r="I236" i="1" s="1"/>
  <c r="I233" i="1"/>
  <c r="I234" i="1" s="1"/>
  <c r="I231" i="1"/>
  <c r="I232" i="1" s="1"/>
  <c r="I229" i="1"/>
  <c r="I230" i="1" s="1"/>
  <c r="I227" i="1"/>
  <c r="I228" i="1" s="1"/>
  <c r="I225" i="1"/>
  <c r="I226" i="1" s="1"/>
  <c r="I223" i="1"/>
  <c r="I224" i="1" s="1"/>
  <c r="I221" i="1"/>
  <c r="I222" i="1" s="1"/>
  <c r="I219" i="1"/>
  <c r="I220" i="1" s="1"/>
  <c r="I217" i="1"/>
  <c r="I218" i="1" s="1"/>
  <c r="I215" i="1"/>
  <c r="I216" i="1" s="1"/>
  <c r="I213" i="1"/>
  <c r="I214" i="1" s="1"/>
  <c r="I211" i="1"/>
  <c r="I212" i="1" s="1"/>
  <c r="I209" i="1"/>
  <c r="I210" i="1" s="1"/>
  <c r="I207" i="1"/>
  <c r="I208" i="1" s="1"/>
  <c r="I205" i="1"/>
  <c r="I206" i="1" s="1"/>
  <c r="I203" i="1"/>
  <c r="I204" i="1" s="1"/>
  <c r="I201" i="1"/>
  <c r="I202" i="1" s="1"/>
  <c r="I199" i="1"/>
  <c r="I200" i="1" s="1"/>
  <c r="I197" i="1"/>
  <c r="I198" i="1" s="1"/>
  <c r="I195" i="1"/>
  <c r="I196" i="1" s="1"/>
  <c r="I193" i="1"/>
  <c r="I194" i="1" s="1"/>
  <c r="I191" i="1"/>
  <c r="I192" i="1" s="1"/>
  <c r="I189" i="1"/>
  <c r="I190" i="1" s="1"/>
  <c r="I187" i="1"/>
  <c r="I188" i="1" s="1"/>
  <c r="I185" i="1"/>
  <c r="I186" i="1" s="1"/>
  <c r="I183" i="1"/>
  <c r="I184" i="1" s="1"/>
  <c r="I181" i="1"/>
  <c r="I182" i="1" s="1"/>
  <c r="I179" i="1"/>
  <c r="I180" i="1" s="1"/>
  <c r="I177" i="1"/>
  <c r="I178" i="1" s="1"/>
  <c r="I175" i="1"/>
  <c r="I176" i="1" s="1"/>
  <c r="I173" i="1"/>
  <c r="I174" i="1" s="1"/>
  <c r="I171" i="1"/>
  <c r="I172" i="1" s="1"/>
  <c r="I169" i="1"/>
  <c r="I170" i="1" s="1"/>
  <c r="I167" i="1"/>
  <c r="I168" i="1" s="1"/>
  <c r="I165" i="1"/>
  <c r="I166" i="1" s="1"/>
  <c r="I163" i="1"/>
  <c r="I164" i="1" s="1"/>
  <c r="I161" i="1"/>
  <c r="I162" i="1" s="1"/>
  <c r="I159" i="1"/>
  <c r="I160" i="1" s="1"/>
  <c r="I157" i="1"/>
  <c r="I158" i="1" s="1"/>
  <c r="I155" i="1"/>
  <c r="I156" i="1" s="1"/>
  <c r="I153" i="1"/>
  <c r="I154" i="1" s="1"/>
  <c r="I151" i="1"/>
  <c r="I152" i="1" s="1"/>
  <c r="I149" i="1"/>
  <c r="I150" i="1" s="1"/>
  <c r="I147" i="1"/>
  <c r="I148" i="1" s="1"/>
  <c r="I145" i="1"/>
  <c r="I146" i="1" s="1"/>
  <c r="I143" i="1"/>
  <c r="I144" i="1" s="1"/>
  <c r="I141" i="1"/>
  <c r="I142" i="1" s="1"/>
  <c r="I139" i="1"/>
  <c r="I140" i="1" s="1"/>
  <c r="I137" i="1"/>
  <c r="I138" i="1" s="1"/>
  <c r="I135" i="1"/>
  <c r="I136" i="1" s="1"/>
  <c r="I133" i="1"/>
  <c r="I134" i="1" s="1"/>
  <c r="I131" i="1"/>
  <c r="I132" i="1" s="1"/>
  <c r="I129" i="1"/>
  <c r="I130" i="1" s="1"/>
  <c r="I127" i="1"/>
  <c r="I128" i="1" s="1"/>
  <c r="I125" i="1"/>
  <c r="I126" i="1" s="1"/>
  <c r="I123" i="1"/>
  <c r="I124" i="1" s="1"/>
  <c r="I121" i="1"/>
  <c r="I122" i="1" s="1"/>
  <c r="I119" i="1"/>
  <c r="I120" i="1" s="1"/>
  <c r="I117" i="1"/>
  <c r="I118" i="1" s="1"/>
  <c r="I115" i="1"/>
  <c r="I116" i="1" s="1"/>
  <c r="I113" i="1"/>
  <c r="I114" i="1" s="1"/>
  <c r="I111" i="1"/>
  <c r="I112" i="1" s="1"/>
  <c r="I109" i="1"/>
  <c r="I110" i="1" s="1"/>
  <c r="I107" i="1"/>
  <c r="I108" i="1" s="1"/>
  <c r="I105" i="1"/>
  <c r="I106" i="1" s="1"/>
  <c r="I103" i="1"/>
  <c r="I104" i="1" s="1"/>
  <c r="I101" i="1"/>
  <c r="I102" i="1" s="1"/>
  <c r="I99" i="1"/>
  <c r="I100" i="1" s="1"/>
  <c r="I97" i="1"/>
  <c r="I98" i="1" s="1"/>
  <c r="I95" i="1"/>
  <c r="I96" i="1" s="1"/>
  <c r="I93" i="1"/>
  <c r="I94" i="1" s="1"/>
  <c r="I91" i="1"/>
  <c r="I92" i="1" s="1"/>
  <c r="I89" i="1"/>
  <c r="I90" i="1" s="1"/>
  <c r="I87" i="1"/>
  <c r="I88" i="1" s="1"/>
  <c r="I85" i="1"/>
  <c r="I86" i="1" s="1"/>
  <c r="I83" i="1"/>
  <c r="I84" i="1" s="1"/>
  <c r="I81" i="1"/>
  <c r="I82" i="1" s="1"/>
  <c r="I79" i="1"/>
  <c r="I80" i="1" s="1"/>
  <c r="I77" i="1"/>
  <c r="I78" i="1" s="1"/>
  <c r="I75" i="1"/>
  <c r="I76" i="1" s="1"/>
  <c r="I73" i="1"/>
  <c r="I74" i="1" s="1"/>
  <c r="I71" i="1"/>
  <c r="I72" i="1" s="1"/>
  <c r="I69" i="1"/>
  <c r="I70" i="1" s="1"/>
  <c r="I67" i="1"/>
  <c r="I68" i="1" s="1"/>
  <c r="I65" i="1"/>
  <c r="I66" i="1" s="1"/>
  <c r="I63" i="1"/>
  <c r="I64" i="1" s="1"/>
  <c r="I61" i="1"/>
  <c r="I62" i="1" s="1"/>
  <c r="I59" i="1"/>
  <c r="I60" i="1" s="1"/>
  <c r="I57" i="1"/>
  <c r="I58" i="1" s="1"/>
  <c r="I55" i="1"/>
  <c r="I56" i="1" s="1"/>
  <c r="I53" i="1"/>
  <c r="I54" i="1" s="1"/>
  <c r="I51" i="1"/>
  <c r="I52" i="1" s="1"/>
  <c r="I49" i="1"/>
  <c r="I50" i="1" s="1"/>
  <c r="I47" i="1"/>
  <c r="I48" i="1" s="1"/>
  <c r="I45" i="1"/>
  <c r="I46" i="1" s="1"/>
  <c r="I43" i="1"/>
  <c r="I44" i="1" s="1"/>
  <c r="I41" i="1"/>
  <c r="I42" i="1" s="1"/>
  <c r="I39" i="1"/>
  <c r="I40" i="1" s="1"/>
  <c r="I37" i="1"/>
  <c r="I38" i="1" s="1"/>
  <c r="I35" i="1"/>
  <c r="I36" i="1" s="1"/>
  <c r="I33" i="1"/>
  <c r="I34" i="1" s="1"/>
  <c r="I31" i="1"/>
  <c r="I32" i="1" s="1"/>
  <c r="I29" i="1"/>
  <c r="I30" i="1" s="1"/>
  <c r="I27" i="1"/>
  <c r="I28" i="1" s="1"/>
  <c r="I25" i="1"/>
  <c r="I26" i="1" s="1"/>
  <c r="I23" i="1"/>
  <c r="I24" i="1" s="1"/>
  <c r="I21" i="1"/>
  <c r="I22" i="1" s="1"/>
  <c r="I19" i="1"/>
  <c r="I20" i="1" s="1"/>
  <c r="I17" i="1"/>
  <c r="I18" i="1" s="1"/>
  <c r="I15" i="1"/>
  <c r="I16" i="1" s="1"/>
  <c r="I13" i="1"/>
  <c r="I14" i="1" s="1"/>
  <c r="I11" i="1"/>
  <c r="I12" i="1" s="1"/>
  <c r="I9" i="1"/>
  <c r="I10" i="1" s="1"/>
  <c r="I7" i="1"/>
  <c r="I8" i="1" s="1"/>
  <c r="I5" i="1"/>
  <c r="I6" i="1" s="1"/>
  <c r="H941" i="1"/>
  <c r="H939" i="1"/>
  <c r="H937" i="1"/>
  <c r="H935" i="1"/>
  <c r="H933" i="1"/>
  <c r="H931" i="1"/>
  <c r="H929" i="1"/>
  <c r="H927" i="1"/>
  <c r="H925" i="1"/>
  <c r="H923" i="1"/>
  <c r="H921" i="1"/>
  <c r="H919" i="1"/>
  <c r="H917" i="1"/>
  <c r="H915" i="1"/>
  <c r="H913" i="1"/>
  <c r="H911" i="1"/>
  <c r="H909" i="1"/>
  <c r="H907" i="1"/>
  <c r="H905" i="1"/>
  <c r="H903" i="1"/>
  <c r="H901" i="1"/>
  <c r="H899" i="1"/>
  <c r="H897" i="1"/>
  <c r="H895" i="1"/>
  <c r="H893" i="1"/>
  <c r="H891" i="1"/>
  <c r="H889" i="1"/>
  <c r="H887" i="1"/>
  <c r="H885" i="1"/>
  <c r="H883" i="1"/>
  <c r="H881" i="1"/>
  <c r="H879" i="1"/>
  <c r="H877" i="1"/>
  <c r="H875" i="1"/>
  <c r="H873" i="1"/>
  <c r="H871" i="1"/>
  <c r="H869" i="1"/>
  <c r="H867" i="1"/>
  <c r="H865" i="1"/>
  <c r="H863" i="1"/>
  <c r="H861" i="1"/>
  <c r="H859" i="1"/>
  <c r="H857" i="1"/>
  <c r="H855" i="1"/>
  <c r="H853" i="1"/>
  <c r="H851" i="1"/>
  <c r="H849" i="1"/>
  <c r="H847" i="1"/>
  <c r="H845" i="1"/>
  <c r="H843" i="1"/>
  <c r="H841" i="1"/>
  <c r="H839" i="1"/>
  <c r="H837" i="1"/>
  <c r="H835" i="1"/>
  <c r="H833" i="1"/>
  <c r="H831" i="1"/>
  <c r="H829" i="1"/>
  <c r="H827" i="1"/>
  <c r="H825" i="1"/>
  <c r="H823" i="1"/>
  <c r="H821" i="1"/>
  <c r="H819" i="1"/>
  <c r="H817" i="1"/>
  <c r="H815" i="1"/>
  <c r="H813" i="1"/>
  <c r="H811" i="1"/>
  <c r="H809" i="1"/>
  <c r="H807" i="1"/>
  <c r="H805" i="1"/>
  <c r="H803" i="1"/>
  <c r="H801" i="1"/>
  <c r="H799" i="1"/>
  <c r="H797" i="1"/>
  <c r="H795" i="1"/>
  <c r="H793" i="1"/>
  <c r="H791" i="1"/>
  <c r="H789" i="1"/>
  <c r="H787" i="1"/>
  <c r="H785" i="1"/>
  <c r="H783" i="1"/>
  <c r="H781" i="1"/>
  <c r="H779" i="1"/>
  <c r="H777" i="1"/>
  <c r="H775" i="1"/>
  <c r="H773" i="1"/>
  <c r="H771" i="1"/>
  <c r="H769" i="1"/>
  <c r="H767" i="1"/>
  <c r="H765" i="1"/>
  <c r="H763" i="1"/>
  <c r="H761" i="1"/>
  <c r="H759" i="1"/>
  <c r="H757" i="1"/>
  <c r="H755" i="1"/>
  <c r="H753" i="1"/>
  <c r="H751" i="1"/>
  <c r="H749" i="1"/>
  <c r="H747" i="1"/>
  <c r="H745" i="1"/>
  <c r="H743" i="1"/>
  <c r="H741" i="1"/>
  <c r="H739" i="1"/>
  <c r="H737" i="1"/>
  <c r="H735" i="1"/>
  <c r="H733" i="1"/>
  <c r="H731" i="1"/>
  <c r="H729" i="1"/>
  <c r="H727" i="1"/>
  <c r="H725" i="1"/>
  <c r="H723" i="1"/>
  <c r="H721" i="1"/>
  <c r="H719" i="1"/>
  <c r="H717" i="1"/>
  <c r="H715" i="1"/>
  <c r="H713" i="1"/>
  <c r="H711" i="1"/>
  <c r="H709" i="1"/>
  <c r="H707" i="1"/>
  <c r="H705" i="1"/>
  <c r="H703" i="1"/>
  <c r="H701" i="1"/>
  <c r="H699" i="1"/>
  <c r="H697" i="1"/>
  <c r="H695" i="1"/>
  <c r="H693" i="1"/>
  <c r="H691" i="1"/>
  <c r="H689" i="1"/>
  <c r="H687" i="1"/>
  <c r="H685" i="1"/>
  <c r="H683" i="1"/>
  <c r="H681" i="1"/>
  <c r="H679" i="1"/>
  <c r="H677" i="1"/>
  <c r="H675" i="1"/>
  <c r="H673" i="1"/>
  <c r="H671" i="1"/>
  <c r="H669" i="1"/>
  <c r="H667" i="1"/>
  <c r="H665" i="1"/>
  <c r="H663" i="1"/>
  <c r="H661" i="1"/>
  <c r="H659" i="1"/>
  <c r="H657" i="1"/>
  <c r="H655" i="1"/>
  <c r="H653" i="1"/>
  <c r="H651" i="1"/>
  <c r="H649" i="1"/>
  <c r="H647" i="1"/>
  <c r="H645" i="1"/>
  <c r="H643" i="1"/>
  <c r="H641" i="1"/>
  <c r="H639" i="1"/>
  <c r="H637" i="1"/>
  <c r="H635" i="1"/>
  <c r="H633" i="1"/>
  <c r="H631" i="1"/>
  <c r="H629" i="1"/>
  <c r="H627" i="1"/>
  <c r="H625" i="1"/>
  <c r="H623" i="1"/>
  <c r="H621" i="1"/>
  <c r="H619" i="1"/>
  <c r="H617" i="1"/>
  <c r="H615" i="1"/>
  <c r="H613" i="1"/>
  <c r="H611" i="1"/>
  <c r="H609" i="1"/>
  <c r="H607" i="1"/>
  <c r="H605" i="1"/>
  <c r="H603" i="1"/>
  <c r="H601" i="1"/>
  <c r="H599" i="1"/>
  <c r="H597" i="1"/>
  <c r="H595" i="1"/>
  <c r="H593" i="1"/>
  <c r="H591" i="1"/>
  <c r="H589" i="1"/>
  <c r="H587" i="1"/>
  <c r="H585" i="1"/>
  <c r="H583" i="1"/>
  <c r="H581" i="1"/>
  <c r="H579" i="1"/>
  <c r="H577" i="1"/>
  <c r="H575" i="1"/>
  <c r="H573" i="1"/>
  <c r="H571" i="1"/>
  <c r="H569" i="1"/>
  <c r="H567" i="1"/>
  <c r="H565" i="1"/>
  <c r="H563" i="1"/>
  <c r="H561" i="1"/>
  <c r="H559" i="1"/>
  <c r="H557" i="1"/>
  <c r="H555" i="1"/>
  <c r="H553" i="1"/>
  <c r="H551" i="1"/>
  <c r="H549" i="1"/>
  <c r="H547" i="1"/>
  <c r="H545" i="1"/>
  <c r="H543" i="1"/>
  <c r="H541" i="1"/>
  <c r="H539" i="1"/>
  <c r="H537" i="1"/>
  <c r="H535" i="1"/>
  <c r="H533" i="1"/>
  <c r="H531" i="1"/>
  <c r="H529" i="1"/>
  <c r="H527" i="1"/>
  <c r="H525" i="1"/>
  <c r="H523" i="1"/>
  <c r="H521" i="1"/>
  <c r="H519" i="1"/>
  <c r="H517" i="1"/>
  <c r="H515" i="1"/>
  <c r="H513" i="1"/>
  <c r="H511" i="1"/>
  <c r="H509" i="1"/>
  <c r="H507" i="1"/>
  <c r="H505" i="1"/>
  <c r="H503" i="1"/>
  <c r="H501" i="1"/>
  <c r="H499" i="1"/>
  <c r="H497" i="1"/>
  <c r="H495" i="1"/>
  <c r="H493" i="1"/>
  <c r="H491" i="1"/>
  <c r="H489" i="1"/>
  <c r="H487" i="1"/>
  <c r="H485" i="1"/>
  <c r="H483" i="1"/>
  <c r="H481" i="1"/>
  <c r="H479" i="1"/>
  <c r="H477" i="1"/>
  <c r="H475" i="1"/>
  <c r="H473" i="1"/>
  <c r="H471" i="1"/>
  <c r="H469" i="1"/>
  <c r="H467" i="1"/>
  <c r="H465" i="1"/>
  <c r="H463" i="1"/>
  <c r="H461" i="1"/>
  <c r="H459" i="1"/>
  <c r="H457" i="1"/>
  <c r="H455" i="1"/>
  <c r="H453" i="1"/>
  <c r="H451" i="1"/>
  <c r="H449" i="1"/>
  <c r="H447" i="1"/>
  <c r="H445" i="1"/>
  <c r="H443" i="1"/>
  <c r="H441" i="1"/>
  <c r="H439" i="1"/>
  <c r="H437" i="1"/>
  <c r="H435" i="1"/>
  <c r="H433" i="1"/>
  <c r="H431" i="1"/>
  <c r="H429" i="1"/>
  <c r="H427" i="1"/>
  <c r="H425" i="1"/>
  <c r="H423" i="1"/>
  <c r="H421" i="1"/>
  <c r="H419" i="1"/>
  <c r="H417" i="1"/>
  <c r="H415" i="1"/>
  <c r="H413" i="1"/>
  <c r="H411" i="1"/>
  <c r="H409" i="1"/>
  <c r="H407" i="1"/>
  <c r="H405" i="1"/>
  <c r="H403" i="1"/>
  <c r="H401" i="1"/>
  <c r="H399" i="1"/>
  <c r="H397" i="1"/>
  <c r="H395" i="1"/>
  <c r="H393" i="1"/>
  <c r="H391" i="1"/>
  <c r="H389" i="1"/>
  <c r="H387" i="1"/>
  <c r="H385" i="1"/>
  <c r="H383" i="1"/>
  <c r="H381" i="1"/>
  <c r="H379" i="1"/>
  <c r="H377" i="1"/>
  <c r="H375" i="1"/>
  <c r="H373" i="1"/>
  <c r="H371" i="1"/>
  <c r="H369" i="1"/>
  <c r="H367" i="1"/>
  <c r="H365" i="1"/>
  <c r="H363" i="1"/>
  <c r="H361" i="1"/>
  <c r="H359" i="1"/>
  <c r="H357" i="1"/>
  <c r="H355" i="1"/>
  <c r="H353" i="1"/>
  <c r="H351" i="1"/>
  <c r="H349" i="1"/>
  <c r="H347" i="1"/>
  <c r="H345" i="1"/>
  <c r="H343" i="1"/>
  <c r="H341" i="1"/>
  <c r="H339" i="1"/>
  <c r="H337" i="1"/>
  <c r="H335" i="1"/>
  <c r="H333" i="1"/>
  <c r="H331" i="1"/>
  <c r="H329" i="1"/>
  <c r="H327" i="1"/>
  <c r="H325" i="1"/>
  <c r="H323" i="1"/>
  <c r="H321" i="1"/>
  <c r="H319" i="1"/>
  <c r="H317" i="1"/>
  <c r="H315" i="1"/>
  <c r="H313" i="1"/>
  <c r="H311" i="1"/>
  <c r="H309" i="1"/>
  <c r="H307" i="1"/>
  <c r="H305" i="1"/>
  <c r="H303" i="1"/>
  <c r="H301" i="1"/>
  <c r="H299" i="1"/>
  <c r="H297" i="1"/>
  <c r="H295" i="1"/>
  <c r="H293" i="1"/>
  <c r="H291" i="1"/>
  <c r="H289" i="1"/>
  <c r="H287" i="1"/>
  <c r="H285" i="1"/>
  <c r="H283" i="1"/>
  <c r="H281" i="1"/>
  <c r="H279" i="1"/>
  <c r="H277" i="1"/>
  <c r="H275" i="1"/>
  <c r="H273" i="1"/>
  <c r="H271" i="1"/>
  <c r="H269" i="1"/>
  <c r="H267" i="1"/>
  <c r="H265" i="1"/>
  <c r="H263" i="1"/>
  <c r="H261" i="1"/>
  <c r="H259" i="1"/>
  <c r="H257" i="1"/>
  <c r="H255" i="1"/>
  <c r="H253" i="1"/>
  <c r="H251" i="1"/>
  <c r="H249" i="1"/>
  <c r="H247" i="1"/>
  <c r="H245" i="1"/>
  <c r="H243" i="1"/>
  <c r="H241" i="1"/>
  <c r="H239" i="1"/>
  <c r="H237" i="1"/>
  <c r="H235" i="1"/>
  <c r="H233" i="1"/>
  <c r="H231" i="1"/>
  <c r="H229" i="1"/>
  <c r="H227" i="1"/>
  <c r="H225" i="1"/>
  <c r="H223" i="1"/>
  <c r="H221" i="1"/>
  <c r="H219" i="1"/>
  <c r="H217" i="1"/>
  <c r="H215" i="1"/>
  <c r="H213" i="1"/>
  <c r="H211" i="1"/>
  <c r="H209" i="1"/>
  <c r="H207" i="1"/>
  <c r="H205" i="1"/>
  <c r="H203" i="1"/>
  <c r="H201" i="1"/>
  <c r="H199" i="1"/>
  <c r="H197" i="1"/>
  <c r="H195" i="1"/>
  <c r="H193" i="1"/>
  <c r="H191" i="1"/>
  <c r="H189" i="1"/>
  <c r="H187" i="1"/>
  <c r="H185" i="1"/>
  <c r="H183" i="1"/>
  <c r="H181" i="1"/>
  <c r="H179" i="1"/>
  <c r="H177" i="1"/>
  <c r="H175" i="1"/>
  <c r="H173" i="1"/>
  <c r="H171" i="1"/>
  <c r="H169" i="1"/>
  <c r="H167" i="1"/>
  <c r="H165" i="1"/>
  <c r="H163" i="1"/>
  <c r="H161" i="1"/>
  <c r="H159" i="1"/>
  <c r="H157" i="1"/>
  <c r="H155" i="1"/>
  <c r="H153" i="1"/>
  <c r="H151" i="1"/>
  <c r="H149" i="1"/>
  <c r="H147" i="1"/>
  <c r="H145" i="1"/>
  <c r="H143" i="1"/>
  <c r="H141" i="1"/>
  <c r="H139" i="1"/>
  <c r="H137" i="1"/>
  <c r="H135" i="1"/>
  <c r="H133" i="1"/>
  <c r="H131" i="1"/>
  <c r="H129" i="1"/>
  <c r="H127" i="1"/>
  <c r="H125" i="1"/>
  <c r="H123" i="1"/>
  <c r="H121" i="1"/>
  <c r="H119" i="1"/>
  <c r="H117" i="1"/>
  <c r="H115" i="1"/>
  <c r="H113" i="1"/>
  <c r="H111" i="1"/>
  <c r="H109" i="1"/>
  <c r="H107" i="1"/>
  <c r="H105" i="1"/>
  <c r="H103" i="1"/>
  <c r="H101" i="1"/>
  <c r="H99" i="1"/>
  <c r="H97" i="1"/>
  <c r="H95" i="1"/>
  <c r="H93" i="1"/>
  <c r="H91" i="1"/>
  <c r="H89" i="1"/>
  <c r="H87" i="1"/>
  <c r="H85" i="1"/>
  <c r="H83" i="1"/>
  <c r="H81" i="1"/>
  <c r="H79" i="1"/>
  <c r="H77" i="1"/>
  <c r="H75" i="1"/>
  <c r="H73" i="1"/>
  <c r="H71" i="1"/>
  <c r="H69" i="1"/>
  <c r="H67" i="1"/>
  <c r="H65" i="1"/>
  <c r="H63" i="1"/>
  <c r="H61" i="1"/>
  <c r="H59" i="1"/>
  <c r="H57" i="1"/>
  <c r="H55" i="1"/>
  <c r="H53" i="1"/>
  <c r="H51" i="1"/>
  <c r="H49" i="1"/>
  <c r="H47" i="1"/>
  <c r="H45" i="1"/>
  <c r="H43" i="1"/>
  <c r="H41" i="1"/>
  <c r="H39" i="1"/>
  <c r="H37" i="1"/>
  <c r="H35" i="1"/>
  <c r="H33" i="1"/>
  <c r="H31" i="1"/>
  <c r="H29" i="1"/>
  <c r="H27" i="1"/>
  <c r="H25" i="1"/>
  <c r="H23" i="1"/>
  <c r="H21" i="1"/>
  <c r="H19" i="1"/>
  <c r="H17" i="1"/>
  <c r="H15" i="1"/>
  <c r="H13" i="1"/>
  <c r="H11" i="1"/>
  <c r="H9" i="1"/>
  <c r="H7" i="1"/>
  <c r="I300" i="11"/>
  <c r="I299" i="11"/>
  <c r="I298" i="11"/>
  <c r="I297" i="11"/>
  <c r="I296" i="11"/>
  <c r="I295" i="11"/>
  <c r="I294" i="11"/>
  <c r="I293" i="11"/>
  <c r="I292" i="11"/>
  <c r="I291" i="11"/>
  <c r="I290" i="11"/>
  <c r="I289" i="11"/>
  <c r="I288" i="11"/>
  <c r="I287" i="11"/>
  <c r="I286" i="11"/>
  <c r="I285" i="11"/>
  <c r="I284" i="11"/>
  <c r="I283" i="11"/>
  <c r="I282" i="11"/>
  <c r="I281" i="11"/>
  <c r="I280" i="11"/>
  <c r="I279" i="11"/>
  <c r="I278" i="11"/>
  <c r="I277" i="11"/>
  <c r="I276" i="11"/>
  <c r="I275" i="11"/>
  <c r="I274" i="11"/>
  <c r="I273" i="11"/>
  <c r="I272" i="11"/>
  <c r="I271" i="11"/>
  <c r="I270" i="11"/>
  <c r="I269" i="11"/>
  <c r="I268" i="11"/>
  <c r="I267" i="11"/>
  <c r="I266" i="11"/>
  <c r="I265" i="11"/>
  <c r="I264" i="11"/>
  <c r="I263" i="11"/>
  <c r="I262" i="11"/>
  <c r="I261" i="11"/>
  <c r="I260" i="11"/>
  <c r="I259" i="11"/>
  <c r="I258" i="11"/>
  <c r="I257" i="11"/>
  <c r="I256" i="11"/>
  <c r="I255" i="11"/>
  <c r="I254" i="11"/>
  <c r="I253" i="11"/>
  <c r="I252" i="11"/>
  <c r="I251" i="11"/>
  <c r="I250" i="11"/>
  <c r="I249" i="11"/>
  <c r="I248" i="11"/>
  <c r="I247" i="11"/>
  <c r="I246" i="11"/>
  <c r="I245" i="11"/>
  <c r="I244" i="11"/>
  <c r="I243" i="11"/>
  <c r="I242" i="11"/>
  <c r="I241" i="11"/>
  <c r="I240" i="11"/>
  <c r="I239" i="11"/>
  <c r="I238" i="11"/>
  <c r="I237" i="11"/>
  <c r="I236" i="11"/>
  <c r="I235" i="11"/>
  <c r="I234" i="11"/>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K893" i="1" s="1"/>
  <c r="K894" i="1" s="1"/>
  <c r="E63" i="4"/>
  <c r="K883" i="1" s="1"/>
  <c r="K884" i="1" s="1"/>
  <c r="E62" i="4"/>
  <c r="K827" i="1" s="1"/>
  <c r="K828" i="1" s="1"/>
  <c r="E61" i="4"/>
  <c r="K777" i="1" s="1"/>
  <c r="K778" i="1" s="1"/>
  <c r="E60" i="4"/>
  <c r="K591" i="1" s="1"/>
  <c r="K592" i="1" s="1"/>
  <c r="E59" i="4"/>
  <c r="K539" i="1" s="1"/>
  <c r="K540" i="1" s="1"/>
  <c r="E58" i="4"/>
  <c r="K767" i="1" s="1"/>
  <c r="K768" i="1" s="1"/>
  <c r="E57" i="4"/>
  <c r="K723" i="1" s="1"/>
  <c r="K724" i="1" s="1"/>
  <c r="E56" i="4"/>
  <c r="K559" i="1" s="1"/>
  <c r="K560" i="1" s="1"/>
  <c r="E55" i="4"/>
  <c r="K733" i="1" s="1"/>
  <c r="K734" i="1" s="1"/>
  <c r="E54" i="4"/>
  <c r="K729" i="1" s="1"/>
  <c r="K730" i="1" s="1"/>
  <c r="E53" i="4"/>
  <c r="K703" i="1" s="1"/>
  <c r="K704" i="1" s="1"/>
  <c r="E52" i="4"/>
  <c r="K693" i="1" s="1"/>
  <c r="K694" i="1" s="1"/>
  <c r="E51" i="4"/>
  <c r="K663" i="1" s="1"/>
  <c r="K664" i="1" s="1"/>
  <c r="E50" i="4"/>
  <c r="K661" i="1" s="1"/>
  <c r="K662" i="1" s="1"/>
  <c r="E49" i="4"/>
  <c r="K649" i="1" s="1"/>
  <c r="K650" i="1" s="1"/>
  <c r="E48" i="4"/>
  <c r="K643" i="1" s="1"/>
  <c r="K644" i="1" s="1"/>
  <c r="E47" i="4"/>
  <c r="K613" i="1" s="1"/>
  <c r="K614" i="1" s="1"/>
  <c r="E46" i="4"/>
  <c r="K607" i="1" s="1"/>
  <c r="K608" i="1" s="1"/>
  <c r="E45" i="4"/>
  <c r="K463" i="1" s="1"/>
  <c r="K464" i="1" s="1"/>
  <c r="E44" i="4"/>
  <c r="K569" i="1" s="1"/>
  <c r="K570" i="1" s="1"/>
  <c r="E43" i="4"/>
  <c r="K583" i="1" s="1"/>
  <c r="K584" i="1" s="1"/>
  <c r="E42" i="4"/>
  <c r="K577" i="1" s="1"/>
  <c r="K578" i="1" s="1"/>
  <c r="E41" i="4"/>
  <c r="K537" i="1" s="1"/>
  <c r="K538" i="1" s="1"/>
  <c r="E40" i="4"/>
  <c r="K571" i="1" s="1"/>
  <c r="K572" i="1" s="1"/>
  <c r="E39" i="4"/>
  <c r="K563" i="1" s="1"/>
  <c r="K564" i="1" s="1"/>
  <c r="E38" i="4"/>
  <c r="K561" i="1" s="1"/>
  <c r="K562" i="1" s="1"/>
  <c r="E37" i="4"/>
  <c r="K743" i="1" s="1"/>
  <c r="K744" i="1" s="1"/>
  <c r="E36" i="4"/>
  <c r="K555" i="1" s="1"/>
  <c r="K556" i="1" s="1"/>
  <c r="E35" i="4"/>
  <c r="K549" i="1" s="1"/>
  <c r="K550" i="1" s="1"/>
  <c r="E34" i="4"/>
  <c r="K543" i="1" s="1"/>
  <c r="K544" i="1" s="1"/>
  <c r="E33" i="4"/>
  <c r="K527" i="1" s="1"/>
  <c r="K528" i="1" s="1"/>
  <c r="E32" i="4"/>
  <c r="K525" i="1" s="1"/>
  <c r="K526" i="1" s="1"/>
  <c r="E31" i="4"/>
  <c r="K523" i="1" s="1"/>
  <c r="K524" i="1" s="1"/>
  <c r="E30" i="4"/>
  <c r="K519" i="1" s="1"/>
  <c r="K520" i="1" s="1"/>
  <c r="E29" i="4"/>
  <c r="K461" i="1" s="1"/>
  <c r="K462" i="1" s="1"/>
  <c r="E28" i="4"/>
  <c r="K533" i="1" s="1"/>
  <c r="K534" i="1" s="1"/>
  <c r="E27" i="4"/>
  <c r="K487" i="1" s="1"/>
  <c r="K488" i="1" s="1"/>
  <c r="E26" i="4"/>
  <c r="K459" i="1" s="1"/>
  <c r="K460" i="1" s="1"/>
  <c r="E25" i="4"/>
  <c r="K163" i="1" s="1"/>
  <c r="K164" i="1" s="1"/>
  <c r="E24" i="4"/>
  <c r="K421" i="1" s="1"/>
  <c r="K422" i="1" s="1"/>
  <c r="E23" i="4"/>
  <c r="K529" i="1" s="1"/>
  <c r="K530" i="1" s="1"/>
  <c r="E22" i="4"/>
  <c r="K215" i="1" s="1"/>
  <c r="K216" i="1" s="1"/>
  <c r="E21" i="4"/>
  <c r="K453" i="1" s="1"/>
  <c r="K454" i="1" s="1"/>
  <c r="E20" i="4"/>
  <c r="K451" i="1" s="1"/>
  <c r="K452" i="1" s="1"/>
  <c r="E19" i="4"/>
  <c r="K449" i="1" s="1"/>
  <c r="K450" i="1" s="1"/>
  <c r="E18" i="4"/>
  <c r="K441" i="1" s="1"/>
  <c r="K442" i="1" s="1"/>
  <c r="E17" i="4"/>
  <c r="K439" i="1" s="1"/>
  <c r="K440" i="1" s="1"/>
  <c r="E16" i="4"/>
  <c r="K435" i="1" s="1"/>
  <c r="K436" i="1" s="1"/>
  <c r="E15" i="4"/>
  <c r="K427" i="1" s="1"/>
  <c r="K428" i="1" s="1"/>
  <c r="E14" i="4"/>
  <c r="K425" i="1" s="1"/>
  <c r="K426" i="1" s="1"/>
  <c r="E13" i="4"/>
  <c r="K423" i="1" s="1"/>
  <c r="K424" i="1" s="1"/>
  <c r="E12" i="4"/>
  <c r="K431" i="1" s="1"/>
  <c r="K432" i="1" s="1"/>
  <c r="E11" i="4"/>
  <c r="K429" i="1" s="1"/>
  <c r="K430" i="1" s="1"/>
  <c r="E10" i="4"/>
  <c r="K419" i="1" s="1"/>
  <c r="K420" i="1" s="1"/>
  <c r="E9" i="4"/>
  <c r="K383" i="1" s="1"/>
  <c r="K384" i="1" s="1"/>
  <c r="E8" i="4"/>
  <c r="K213" i="1" s="1"/>
  <c r="K214" i="1" s="1"/>
  <c r="E7" i="4"/>
  <c r="K203" i="1" s="1"/>
  <c r="K204" i="1" s="1"/>
  <c r="E6" i="4"/>
  <c r="K157" i="1" s="1"/>
  <c r="K158" i="1" s="1"/>
  <c r="E5" i="4"/>
  <c r="K155" i="1" s="1"/>
  <c r="K156" i="1" s="1"/>
  <c r="E4" i="4"/>
  <c r="K161" i="1" s="1"/>
  <c r="K162" i="1" s="1"/>
  <c r="E3" i="4"/>
  <c r="K159" i="1" s="1"/>
  <c r="K160" i="1" s="1"/>
  <c r="E2" i="4"/>
  <c r="K919" i="1" s="1"/>
  <c r="K920" i="1" s="1"/>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G946" i="1"/>
  <c r="C13" i="13" s="1"/>
  <c r="W945" i="1"/>
  <c r="G945" i="1"/>
  <c r="U941" i="1"/>
  <c r="U939" i="1"/>
  <c r="U937" i="1"/>
  <c r="U935" i="1"/>
  <c r="U933" i="1"/>
  <c r="U931" i="1"/>
  <c r="U929" i="1"/>
  <c r="U927" i="1"/>
  <c r="U925" i="1"/>
  <c r="U923" i="1"/>
  <c r="U921" i="1"/>
  <c r="U919" i="1"/>
  <c r="U917" i="1"/>
  <c r="U915" i="1"/>
  <c r="U913" i="1"/>
  <c r="U911" i="1"/>
  <c r="U909" i="1"/>
  <c r="U907" i="1"/>
  <c r="U905" i="1"/>
  <c r="U903" i="1"/>
  <c r="U901" i="1"/>
  <c r="U899" i="1"/>
  <c r="U897" i="1"/>
  <c r="U895" i="1"/>
  <c r="U893" i="1"/>
  <c r="U891" i="1"/>
  <c r="U889" i="1"/>
  <c r="U887" i="1"/>
  <c r="U885" i="1"/>
  <c r="U883" i="1"/>
  <c r="U881" i="1"/>
  <c r="U879" i="1"/>
  <c r="U877" i="1"/>
  <c r="U875" i="1"/>
  <c r="U873" i="1"/>
  <c r="U871" i="1"/>
  <c r="U869" i="1"/>
  <c r="U867" i="1"/>
  <c r="U865" i="1"/>
  <c r="U863" i="1"/>
  <c r="U861" i="1"/>
  <c r="U859" i="1"/>
  <c r="U857" i="1"/>
  <c r="U855" i="1"/>
  <c r="U853" i="1"/>
  <c r="U851" i="1"/>
  <c r="U849" i="1"/>
  <c r="U847" i="1"/>
  <c r="U845" i="1"/>
  <c r="U843" i="1"/>
  <c r="U841" i="1"/>
  <c r="U839" i="1"/>
  <c r="U837" i="1"/>
  <c r="U835" i="1"/>
  <c r="U833" i="1"/>
  <c r="U831" i="1"/>
  <c r="U829" i="1"/>
  <c r="U827" i="1"/>
  <c r="U825" i="1"/>
  <c r="U823" i="1"/>
  <c r="U821" i="1"/>
  <c r="U819" i="1"/>
  <c r="U817" i="1"/>
  <c r="U815" i="1"/>
  <c r="U813" i="1"/>
  <c r="U811" i="1"/>
  <c r="U809" i="1"/>
  <c r="U807" i="1"/>
  <c r="U805" i="1"/>
  <c r="U803" i="1"/>
  <c r="U801" i="1"/>
  <c r="U799" i="1"/>
  <c r="U797" i="1"/>
  <c r="U795" i="1"/>
  <c r="U793" i="1"/>
  <c r="U791" i="1"/>
  <c r="U789" i="1"/>
  <c r="U787" i="1"/>
  <c r="U785" i="1"/>
  <c r="U783" i="1"/>
  <c r="U781" i="1"/>
  <c r="U779" i="1"/>
  <c r="U777" i="1"/>
  <c r="U775" i="1"/>
  <c r="U773" i="1"/>
  <c r="U771" i="1"/>
  <c r="U769" i="1"/>
  <c r="U767" i="1"/>
  <c r="U765" i="1"/>
  <c r="U763" i="1"/>
  <c r="U761" i="1"/>
  <c r="U759" i="1"/>
  <c r="U757" i="1"/>
  <c r="U755" i="1"/>
  <c r="U753" i="1"/>
  <c r="U751" i="1"/>
  <c r="U749" i="1"/>
  <c r="U747" i="1"/>
  <c r="U745" i="1"/>
  <c r="U743" i="1"/>
  <c r="U741" i="1"/>
  <c r="U739" i="1"/>
  <c r="U737" i="1"/>
  <c r="U735" i="1"/>
  <c r="U733" i="1"/>
  <c r="U731" i="1"/>
  <c r="U729" i="1"/>
  <c r="U727" i="1"/>
  <c r="U725" i="1"/>
  <c r="U723" i="1"/>
  <c r="U721" i="1"/>
  <c r="U719" i="1"/>
  <c r="U717" i="1"/>
  <c r="U715" i="1"/>
  <c r="U713" i="1"/>
  <c r="U711" i="1"/>
  <c r="U709" i="1"/>
  <c r="U707" i="1"/>
  <c r="U705" i="1"/>
  <c r="U703" i="1"/>
  <c r="U701" i="1"/>
  <c r="U699" i="1"/>
  <c r="U697" i="1"/>
  <c r="U695" i="1"/>
  <c r="U693" i="1"/>
  <c r="U691" i="1"/>
  <c r="U689" i="1"/>
  <c r="U687" i="1"/>
  <c r="U685" i="1"/>
  <c r="U683" i="1"/>
  <c r="U681" i="1"/>
  <c r="U679" i="1"/>
  <c r="U677" i="1"/>
  <c r="U675" i="1"/>
  <c r="U673" i="1"/>
  <c r="U671" i="1"/>
  <c r="U669" i="1"/>
  <c r="U667" i="1"/>
  <c r="U665" i="1"/>
  <c r="U663" i="1"/>
  <c r="U661" i="1"/>
  <c r="U659" i="1"/>
  <c r="U657" i="1"/>
  <c r="U655" i="1"/>
  <c r="U653" i="1"/>
  <c r="U651" i="1"/>
  <c r="U649" i="1"/>
  <c r="U647" i="1"/>
  <c r="U645" i="1"/>
  <c r="U643" i="1"/>
  <c r="U641" i="1"/>
  <c r="U639" i="1"/>
  <c r="U637" i="1"/>
  <c r="U635" i="1"/>
  <c r="U633" i="1"/>
  <c r="U631" i="1"/>
  <c r="U629" i="1"/>
  <c r="U627" i="1"/>
  <c r="U625" i="1"/>
  <c r="U623" i="1"/>
  <c r="U621" i="1"/>
  <c r="U619" i="1"/>
  <c r="U617" i="1"/>
  <c r="U615" i="1"/>
  <c r="U613" i="1"/>
  <c r="U611" i="1"/>
  <c r="U609" i="1"/>
  <c r="U607" i="1"/>
  <c r="U605" i="1"/>
  <c r="U603" i="1"/>
  <c r="U601" i="1"/>
  <c r="U599" i="1"/>
  <c r="U597" i="1"/>
  <c r="U595" i="1"/>
  <c r="U593" i="1"/>
  <c r="U591" i="1"/>
  <c r="U589" i="1"/>
  <c r="U587" i="1"/>
  <c r="U585" i="1"/>
  <c r="U583" i="1"/>
  <c r="U581" i="1"/>
  <c r="U579" i="1"/>
  <c r="U577" i="1"/>
  <c r="U575" i="1"/>
  <c r="U573" i="1"/>
  <c r="U571" i="1"/>
  <c r="U569" i="1"/>
  <c r="U567" i="1"/>
  <c r="U565" i="1"/>
  <c r="U563" i="1"/>
  <c r="U561" i="1"/>
  <c r="U559" i="1"/>
  <c r="U557" i="1"/>
  <c r="U555" i="1"/>
  <c r="U553" i="1"/>
  <c r="U551" i="1"/>
  <c r="U549" i="1"/>
  <c r="U547" i="1"/>
  <c r="U545" i="1"/>
  <c r="U543" i="1"/>
  <c r="U541" i="1"/>
  <c r="U539" i="1"/>
  <c r="U537" i="1"/>
  <c r="U535" i="1"/>
  <c r="U533" i="1"/>
  <c r="U531" i="1"/>
  <c r="U529" i="1"/>
  <c r="U527" i="1"/>
  <c r="U525" i="1"/>
  <c r="U523" i="1"/>
  <c r="U521" i="1"/>
  <c r="U519" i="1"/>
  <c r="U517" i="1"/>
  <c r="U515" i="1"/>
  <c r="U513" i="1"/>
  <c r="U511" i="1"/>
  <c r="U509" i="1"/>
  <c r="U507" i="1"/>
  <c r="U505" i="1"/>
  <c r="U503" i="1"/>
  <c r="U501" i="1"/>
  <c r="U499" i="1"/>
  <c r="U497" i="1"/>
  <c r="U495" i="1"/>
  <c r="U493" i="1"/>
  <c r="U491" i="1"/>
  <c r="U489" i="1"/>
  <c r="U487" i="1"/>
  <c r="U485" i="1"/>
  <c r="U483" i="1"/>
  <c r="U481" i="1"/>
  <c r="U479" i="1"/>
  <c r="U477" i="1"/>
  <c r="U475" i="1"/>
  <c r="U473" i="1"/>
  <c r="U471" i="1"/>
  <c r="U469" i="1"/>
  <c r="U467" i="1"/>
  <c r="U465" i="1"/>
  <c r="U463" i="1"/>
  <c r="U461" i="1"/>
  <c r="U459" i="1"/>
  <c r="U457" i="1"/>
  <c r="U455" i="1"/>
  <c r="U453" i="1"/>
  <c r="U451" i="1"/>
  <c r="U449" i="1"/>
  <c r="U447" i="1"/>
  <c r="U445" i="1"/>
  <c r="U443" i="1"/>
  <c r="U441" i="1"/>
  <c r="U439" i="1"/>
  <c r="U437" i="1"/>
  <c r="U435" i="1"/>
  <c r="U433" i="1"/>
  <c r="U431" i="1"/>
  <c r="U429" i="1"/>
  <c r="U427" i="1"/>
  <c r="U425" i="1"/>
  <c r="U423" i="1"/>
  <c r="U421" i="1"/>
  <c r="U419" i="1"/>
  <c r="U417" i="1"/>
  <c r="U415" i="1"/>
  <c r="U413" i="1"/>
  <c r="U411" i="1"/>
  <c r="U409" i="1"/>
  <c r="U407" i="1"/>
  <c r="U405" i="1"/>
  <c r="U403" i="1"/>
  <c r="U401" i="1"/>
  <c r="U399" i="1"/>
  <c r="U397" i="1"/>
  <c r="U395" i="1"/>
  <c r="U393" i="1"/>
  <c r="U391" i="1"/>
  <c r="U389" i="1"/>
  <c r="U387" i="1"/>
  <c r="U385" i="1"/>
  <c r="U383" i="1"/>
  <c r="U381" i="1"/>
  <c r="U379" i="1"/>
  <c r="U377" i="1"/>
  <c r="U375" i="1"/>
  <c r="U373" i="1"/>
  <c r="U371" i="1"/>
  <c r="U369" i="1"/>
  <c r="U367" i="1"/>
  <c r="U365" i="1"/>
  <c r="U363" i="1"/>
  <c r="U361" i="1"/>
  <c r="U359" i="1"/>
  <c r="U357" i="1"/>
  <c r="U355" i="1"/>
  <c r="U353" i="1"/>
  <c r="U351" i="1"/>
  <c r="U349" i="1"/>
  <c r="U347" i="1"/>
  <c r="U345" i="1"/>
  <c r="U343" i="1"/>
  <c r="U341" i="1"/>
  <c r="U339" i="1"/>
  <c r="U337" i="1"/>
  <c r="U335" i="1"/>
  <c r="U333" i="1"/>
  <c r="U331" i="1"/>
  <c r="U329" i="1"/>
  <c r="U327" i="1"/>
  <c r="U325" i="1"/>
  <c r="U323" i="1"/>
  <c r="U321" i="1"/>
  <c r="U319" i="1"/>
  <c r="U317" i="1"/>
  <c r="U315" i="1"/>
  <c r="U313" i="1"/>
  <c r="U311" i="1"/>
  <c r="U309" i="1"/>
  <c r="U307" i="1"/>
  <c r="U305" i="1"/>
  <c r="U303" i="1"/>
  <c r="U301" i="1"/>
  <c r="U299" i="1"/>
  <c r="U297" i="1"/>
  <c r="U295" i="1"/>
  <c r="U293" i="1"/>
  <c r="U291" i="1"/>
  <c r="U289" i="1"/>
  <c r="U287" i="1"/>
  <c r="U285" i="1"/>
  <c r="U283" i="1"/>
  <c r="U281" i="1"/>
  <c r="U279" i="1"/>
  <c r="U277" i="1"/>
  <c r="U275" i="1"/>
  <c r="U273" i="1"/>
  <c r="U271" i="1"/>
  <c r="U269" i="1"/>
  <c r="U267" i="1"/>
  <c r="U265" i="1"/>
  <c r="U263" i="1"/>
  <c r="U261" i="1"/>
  <c r="U259" i="1"/>
  <c r="U257" i="1"/>
  <c r="U255" i="1"/>
  <c r="U253" i="1"/>
  <c r="U251" i="1"/>
  <c r="U249" i="1"/>
  <c r="U247" i="1"/>
  <c r="U245" i="1"/>
  <c r="U243" i="1"/>
  <c r="U241" i="1"/>
  <c r="U239" i="1"/>
  <c r="U237" i="1"/>
  <c r="U235" i="1"/>
  <c r="U233" i="1"/>
  <c r="U231" i="1"/>
  <c r="U229" i="1"/>
  <c r="U227" i="1"/>
  <c r="U225" i="1"/>
  <c r="U223" i="1"/>
  <c r="U221" i="1"/>
  <c r="U219" i="1"/>
  <c r="U217" i="1"/>
  <c r="U215" i="1"/>
  <c r="U213" i="1"/>
  <c r="U211" i="1"/>
  <c r="U209" i="1"/>
  <c r="U207" i="1"/>
  <c r="U205" i="1"/>
  <c r="U203" i="1"/>
  <c r="U201" i="1"/>
  <c r="U199" i="1"/>
  <c r="U197" i="1"/>
  <c r="U195" i="1"/>
  <c r="U193" i="1"/>
  <c r="U191" i="1"/>
  <c r="U189" i="1"/>
  <c r="U187" i="1"/>
  <c r="U185" i="1"/>
  <c r="U183" i="1"/>
  <c r="U181" i="1"/>
  <c r="U179" i="1"/>
  <c r="U177" i="1"/>
  <c r="U175" i="1"/>
  <c r="U173" i="1"/>
  <c r="U171" i="1"/>
  <c r="U169" i="1"/>
  <c r="U167" i="1"/>
  <c r="U165" i="1"/>
  <c r="U163" i="1"/>
  <c r="U161" i="1"/>
  <c r="U159" i="1"/>
  <c r="U157" i="1"/>
  <c r="U155" i="1"/>
  <c r="U153" i="1"/>
  <c r="U151" i="1"/>
  <c r="U149" i="1"/>
  <c r="U147" i="1"/>
  <c r="U145" i="1"/>
  <c r="U143" i="1"/>
  <c r="U141" i="1"/>
  <c r="U139" i="1"/>
  <c r="U137" i="1"/>
  <c r="U135" i="1"/>
  <c r="U133" i="1"/>
  <c r="U131" i="1"/>
  <c r="U129" i="1"/>
  <c r="U127" i="1"/>
  <c r="U125" i="1"/>
  <c r="U123" i="1"/>
  <c r="U121" i="1"/>
  <c r="U119" i="1"/>
  <c r="U117" i="1"/>
  <c r="U115" i="1"/>
  <c r="U113" i="1"/>
  <c r="U111" i="1"/>
  <c r="U109" i="1"/>
  <c r="U107" i="1"/>
  <c r="U105" i="1"/>
  <c r="U103" i="1"/>
  <c r="U101" i="1"/>
  <c r="U99" i="1"/>
  <c r="U97" i="1"/>
  <c r="U95" i="1"/>
  <c r="U93" i="1"/>
  <c r="U91" i="1"/>
  <c r="U89" i="1"/>
  <c r="U87" i="1"/>
  <c r="U85" i="1"/>
  <c r="U83" i="1"/>
  <c r="U81" i="1"/>
  <c r="U79" i="1"/>
  <c r="U77" i="1"/>
  <c r="U75" i="1"/>
  <c r="U73" i="1"/>
  <c r="U71" i="1"/>
  <c r="U69" i="1"/>
  <c r="U67" i="1"/>
  <c r="U65" i="1"/>
  <c r="U63" i="1"/>
  <c r="U61" i="1"/>
  <c r="U59" i="1"/>
  <c r="U57" i="1"/>
  <c r="U55" i="1"/>
  <c r="U53" i="1"/>
  <c r="U51" i="1"/>
  <c r="U49" i="1"/>
  <c r="U47" i="1"/>
  <c r="U45" i="1"/>
  <c r="U43" i="1"/>
  <c r="U41" i="1"/>
  <c r="U39" i="1"/>
  <c r="U37" i="1"/>
  <c r="U35" i="1"/>
  <c r="U33" i="1"/>
  <c r="U31" i="1"/>
  <c r="U29" i="1"/>
  <c r="U27" i="1"/>
  <c r="U25" i="1"/>
  <c r="U23" i="1"/>
  <c r="U21" i="1"/>
  <c r="U19" i="1"/>
  <c r="U17" i="1"/>
  <c r="U15" i="1"/>
  <c r="U13" i="1"/>
  <c r="U11" i="1"/>
  <c r="U9" i="1"/>
  <c r="U7" i="1"/>
  <c r="Q945" i="1"/>
  <c r="U5" i="1"/>
  <c r="I946" i="1" l="1"/>
  <c r="R587" i="1"/>
  <c r="R588" i="1" s="1"/>
  <c r="C3" i="13"/>
  <c r="R73" i="1"/>
  <c r="R74" i="1" s="1"/>
  <c r="R105" i="1"/>
  <c r="R106" i="1" s="1"/>
  <c r="R41" i="1"/>
  <c r="R42" i="1" s="1"/>
  <c r="R9" i="1"/>
  <c r="R10" i="1" s="1"/>
  <c r="R137" i="1"/>
  <c r="R138" i="1" s="1"/>
  <c r="Q948" i="1"/>
  <c r="E4" i="13"/>
  <c r="R43" i="1"/>
  <c r="R44" i="1" s="1"/>
  <c r="R395" i="1"/>
  <c r="R396" i="1" s="1"/>
  <c r="R117" i="1"/>
  <c r="R118" i="1" s="1"/>
  <c r="R373" i="1"/>
  <c r="R374" i="1" s="1"/>
  <c r="R693" i="1"/>
  <c r="R694" i="1" s="1"/>
  <c r="R65" i="1"/>
  <c r="R66" i="1" s="1"/>
  <c r="R97" i="1"/>
  <c r="R98" i="1" s="1"/>
  <c r="R129" i="1"/>
  <c r="R130" i="1" s="1"/>
  <c r="R161" i="1"/>
  <c r="R162" i="1" s="1"/>
  <c r="R193" i="1"/>
  <c r="R194" i="1" s="1"/>
  <c r="R225" i="1"/>
  <c r="R226" i="1" s="1"/>
  <c r="R257" i="1"/>
  <c r="R258" i="1" s="1"/>
  <c r="R289" i="1"/>
  <c r="R290" i="1" s="1"/>
  <c r="R321" i="1"/>
  <c r="R322" i="1" s="1"/>
  <c r="R353" i="1"/>
  <c r="R354" i="1" s="1"/>
  <c r="R385" i="1"/>
  <c r="R386" i="1" s="1"/>
  <c r="R417" i="1"/>
  <c r="R418" i="1" s="1"/>
  <c r="R449" i="1"/>
  <c r="R450" i="1" s="1"/>
  <c r="R481" i="1"/>
  <c r="R482" i="1" s="1"/>
  <c r="R513" i="1"/>
  <c r="R514" i="1" s="1"/>
  <c r="R545" i="1"/>
  <c r="R546" i="1" s="1"/>
  <c r="R577" i="1"/>
  <c r="R578" i="1" s="1"/>
  <c r="R609" i="1"/>
  <c r="R610" i="1" s="1"/>
  <c r="R641" i="1"/>
  <c r="R642" i="1" s="1"/>
  <c r="R673" i="1"/>
  <c r="R674" i="1" s="1"/>
  <c r="R705" i="1"/>
  <c r="R706" i="1" s="1"/>
  <c r="R737" i="1"/>
  <c r="R738" i="1" s="1"/>
  <c r="R769" i="1"/>
  <c r="R770" i="1" s="1"/>
  <c r="R801" i="1"/>
  <c r="R802" i="1" s="1"/>
  <c r="R833" i="1"/>
  <c r="R834" i="1" s="1"/>
  <c r="R865" i="1"/>
  <c r="R866" i="1" s="1"/>
  <c r="R897" i="1"/>
  <c r="R898" i="1" s="1"/>
  <c r="R929" i="1"/>
  <c r="R930" i="1" s="1"/>
  <c r="R11" i="1"/>
  <c r="R12" i="1" s="1"/>
  <c r="R427" i="1"/>
  <c r="R428" i="1" s="1"/>
  <c r="R53" i="1"/>
  <c r="R54" i="1" s="1"/>
  <c r="R341" i="1"/>
  <c r="R342" i="1" s="1"/>
  <c r="R565" i="1"/>
  <c r="R566" i="1" s="1"/>
  <c r="R299" i="1"/>
  <c r="R300" i="1" s="1"/>
  <c r="R149" i="1"/>
  <c r="R150" i="1" s="1"/>
  <c r="R405" i="1"/>
  <c r="R406" i="1" s="1"/>
  <c r="R629" i="1"/>
  <c r="R630" i="1" s="1"/>
  <c r="R33" i="1"/>
  <c r="R34" i="1" s="1"/>
  <c r="R75" i="1"/>
  <c r="R76" i="1" s="1"/>
  <c r="R459" i="1"/>
  <c r="R460" i="1" s="1"/>
  <c r="R21" i="1"/>
  <c r="R22" i="1" s="1"/>
  <c r="R309" i="1"/>
  <c r="R310" i="1" s="1"/>
  <c r="R597" i="1"/>
  <c r="R598" i="1" s="1"/>
  <c r="R619" i="1"/>
  <c r="R620" i="1" s="1"/>
  <c r="R651" i="1"/>
  <c r="R652" i="1" s="1"/>
  <c r="R683" i="1"/>
  <c r="R684" i="1" s="1"/>
  <c r="R715" i="1"/>
  <c r="R716" i="1" s="1"/>
  <c r="R747" i="1"/>
  <c r="R748" i="1" s="1"/>
  <c r="R779" i="1"/>
  <c r="R780" i="1" s="1"/>
  <c r="R811" i="1"/>
  <c r="R812" i="1" s="1"/>
  <c r="R843" i="1"/>
  <c r="R844" i="1" s="1"/>
  <c r="R875" i="1"/>
  <c r="R876" i="1" s="1"/>
  <c r="R907" i="1"/>
  <c r="R908" i="1" s="1"/>
  <c r="R939" i="1"/>
  <c r="R940" i="1" s="1"/>
  <c r="R267" i="1"/>
  <c r="R268" i="1" s="1"/>
  <c r="R555" i="1"/>
  <c r="R556" i="1" s="1"/>
  <c r="R203" i="1"/>
  <c r="R204" i="1" s="1"/>
  <c r="R523" i="1"/>
  <c r="R524" i="1" s="1"/>
  <c r="R235" i="1"/>
  <c r="R236" i="1" s="1"/>
  <c r="R245" i="1"/>
  <c r="R246" i="1" s="1"/>
  <c r="R469" i="1"/>
  <c r="R470" i="1" s="1"/>
  <c r="R533" i="1"/>
  <c r="R534" i="1" s="1"/>
  <c r="R725" i="1"/>
  <c r="R726" i="1" s="1"/>
  <c r="R757" i="1"/>
  <c r="R758" i="1" s="1"/>
  <c r="R789" i="1"/>
  <c r="R790" i="1" s="1"/>
  <c r="R821" i="1"/>
  <c r="R822" i="1" s="1"/>
  <c r="R853" i="1"/>
  <c r="R854" i="1" s="1"/>
  <c r="R885" i="1"/>
  <c r="R886" i="1" s="1"/>
  <c r="R917" i="1"/>
  <c r="R918" i="1" s="1"/>
  <c r="R107" i="1"/>
  <c r="R108" i="1" s="1"/>
  <c r="R181" i="1"/>
  <c r="R182" i="1" s="1"/>
  <c r="R139" i="1"/>
  <c r="R140" i="1" s="1"/>
  <c r="R437" i="1"/>
  <c r="R438" i="1" s="1"/>
  <c r="R171" i="1"/>
  <c r="R172" i="1" s="1"/>
  <c r="R491" i="1"/>
  <c r="R492" i="1" s="1"/>
  <c r="R331" i="1"/>
  <c r="R332" i="1" s="1"/>
  <c r="R213" i="1"/>
  <c r="R214" i="1" s="1"/>
  <c r="R501" i="1"/>
  <c r="R502" i="1" s="1"/>
  <c r="R363" i="1"/>
  <c r="R364" i="1" s="1"/>
  <c r="R85" i="1"/>
  <c r="R86" i="1" s="1"/>
  <c r="R277" i="1"/>
  <c r="R278" i="1" s="1"/>
  <c r="R661" i="1"/>
  <c r="R662" i="1" s="1"/>
  <c r="R55" i="1"/>
  <c r="R56" i="1" s="1"/>
  <c r="R279" i="1"/>
  <c r="R280" i="1" s="1"/>
  <c r="R503" i="1"/>
  <c r="R504" i="1" s="1"/>
  <c r="R727" i="1"/>
  <c r="R728" i="1" s="1"/>
  <c r="R23" i="1"/>
  <c r="R24" i="1" s="1"/>
  <c r="R663" i="1"/>
  <c r="R664" i="1" s="1"/>
  <c r="R87" i="1"/>
  <c r="R88" i="1" s="1"/>
  <c r="R183" i="1"/>
  <c r="R184" i="1" s="1"/>
  <c r="R247" i="1"/>
  <c r="R248" i="1" s="1"/>
  <c r="R375" i="1"/>
  <c r="R376" i="1" s="1"/>
  <c r="R471" i="1"/>
  <c r="R472" i="1" s="1"/>
  <c r="R599" i="1"/>
  <c r="R600" i="1" s="1"/>
  <c r="R695" i="1"/>
  <c r="R696" i="1" s="1"/>
  <c r="R151" i="1"/>
  <c r="R152" i="1" s="1"/>
  <c r="R311" i="1"/>
  <c r="R312" i="1" s="1"/>
  <c r="R407" i="1"/>
  <c r="R408" i="1" s="1"/>
  <c r="R567" i="1"/>
  <c r="R568" i="1" s="1"/>
  <c r="R119" i="1"/>
  <c r="R120" i="1" s="1"/>
  <c r="R215" i="1"/>
  <c r="R216" i="1" s="1"/>
  <c r="R343" i="1"/>
  <c r="R344" i="1" s="1"/>
  <c r="R439" i="1"/>
  <c r="R440" i="1" s="1"/>
  <c r="R535" i="1"/>
  <c r="R536" i="1" s="1"/>
  <c r="R631" i="1"/>
  <c r="R632" i="1" s="1"/>
  <c r="R421" i="1"/>
  <c r="R422" i="1" s="1"/>
  <c r="R741" i="1"/>
  <c r="R742" i="1" s="1"/>
  <c r="R357" i="1"/>
  <c r="R358" i="1" s="1"/>
  <c r="R773" i="1"/>
  <c r="R774" i="1" s="1"/>
  <c r="R261" i="1"/>
  <c r="R262" i="1" s="1"/>
  <c r="R869" i="1"/>
  <c r="R870" i="1" s="1"/>
  <c r="R165" i="1"/>
  <c r="R166" i="1" s="1"/>
  <c r="R613" i="1"/>
  <c r="R614" i="1" s="1"/>
  <c r="R293" i="1"/>
  <c r="R294" i="1" s="1"/>
  <c r="R37" i="1"/>
  <c r="R38" i="1" s="1"/>
  <c r="R485" i="1"/>
  <c r="R486" i="1" s="1"/>
  <c r="R933" i="1"/>
  <c r="R934" i="1" s="1"/>
  <c r="R69" i="1"/>
  <c r="R70" i="1" s="1"/>
  <c r="R581" i="1"/>
  <c r="R582" i="1" s="1"/>
  <c r="R5" i="1"/>
  <c r="R6" i="1" s="1"/>
  <c r="R197" i="1"/>
  <c r="R198" i="1" s="1"/>
  <c r="R517" i="1"/>
  <c r="R518" i="1" s="1"/>
  <c r="R677" i="1"/>
  <c r="R678" i="1" s="1"/>
  <c r="R901" i="1"/>
  <c r="R902" i="1" s="1"/>
  <c r="R759" i="1"/>
  <c r="R760" i="1" s="1"/>
  <c r="R791" i="1"/>
  <c r="R792" i="1" s="1"/>
  <c r="R823" i="1"/>
  <c r="R824" i="1" s="1"/>
  <c r="R855" i="1"/>
  <c r="R856" i="1" s="1"/>
  <c r="R887" i="1"/>
  <c r="R888" i="1" s="1"/>
  <c r="R919" i="1"/>
  <c r="R920" i="1" s="1"/>
  <c r="R325" i="1"/>
  <c r="R326" i="1" s="1"/>
  <c r="R837" i="1"/>
  <c r="R838" i="1" s="1"/>
  <c r="R389" i="1"/>
  <c r="R390" i="1" s="1"/>
  <c r="R101" i="1"/>
  <c r="R102" i="1" s="1"/>
  <c r="R229" i="1"/>
  <c r="R230" i="1" s="1"/>
  <c r="R549" i="1"/>
  <c r="R550" i="1" s="1"/>
  <c r="R709" i="1"/>
  <c r="R710" i="1" s="1"/>
  <c r="R133" i="1"/>
  <c r="R134" i="1" s="1"/>
  <c r="R453" i="1"/>
  <c r="R454" i="1" s="1"/>
  <c r="R645" i="1"/>
  <c r="R646" i="1" s="1"/>
  <c r="R805" i="1"/>
  <c r="R806" i="1" s="1"/>
  <c r="R7" i="1"/>
  <c r="R8" i="1" s="1"/>
  <c r="R39" i="1"/>
  <c r="R40" i="1" s="1"/>
  <c r="R71" i="1"/>
  <c r="R72" i="1" s="1"/>
  <c r="R103" i="1"/>
  <c r="R104" i="1" s="1"/>
  <c r="R135" i="1"/>
  <c r="R136" i="1" s="1"/>
  <c r="R167" i="1"/>
  <c r="R168" i="1" s="1"/>
  <c r="R199" i="1"/>
  <c r="R200" i="1" s="1"/>
  <c r="R231" i="1"/>
  <c r="R232" i="1" s="1"/>
  <c r="R263" i="1"/>
  <c r="R264" i="1" s="1"/>
  <c r="R295" i="1"/>
  <c r="R296" i="1" s="1"/>
  <c r="R327" i="1"/>
  <c r="R328" i="1" s="1"/>
  <c r="R359" i="1"/>
  <c r="R360" i="1" s="1"/>
  <c r="R391" i="1"/>
  <c r="R392" i="1" s="1"/>
  <c r="R423" i="1"/>
  <c r="R424" i="1" s="1"/>
  <c r="R455" i="1"/>
  <c r="R456" i="1" s="1"/>
  <c r="R487" i="1"/>
  <c r="R488" i="1" s="1"/>
  <c r="R519" i="1"/>
  <c r="R520" i="1" s="1"/>
  <c r="R551" i="1"/>
  <c r="R552" i="1" s="1"/>
  <c r="R583" i="1"/>
  <c r="R584" i="1" s="1"/>
  <c r="R615" i="1"/>
  <c r="R616" i="1" s="1"/>
  <c r="R647" i="1"/>
  <c r="R648" i="1" s="1"/>
  <c r="R679" i="1"/>
  <c r="R680" i="1" s="1"/>
  <c r="R711" i="1"/>
  <c r="R712" i="1" s="1"/>
  <c r="R743" i="1"/>
  <c r="R744" i="1" s="1"/>
  <c r="R775" i="1"/>
  <c r="R776" i="1" s="1"/>
  <c r="R807" i="1"/>
  <c r="R808" i="1" s="1"/>
  <c r="R839" i="1"/>
  <c r="R840" i="1" s="1"/>
  <c r="R871" i="1"/>
  <c r="R872" i="1" s="1"/>
  <c r="R903" i="1"/>
  <c r="R904" i="1" s="1"/>
  <c r="R935" i="1"/>
  <c r="R936" i="1" s="1"/>
  <c r="R169" i="1"/>
  <c r="R170" i="1" s="1"/>
  <c r="R201" i="1"/>
  <c r="R202" i="1" s="1"/>
  <c r="R233" i="1"/>
  <c r="R234" i="1" s="1"/>
  <c r="R265" i="1"/>
  <c r="R266" i="1" s="1"/>
  <c r="R297" i="1"/>
  <c r="R298" i="1" s="1"/>
  <c r="R329" i="1"/>
  <c r="R330" i="1" s="1"/>
  <c r="R361" i="1"/>
  <c r="R362" i="1" s="1"/>
  <c r="R393" i="1"/>
  <c r="R394" i="1" s="1"/>
  <c r="R425" i="1"/>
  <c r="R426" i="1" s="1"/>
  <c r="R457" i="1"/>
  <c r="R458" i="1" s="1"/>
  <c r="R489" i="1"/>
  <c r="R490" i="1" s="1"/>
  <c r="R521" i="1"/>
  <c r="R522" i="1" s="1"/>
  <c r="R553" i="1"/>
  <c r="R554" i="1" s="1"/>
  <c r="R585" i="1"/>
  <c r="R586" i="1" s="1"/>
  <c r="R617" i="1"/>
  <c r="R618" i="1" s="1"/>
  <c r="R649" i="1"/>
  <c r="R650" i="1" s="1"/>
  <c r="R681" i="1"/>
  <c r="R682" i="1" s="1"/>
  <c r="R713" i="1"/>
  <c r="R714" i="1" s="1"/>
  <c r="R745" i="1"/>
  <c r="R746" i="1" s="1"/>
  <c r="R777" i="1"/>
  <c r="R778" i="1" s="1"/>
  <c r="R809" i="1"/>
  <c r="R810" i="1" s="1"/>
  <c r="R841" i="1"/>
  <c r="R842" i="1" s="1"/>
  <c r="R873" i="1"/>
  <c r="R874" i="1" s="1"/>
  <c r="R905" i="1"/>
  <c r="R906" i="1" s="1"/>
  <c r="R937" i="1"/>
  <c r="R938" i="1" s="1"/>
  <c r="R81" i="1"/>
  <c r="R82" i="1" s="1"/>
  <c r="R369" i="1"/>
  <c r="R370" i="1" s="1"/>
  <c r="R625" i="1"/>
  <c r="R626" i="1" s="1"/>
  <c r="R913" i="1"/>
  <c r="R914" i="1" s="1"/>
  <c r="R83" i="1"/>
  <c r="R84" i="1" s="1"/>
  <c r="R371" i="1"/>
  <c r="R372" i="1" s="1"/>
  <c r="R435" i="1"/>
  <c r="R436" i="1" s="1"/>
  <c r="R595" i="1"/>
  <c r="R596" i="1" s="1"/>
  <c r="R627" i="1"/>
  <c r="R628" i="1" s="1"/>
  <c r="R659" i="1"/>
  <c r="R660" i="1" s="1"/>
  <c r="R691" i="1"/>
  <c r="R692" i="1" s="1"/>
  <c r="R723" i="1"/>
  <c r="R724" i="1" s="1"/>
  <c r="R755" i="1"/>
  <c r="R756" i="1" s="1"/>
  <c r="R787" i="1"/>
  <c r="R788" i="1" s="1"/>
  <c r="R819" i="1"/>
  <c r="R820" i="1" s="1"/>
  <c r="R851" i="1"/>
  <c r="R852" i="1" s="1"/>
  <c r="R883" i="1"/>
  <c r="R884" i="1" s="1"/>
  <c r="R915" i="1"/>
  <c r="R916" i="1" s="1"/>
  <c r="R305" i="1"/>
  <c r="R306" i="1" s="1"/>
  <c r="R529" i="1"/>
  <c r="R530" i="1" s="1"/>
  <c r="R753" i="1"/>
  <c r="R754" i="1" s="1"/>
  <c r="R243" i="1"/>
  <c r="R244" i="1" s="1"/>
  <c r="R499" i="1"/>
  <c r="R500" i="1" s="1"/>
  <c r="R241" i="1"/>
  <c r="R242" i="1" s="1"/>
  <c r="R785" i="1"/>
  <c r="R786" i="1" s="1"/>
  <c r="R211" i="1"/>
  <c r="R212" i="1" s="1"/>
  <c r="R467" i="1"/>
  <c r="R468" i="1" s="1"/>
  <c r="R17" i="1"/>
  <c r="R18" i="1" s="1"/>
  <c r="R209" i="1"/>
  <c r="R210" i="1" s="1"/>
  <c r="R465" i="1"/>
  <c r="R466" i="1" s="1"/>
  <c r="R593" i="1"/>
  <c r="R594" i="1" s="1"/>
  <c r="R817" i="1"/>
  <c r="R818" i="1" s="1"/>
  <c r="R115" i="1"/>
  <c r="R116" i="1" s="1"/>
  <c r="R339" i="1"/>
  <c r="R340" i="1" s="1"/>
  <c r="R563" i="1"/>
  <c r="R564" i="1" s="1"/>
  <c r="R113" i="1"/>
  <c r="R114" i="1" s="1"/>
  <c r="R401" i="1"/>
  <c r="R402" i="1" s="1"/>
  <c r="R689" i="1"/>
  <c r="R690" i="1" s="1"/>
  <c r="R275" i="1"/>
  <c r="R276" i="1" s="1"/>
  <c r="R91" i="1"/>
  <c r="R92" i="1" s="1"/>
  <c r="R187" i="1"/>
  <c r="R188" i="1" s="1"/>
  <c r="R283" i="1"/>
  <c r="R284" i="1" s="1"/>
  <c r="R379" i="1"/>
  <c r="R380" i="1" s="1"/>
  <c r="R507" i="1"/>
  <c r="R508" i="1" s="1"/>
  <c r="R571" i="1"/>
  <c r="R572" i="1" s="1"/>
  <c r="R603" i="1"/>
  <c r="R604" i="1" s="1"/>
  <c r="R667" i="1"/>
  <c r="R668" i="1" s="1"/>
  <c r="R699" i="1"/>
  <c r="R700" i="1" s="1"/>
  <c r="R731" i="1"/>
  <c r="R732" i="1" s="1"/>
  <c r="R763" i="1"/>
  <c r="R764" i="1" s="1"/>
  <c r="R795" i="1"/>
  <c r="R796" i="1" s="1"/>
  <c r="R827" i="1"/>
  <c r="R828" i="1" s="1"/>
  <c r="R859" i="1"/>
  <c r="R860" i="1" s="1"/>
  <c r="R891" i="1"/>
  <c r="R892" i="1" s="1"/>
  <c r="R923" i="1"/>
  <c r="R924" i="1" s="1"/>
  <c r="R145" i="1"/>
  <c r="R146" i="1" s="1"/>
  <c r="R273" i="1"/>
  <c r="R274" i="1" s="1"/>
  <c r="R433" i="1"/>
  <c r="R434" i="1" s="1"/>
  <c r="R561" i="1"/>
  <c r="R562" i="1" s="1"/>
  <c r="R721" i="1"/>
  <c r="R722" i="1" s="1"/>
  <c r="R881" i="1"/>
  <c r="R882" i="1" s="1"/>
  <c r="R19" i="1"/>
  <c r="R20" i="1" s="1"/>
  <c r="R147" i="1"/>
  <c r="R148" i="1" s="1"/>
  <c r="R403" i="1"/>
  <c r="R404" i="1" s="1"/>
  <c r="R27" i="1"/>
  <c r="R28" i="1" s="1"/>
  <c r="R123" i="1"/>
  <c r="R124" i="1" s="1"/>
  <c r="R155" i="1"/>
  <c r="R156" i="1" s="1"/>
  <c r="R219" i="1"/>
  <c r="R220" i="1" s="1"/>
  <c r="R251" i="1"/>
  <c r="R252" i="1" s="1"/>
  <c r="R315" i="1"/>
  <c r="R316" i="1" s="1"/>
  <c r="R347" i="1"/>
  <c r="R348" i="1" s="1"/>
  <c r="R411" i="1"/>
  <c r="R412" i="1" s="1"/>
  <c r="R443" i="1"/>
  <c r="R444" i="1" s="1"/>
  <c r="R475" i="1"/>
  <c r="R476" i="1" s="1"/>
  <c r="R539" i="1"/>
  <c r="R540" i="1" s="1"/>
  <c r="R635" i="1"/>
  <c r="R636" i="1" s="1"/>
  <c r="R29" i="1"/>
  <c r="R30" i="1" s="1"/>
  <c r="R61" i="1"/>
  <c r="R62" i="1" s="1"/>
  <c r="R93" i="1"/>
  <c r="R94" i="1" s="1"/>
  <c r="R125" i="1"/>
  <c r="R126" i="1" s="1"/>
  <c r="R157" i="1"/>
  <c r="R158" i="1" s="1"/>
  <c r="R189" i="1"/>
  <c r="R190" i="1" s="1"/>
  <c r="R221" i="1"/>
  <c r="R222" i="1" s="1"/>
  <c r="R253" i="1"/>
  <c r="R254" i="1" s="1"/>
  <c r="R285" i="1"/>
  <c r="R286" i="1" s="1"/>
  <c r="R317" i="1"/>
  <c r="R318" i="1" s="1"/>
  <c r="R349" i="1"/>
  <c r="R350" i="1" s="1"/>
  <c r="R381" i="1"/>
  <c r="R382" i="1" s="1"/>
  <c r="R413" i="1"/>
  <c r="R414" i="1" s="1"/>
  <c r="R445" i="1"/>
  <c r="R446" i="1" s="1"/>
  <c r="R477" i="1"/>
  <c r="R478" i="1" s="1"/>
  <c r="R509" i="1"/>
  <c r="R510" i="1" s="1"/>
  <c r="R541" i="1"/>
  <c r="R542" i="1" s="1"/>
  <c r="R573" i="1"/>
  <c r="R574" i="1" s="1"/>
  <c r="R605" i="1"/>
  <c r="R606" i="1" s="1"/>
  <c r="R637" i="1"/>
  <c r="R638" i="1" s="1"/>
  <c r="R669" i="1"/>
  <c r="R670" i="1" s="1"/>
  <c r="R701" i="1"/>
  <c r="R702" i="1" s="1"/>
  <c r="R733" i="1"/>
  <c r="R734" i="1" s="1"/>
  <c r="R765" i="1"/>
  <c r="R766" i="1" s="1"/>
  <c r="R797" i="1"/>
  <c r="R798" i="1" s="1"/>
  <c r="R829" i="1"/>
  <c r="R830" i="1" s="1"/>
  <c r="R861" i="1"/>
  <c r="R862" i="1" s="1"/>
  <c r="R893" i="1"/>
  <c r="R894" i="1" s="1"/>
  <c r="R925" i="1"/>
  <c r="R926" i="1" s="1"/>
  <c r="R49" i="1"/>
  <c r="R50" i="1" s="1"/>
  <c r="R177" i="1"/>
  <c r="R178" i="1" s="1"/>
  <c r="R337" i="1"/>
  <c r="R338" i="1" s="1"/>
  <c r="R497" i="1"/>
  <c r="R498" i="1" s="1"/>
  <c r="R657" i="1"/>
  <c r="R658" i="1" s="1"/>
  <c r="R849" i="1"/>
  <c r="R850" i="1" s="1"/>
  <c r="R51" i="1"/>
  <c r="R52" i="1" s="1"/>
  <c r="R179" i="1"/>
  <c r="R180" i="1" s="1"/>
  <c r="R307" i="1"/>
  <c r="R308" i="1" s="1"/>
  <c r="R531" i="1"/>
  <c r="R532" i="1" s="1"/>
  <c r="R59" i="1"/>
  <c r="R60" i="1" s="1"/>
  <c r="R31" i="1"/>
  <c r="R32" i="1" s="1"/>
  <c r="R63" i="1"/>
  <c r="R64" i="1" s="1"/>
  <c r="R95" i="1"/>
  <c r="R96" i="1" s="1"/>
  <c r="R127" i="1"/>
  <c r="R128" i="1" s="1"/>
  <c r="R159" i="1"/>
  <c r="R160" i="1" s="1"/>
  <c r="R191" i="1"/>
  <c r="R192" i="1" s="1"/>
  <c r="R223" i="1"/>
  <c r="R224" i="1" s="1"/>
  <c r="R255" i="1"/>
  <c r="R256" i="1" s="1"/>
  <c r="R287" i="1"/>
  <c r="R288" i="1" s="1"/>
  <c r="R319" i="1"/>
  <c r="R320" i="1" s="1"/>
  <c r="R351" i="1"/>
  <c r="R352" i="1" s="1"/>
  <c r="R383" i="1"/>
  <c r="R384" i="1" s="1"/>
  <c r="R415" i="1"/>
  <c r="R416" i="1" s="1"/>
  <c r="R447" i="1"/>
  <c r="R448" i="1" s="1"/>
  <c r="R479" i="1"/>
  <c r="R480" i="1" s="1"/>
  <c r="R511" i="1"/>
  <c r="R512" i="1" s="1"/>
  <c r="R543" i="1"/>
  <c r="R544" i="1" s="1"/>
  <c r="R575" i="1"/>
  <c r="R576" i="1" s="1"/>
  <c r="R607" i="1"/>
  <c r="R608" i="1" s="1"/>
  <c r="R639" i="1"/>
  <c r="R640" i="1" s="1"/>
  <c r="R671" i="1"/>
  <c r="R672" i="1" s="1"/>
  <c r="R703" i="1"/>
  <c r="R704" i="1" s="1"/>
  <c r="R735" i="1"/>
  <c r="R736" i="1" s="1"/>
  <c r="R767" i="1"/>
  <c r="R768" i="1" s="1"/>
  <c r="R799" i="1"/>
  <c r="R800" i="1" s="1"/>
  <c r="R831" i="1"/>
  <c r="R832" i="1" s="1"/>
  <c r="R863" i="1"/>
  <c r="R864" i="1" s="1"/>
  <c r="R895" i="1"/>
  <c r="R896" i="1" s="1"/>
  <c r="R927" i="1"/>
  <c r="R928" i="1" s="1"/>
  <c r="R35" i="1"/>
  <c r="R36" i="1" s="1"/>
  <c r="R67" i="1"/>
  <c r="R68" i="1" s="1"/>
  <c r="R99" i="1"/>
  <c r="R100" i="1" s="1"/>
  <c r="R131" i="1"/>
  <c r="R132" i="1" s="1"/>
  <c r="R163" i="1"/>
  <c r="R164" i="1" s="1"/>
  <c r="R195" i="1"/>
  <c r="R196" i="1" s="1"/>
  <c r="R227" i="1"/>
  <c r="R228" i="1" s="1"/>
  <c r="R259" i="1"/>
  <c r="R260" i="1" s="1"/>
  <c r="R291" i="1"/>
  <c r="R292" i="1" s="1"/>
  <c r="R323" i="1"/>
  <c r="R324" i="1" s="1"/>
  <c r="R355" i="1"/>
  <c r="R356" i="1" s="1"/>
  <c r="R387" i="1"/>
  <c r="R388" i="1" s="1"/>
  <c r="R419" i="1"/>
  <c r="R420" i="1" s="1"/>
  <c r="R451" i="1"/>
  <c r="R452" i="1" s="1"/>
  <c r="R483" i="1"/>
  <c r="R484" i="1" s="1"/>
  <c r="R515" i="1"/>
  <c r="R516" i="1" s="1"/>
  <c r="R547" i="1"/>
  <c r="R548" i="1" s="1"/>
  <c r="R579" i="1"/>
  <c r="R580" i="1" s="1"/>
  <c r="R611" i="1"/>
  <c r="R612" i="1" s="1"/>
  <c r="R643" i="1"/>
  <c r="R644" i="1" s="1"/>
  <c r="R675" i="1"/>
  <c r="R676" i="1" s="1"/>
  <c r="R707" i="1"/>
  <c r="R708" i="1" s="1"/>
  <c r="R739" i="1"/>
  <c r="R740" i="1" s="1"/>
  <c r="R771" i="1"/>
  <c r="R772" i="1" s="1"/>
  <c r="R803" i="1"/>
  <c r="R804" i="1" s="1"/>
  <c r="R835" i="1"/>
  <c r="R836" i="1" s="1"/>
  <c r="R867" i="1"/>
  <c r="R868" i="1" s="1"/>
  <c r="R899" i="1"/>
  <c r="R900" i="1" s="1"/>
  <c r="R931" i="1"/>
  <c r="R932" i="1" s="1"/>
  <c r="R77" i="1"/>
  <c r="R78" i="1" s="1"/>
  <c r="R173" i="1"/>
  <c r="R174" i="1" s="1"/>
  <c r="R205" i="1"/>
  <c r="R206" i="1" s="1"/>
  <c r="R301" i="1"/>
  <c r="R302" i="1" s="1"/>
  <c r="R333" i="1"/>
  <c r="R334" i="1" s="1"/>
  <c r="R365" i="1"/>
  <c r="R366" i="1" s="1"/>
  <c r="R397" i="1"/>
  <c r="R398" i="1" s="1"/>
  <c r="R429" i="1"/>
  <c r="R430" i="1" s="1"/>
  <c r="R461" i="1"/>
  <c r="R462" i="1" s="1"/>
  <c r="R493" i="1"/>
  <c r="R494" i="1" s="1"/>
  <c r="R525" i="1"/>
  <c r="R526" i="1" s="1"/>
  <c r="R557" i="1"/>
  <c r="R558" i="1" s="1"/>
  <c r="R589" i="1"/>
  <c r="R590" i="1" s="1"/>
  <c r="R621" i="1"/>
  <c r="R622" i="1" s="1"/>
  <c r="R653" i="1"/>
  <c r="R654" i="1" s="1"/>
  <c r="R685" i="1"/>
  <c r="R686" i="1" s="1"/>
  <c r="R717" i="1"/>
  <c r="R718" i="1" s="1"/>
  <c r="R749" i="1"/>
  <c r="R750" i="1" s="1"/>
  <c r="R781" i="1"/>
  <c r="R782" i="1" s="1"/>
  <c r="R813" i="1"/>
  <c r="R814" i="1" s="1"/>
  <c r="R845" i="1"/>
  <c r="R846" i="1" s="1"/>
  <c r="R877" i="1"/>
  <c r="R878" i="1" s="1"/>
  <c r="R909" i="1"/>
  <c r="R910" i="1" s="1"/>
  <c r="R941" i="1"/>
  <c r="R942" i="1" s="1"/>
  <c r="R13" i="1"/>
  <c r="R14" i="1" s="1"/>
  <c r="R109" i="1"/>
  <c r="R110" i="1" s="1"/>
  <c r="R237" i="1"/>
  <c r="R238" i="1" s="1"/>
  <c r="R15" i="1"/>
  <c r="R16" i="1" s="1"/>
  <c r="R47" i="1"/>
  <c r="R48" i="1" s="1"/>
  <c r="R79" i="1"/>
  <c r="R80" i="1" s="1"/>
  <c r="R111" i="1"/>
  <c r="R112" i="1" s="1"/>
  <c r="R143" i="1"/>
  <c r="R144" i="1" s="1"/>
  <c r="R175" i="1"/>
  <c r="R176" i="1" s="1"/>
  <c r="R207" i="1"/>
  <c r="R208" i="1" s="1"/>
  <c r="R239" i="1"/>
  <c r="R240" i="1" s="1"/>
  <c r="R271" i="1"/>
  <c r="R272" i="1" s="1"/>
  <c r="R303" i="1"/>
  <c r="R304" i="1" s="1"/>
  <c r="R335" i="1"/>
  <c r="R336" i="1" s="1"/>
  <c r="R367" i="1"/>
  <c r="R368" i="1" s="1"/>
  <c r="R399" i="1"/>
  <c r="R400" i="1" s="1"/>
  <c r="R431" i="1"/>
  <c r="R432" i="1" s="1"/>
  <c r="R463" i="1"/>
  <c r="R464" i="1" s="1"/>
  <c r="R495" i="1"/>
  <c r="R496" i="1" s="1"/>
  <c r="R527" i="1"/>
  <c r="R528" i="1" s="1"/>
  <c r="R559" i="1"/>
  <c r="R560" i="1" s="1"/>
  <c r="R591" i="1"/>
  <c r="R592" i="1" s="1"/>
  <c r="R623" i="1"/>
  <c r="R624" i="1" s="1"/>
  <c r="R655" i="1"/>
  <c r="R656" i="1" s="1"/>
  <c r="R687" i="1"/>
  <c r="R688" i="1" s="1"/>
  <c r="R719" i="1"/>
  <c r="R720" i="1" s="1"/>
  <c r="R751" i="1"/>
  <c r="R752" i="1" s="1"/>
  <c r="R783" i="1"/>
  <c r="R784" i="1" s="1"/>
  <c r="R815" i="1"/>
  <c r="R816" i="1" s="1"/>
  <c r="R847" i="1"/>
  <c r="R848" i="1" s="1"/>
  <c r="R879" i="1"/>
  <c r="R880" i="1" s="1"/>
  <c r="R911" i="1"/>
  <c r="R912" i="1" s="1"/>
  <c r="R45" i="1"/>
  <c r="R46" i="1" s="1"/>
  <c r="R141" i="1"/>
  <c r="R142" i="1" s="1"/>
  <c r="R269" i="1"/>
  <c r="R270" i="1" s="1"/>
  <c r="R25" i="1"/>
  <c r="R26" i="1" s="1"/>
  <c r="R89" i="1"/>
  <c r="R90" i="1" s="1"/>
  <c r="R153" i="1"/>
  <c r="R154" i="1" s="1"/>
  <c r="R185" i="1"/>
  <c r="R186" i="1" s="1"/>
  <c r="R217" i="1"/>
  <c r="R218" i="1" s="1"/>
  <c r="R249" i="1"/>
  <c r="R250" i="1" s="1"/>
  <c r="R281" i="1"/>
  <c r="R282" i="1" s="1"/>
  <c r="R313" i="1"/>
  <c r="R314" i="1" s="1"/>
  <c r="R345" i="1"/>
  <c r="R346" i="1" s="1"/>
  <c r="R377" i="1"/>
  <c r="R378" i="1" s="1"/>
  <c r="R409" i="1"/>
  <c r="R410" i="1" s="1"/>
  <c r="R441" i="1"/>
  <c r="R442" i="1" s="1"/>
  <c r="R473" i="1"/>
  <c r="R474" i="1" s="1"/>
  <c r="R505" i="1"/>
  <c r="R506" i="1" s="1"/>
  <c r="R537" i="1"/>
  <c r="R538" i="1" s="1"/>
  <c r="R569" i="1"/>
  <c r="R570" i="1" s="1"/>
  <c r="R601" i="1"/>
  <c r="R602" i="1" s="1"/>
  <c r="R633" i="1"/>
  <c r="R634" i="1" s="1"/>
  <c r="R665" i="1"/>
  <c r="R666" i="1" s="1"/>
  <c r="R697" i="1"/>
  <c r="R698" i="1" s="1"/>
  <c r="R729" i="1"/>
  <c r="R730" i="1" s="1"/>
  <c r="R761" i="1"/>
  <c r="R762" i="1" s="1"/>
  <c r="R793" i="1"/>
  <c r="R794" i="1" s="1"/>
  <c r="R825" i="1"/>
  <c r="R826" i="1" s="1"/>
  <c r="R857" i="1"/>
  <c r="R858" i="1" s="1"/>
  <c r="R889" i="1"/>
  <c r="R890" i="1" s="1"/>
  <c r="R921" i="1"/>
  <c r="R922" i="1" s="1"/>
  <c r="R57" i="1"/>
  <c r="R58" i="1" s="1"/>
  <c r="R121" i="1"/>
  <c r="R122" i="1" s="1"/>
  <c r="J875" i="1"/>
  <c r="J876" i="1" s="1"/>
  <c r="J681" i="1"/>
  <c r="J682" i="1" s="1"/>
  <c r="J567" i="1"/>
  <c r="J568" i="1" s="1"/>
  <c r="J663" i="1"/>
  <c r="J664" i="1" s="1"/>
  <c r="J55" i="1"/>
  <c r="J56" i="1" s="1"/>
  <c r="J151" i="1"/>
  <c r="J152" i="1" s="1"/>
  <c r="J535" i="1"/>
  <c r="J536" i="1" s="1"/>
  <c r="J887" i="1"/>
  <c r="J888" i="1" s="1"/>
  <c r="J225" i="1"/>
  <c r="J226" i="1" s="1"/>
  <c r="J149" i="1"/>
  <c r="J150" i="1" s="1"/>
  <c r="J801" i="1"/>
  <c r="J802" i="1" s="1"/>
  <c r="J865" i="1"/>
  <c r="J866" i="1" s="1"/>
  <c r="J31" i="1"/>
  <c r="J32" i="1" s="1"/>
  <c r="J511" i="1"/>
  <c r="J512" i="1" s="1"/>
  <c r="J105" i="1"/>
  <c r="J106" i="1" s="1"/>
  <c r="J393" i="1"/>
  <c r="J394" i="1" s="1"/>
  <c r="J457" i="1"/>
  <c r="J458" i="1" s="1"/>
  <c r="J259" i="1"/>
  <c r="J260" i="1" s="1"/>
  <c r="J483" i="1"/>
  <c r="J484" i="1" s="1"/>
  <c r="J941" i="1"/>
  <c r="J942" i="1" s="1"/>
  <c r="J651" i="1"/>
  <c r="J652" i="1" s="1"/>
  <c r="J683" i="1"/>
  <c r="J684" i="1" s="1"/>
  <c r="J715" i="1"/>
  <c r="J716" i="1" s="1"/>
  <c r="J779" i="1"/>
  <c r="J780" i="1" s="1"/>
  <c r="J843" i="1"/>
  <c r="J844" i="1" s="1"/>
  <c r="J907" i="1"/>
  <c r="J908" i="1" s="1"/>
  <c r="J939" i="1"/>
  <c r="J940" i="1" s="1"/>
  <c r="J537" i="1"/>
  <c r="J538" i="1" s="1"/>
  <c r="J729" i="1"/>
  <c r="J730" i="1" s="1"/>
  <c r="J449" i="1"/>
  <c r="J450" i="1" s="1"/>
  <c r="J513" i="1"/>
  <c r="J514" i="1" s="1"/>
  <c r="J577" i="1"/>
  <c r="J578" i="1" s="1"/>
  <c r="J641" i="1"/>
  <c r="J642" i="1" s="1"/>
  <c r="J769" i="1"/>
  <c r="J770" i="1" s="1"/>
  <c r="J929" i="1"/>
  <c r="J930" i="1" s="1"/>
  <c r="J45" i="1"/>
  <c r="J46" i="1" s="1"/>
  <c r="J205" i="1"/>
  <c r="J206" i="1" s="1"/>
  <c r="J191" i="1"/>
  <c r="J192" i="1" s="1"/>
  <c r="J543" i="1"/>
  <c r="J544" i="1" s="1"/>
  <c r="J165" i="1"/>
  <c r="J166" i="1" s="1"/>
  <c r="K945" i="1"/>
  <c r="J707" i="1"/>
  <c r="J708" i="1" s="1"/>
  <c r="J5" i="1"/>
  <c r="J6" i="1" s="1"/>
  <c r="J935" i="1"/>
  <c r="J936" i="1" s="1"/>
  <c r="J889" i="1"/>
  <c r="J890" i="1" s="1"/>
  <c r="J667" i="1"/>
  <c r="J668" i="1" s="1"/>
  <c r="J763" i="1"/>
  <c r="J764" i="1" s="1"/>
  <c r="J221" i="1"/>
  <c r="J222" i="1" s="1"/>
  <c r="J607" i="1"/>
  <c r="J608" i="1" s="1"/>
  <c r="J639" i="1"/>
  <c r="J640" i="1" s="1"/>
  <c r="J121" i="1"/>
  <c r="J122" i="1" s="1"/>
  <c r="J521" i="1"/>
  <c r="J522" i="1" s="1"/>
  <c r="J905" i="1"/>
  <c r="J906" i="1" s="1"/>
  <c r="J415" i="1"/>
  <c r="J416" i="1" s="1"/>
  <c r="J937" i="1"/>
  <c r="J938" i="1" s="1"/>
  <c r="J541" i="1"/>
  <c r="J542" i="1" s="1"/>
  <c r="J347" i="1"/>
  <c r="J348" i="1" s="1"/>
  <c r="J633" i="1"/>
  <c r="J634" i="1" s="1"/>
  <c r="J473" i="1"/>
  <c r="J474" i="1" s="1"/>
  <c r="J825" i="1"/>
  <c r="J826" i="1" s="1"/>
  <c r="J209" i="1"/>
  <c r="J210" i="1" s="1"/>
  <c r="J337" i="1"/>
  <c r="J338" i="1" s="1"/>
  <c r="J433" i="1"/>
  <c r="J434" i="1" s="1"/>
  <c r="J465" i="1"/>
  <c r="J466" i="1" s="1"/>
  <c r="J561" i="1"/>
  <c r="J562" i="1" s="1"/>
  <c r="J657" i="1"/>
  <c r="J658" i="1" s="1"/>
  <c r="J689" i="1"/>
  <c r="J690" i="1" s="1"/>
  <c r="J785" i="1"/>
  <c r="J786" i="1" s="1"/>
  <c r="J881" i="1"/>
  <c r="J882" i="1" s="1"/>
  <c r="J913" i="1"/>
  <c r="J914" i="1" s="1"/>
  <c r="J285" i="1"/>
  <c r="J286" i="1" s="1"/>
  <c r="J445" i="1"/>
  <c r="J446" i="1" s="1"/>
  <c r="J509" i="1"/>
  <c r="J510" i="1" s="1"/>
  <c r="J573" i="1"/>
  <c r="J574" i="1" s="1"/>
  <c r="J605" i="1"/>
  <c r="J606" i="1" s="1"/>
  <c r="J637" i="1"/>
  <c r="J638" i="1" s="1"/>
  <c r="J669" i="1"/>
  <c r="J670" i="1" s="1"/>
  <c r="J797" i="1"/>
  <c r="J798" i="1" s="1"/>
  <c r="J861" i="1"/>
  <c r="J862" i="1" s="1"/>
  <c r="J767" i="1"/>
  <c r="J768" i="1" s="1"/>
  <c r="J135" i="1"/>
  <c r="J136" i="1" s="1"/>
  <c r="J743" i="1"/>
  <c r="J744" i="1" s="1"/>
  <c r="J363" i="1"/>
  <c r="J364" i="1" s="1"/>
  <c r="J15" i="1"/>
  <c r="J16" i="1" s="1"/>
  <c r="J175" i="1"/>
  <c r="J176" i="1" s="1"/>
  <c r="J207" i="1"/>
  <c r="J208" i="1" s="1"/>
  <c r="J271" i="1"/>
  <c r="J272" i="1" s="1"/>
  <c r="J303" i="1"/>
  <c r="J304" i="1" s="1"/>
  <c r="J431" i="1"/>
  <c r="J432" i="1" s="1"/>
  <c r="J463" i="1"/>
  <c r="J464" i="1" s="1"/>
  <c r="J495" i="1"/>
  <c r="J496" i="1" s="1"/>
  <c r="J623" i="1"/>
  <c r="J624" i="1" s="1"/>
  <c r="J719" i="1"/>
  <c r="J720" i="1" s="1"/>
  <c r="J751" i="1"/>
  <c r="J752" i="1" s="1"/>
  <c r="J815" i="1"/>
  <c r="J816" i="1" s="1"/>
  <c r="J39" i="1"/>
  <c r="J40" i="1" s="1"/>
  <c r="J167" i="1"/>
  <c r="J168" i="1" s="1"/>
  <c r="J47" i="1"/>
  <c r="J48" i="1" s="1"/>
  <c r="J177" i="1"/>
  <c r="J178" i="1" s="1"/>
  <c r="J497" i="1"/>
  <c r="J498" i="1" s="1"/>
  <c r="J529" i="1"/>
  <c r="J530" i="1" s="1"/>
  <c r="J593" i="1"/>
  <c r="J594" i="1" s="1"/>
  <c r="J19" i="1"/>
  <c r="J20" i="1" s="1"/>
  <c r="J115" i="1"/>
  <c r="J116" i="1" s="1"/>
  <c r="J211" i="1"/>
  <c r="J212" i="1" s="1"/>
  <c r="J403" i="1"/>
  <c r="J404" i="1" s="1"/>
  <c r="J563" i="1"/>
  <c r="J564" i="1" s="1"/>
  <c r="J691" i="1"/>
  <c r="J692" i="1" s="1"/>
  <c r="J851" i="1"/>
  <c r="J852" i="1" s="1"/>
  <c r="J915" i="1"/>
  <c r="J916" i="1" s="1"/>
  <c r="J21" i="1"/>
  <c r="J22" i="1" s="1"/>
  <c r="J245" i="1"/>
  <c r="J246" i="1" s="1"/>
  <c r="J341" i="1"/>
  <c r="J342" i="1" s="1"/>
  <c r="J373" i="1"/>
  <c r="J374" i="1" s="1"/>
  <c r="J437" i="1"/>
  <c r="J438" i="1" s="1"/>
  <c r="J533" i="1"/>
  <c r="J534" i="1" s="1"/>
  <c r="J565" i="1"/>
  <c r="J566" i="1" s="1"/>
  <c r="J757" i="1"/>
  <c r="J758" i="1" s="1"/>
  <c r="J885" i="1"/>
  <c r="J886" i="1" s="1"/>
  <c r="J281" i="1"/>
  <c r="J282" i="1" s="1"/>
  <c r="J377" i="1"/>
  <c r="J378" i="1" s="1"/>
  <c r="J441" i="1"/>
  <c r="J442" i="1" s="1"/>
  <c r="J569" i="1"/>
  <c r="J570" i="1" s="1"/>
  <c r="J761" i="1"/>
  <c r="J762" i="1" s="1"/>
  <c r="J857" i="1"/>
  <c r="J858" i="1" s="1"/>
  <c r="J91" i="1"/>
  <c r="J92" i="1" s="1"/>
  <c r="J155" i="1"/>
  <c r="J156" i="1" s="1"/>
  <c r="J187" i="1"/>
  <c r="J188" i="1" s="1"/>
  <c r="J283" i="1"/>
  <c r="J284" i="1" s="1"/>
  <c r="J411" i="1"/>
  <c r="J412" i="1" s="1"/>
  <c r="J635" i="1"/>
  <c r="J636" i="1" s="1"/>
  <c r="J699" i="1"/>
  <c r="J700" i="1" s="1"/>
  <c r="J795" i="1"/>
  <c r="J796" i="1" s="1"/>
  <c r="J827" i="1"/>
  <c r="J828" i="1" s="1"/>
  <c r="J891" i="1"/>
  <c r="J892" i="1" s="1"/>
  <c r="J29" i="1"/>
  <c r="J30" i="1" s="1"/>
  <c r="J61" i="1"/>
  <c r="J62" i="1" s="1"/>
  <c r="J783" i="1"/>
  <c r="J784" i="1" s="1"/>
  <c r="J227" i="1"/>
  <c r="J228" i="1" s="1"/>
  <c r="J387" i="1"/>
  <c r="J388" i="1" s="1"/>
  <c r="J547" i="1"/>
  <c r="J548" i="1" s="1"/>
  <c r="J579" i="1"/>
  <c r="J580" i="1" s="1"/>
  <c r="J611" i="1"/>
  <c r="J612" i="1" s="1"/>
  <c r="J643" i="1"/>
  <c r="J644" i="1" s="1"/>
  <c r="J803" i="1"/>
  <c r="J804" i="1" s="1"/>
  <c r="J101" i="1"/>
  <c r="J102" i="1" s="1"/>
  <c r="J229" i="1"/>
  <c r="J230" i="1" s="1"/>
  <c r="J357" i="1"/>
  <c r="J358" i="1" s="1"/>
  <c r="J389" i="1"/>
  <c r="J390" i="1" s="1"/>
  <c r="J901" i="1"/>
  <c r="J902" i="1" s="1"/>
  <c r="J933" i="1"/>
  <c r="J934" i="1" s="1"/>
  <c r="J107" i="1"/>
  <c r="J108" i="1" s="1"/>
  <c r="J139" i="1"/>
  <c r="J140" i="1" s="1"/>
  <c r="J203" i="1"/>
  <c r="J204" i="1" s="1"/>
  <c r="J299" i="1"/>
  <c r="J300" i="1" s="1"/>
  <c r="J13" i="1"/>
  <c r="J14" i="1" s="1"/>
  <c r="J237" i="1"/>
  <c r="J238" i="1" s="1"/>
  <c r="J461" i="1"/>
  <c r="J462" i="1" s="1"/>
  <c r="J525" i="1"/>
  <c r="J526" i="1" s="1"/>
  <c r="J557" i="1"/>
  <c r="J558" i="1" s="1"/>
  <c r="J589" i="1"/>
  <c r="J590" i="1" s="1"/>
  <c r="J621" i="1"/>
  <c r="J622" i="1" s="1"/>
  <c r="J685" i="1"/>
  <c r="J686" i="1" s="1"/>
  <c r="J717" i="1"/>
  <c r="J718" i="1" s="1"/>
  <c r="J749" i="1"/>
  <c r="J750" i="1" s="1"/>
  <c r="H945" i="1"/>
  <c r="J317" i="1"/>
  <c r="J318" i="1" s="1"/>
  <c r="J345" i="1"/>
  <c r="J346" i="1" s="1"/>
  <c r="J265" i="1"/>
  <c r="J266" i="1" s="1"/>
  <c r="J255" i="1"/>
  <c r="J256" i="1" s="1"/>
  <c r="J671" i="1"/>
  <c r="J672" i="1" s="1"/>
  <c r="J257" i="1"/>
  <c r="J258" i="1" s="1"/>
  <c r="J527" i="1"/>
  <c r="J528" i="1" s="1"/>
  <c r="J289" i="1"/>
  <c r="J290" i="1" s="1"/>
  <c r="J73" i="1"/>
  <c r="J74" i="1" s="1"/>
  <c r="J273" i="1"/>
  <c r="J274" i="1" s="1"/>
  <c r="J625" i="1"/>
  <c r="J626" i="1" s="1"/>
  <c r="J131" i="1"/>
  <c r="J132" i="1" s="1"/>
  <c r="J249" i="1"/>
  <c r="J250" i="1" s="1"/>
  <c r="J333" i="1"/>
  <c r="J334" i="1" s="1"/>
  <c r="J485" i="1"/>
  <c r="J486" i="1" s="1"/>
  <c r="J819" i="1"/>
  <c r="J820" i="1" s="1"/>
  <c r="J475" i="1"/>
  <c r="J476" i="1" s="1"/>
  <c r="J575" i="1"/>
  <c r="J576" i="1" s="1"/>
  <c r="J585" i="1"/>
  <c r="J586" i="1" s="1"/>
  <c r="J375" i="1"/>
  <c r="J376" i="1" s="1"/>
  <c r="J385" i="1"/>
  <c r="J386" i="1" s="1"/>
  <c r="J629" i="1"/>
  <c r="J630" i="1" s="1"/>
  <c r="J195" i="1"/>
  <c r="J196" i="1" s="1"/>
  <c r="J213" i="1"/>
  <c r="J214" i="1" s="1"/>
  <c r="J771" i="1"/>
  <c r="J772" i="1" s="1"/>
  <c r="J609" i="1"/>
  <c r="J610" i="1" s="1"/>
  <c r="J805" i="1"/>
  <c r="J806" i="1" s="1"/>
  <c r="J847" i="1"/>
  <c r="J848" i="1" s="1"/>
  <c r="J817" i="1"/>
  <c r="J818" i="1" s="1"/>
  <c r="J329" i="1"/>
  <c r="J330" i="1" s="1"/>
  <c r="J407" i="1"/>
  <c r="J408" i="1" s="1"/>
  <c r="J427" i="1"/>
  <c r="J428" i="1" s="1"/>
  <c r="J505" i="1"/>
  <c r="J506" i="1" s="1"/>
  <c r="J789" i="1"/>
  <c r="J790" i="1" s="1"/>
  <c r="J867" i="1"/>
  <c r="J868" i="1" s="1"/>
  <c r="J321" i="1"/>
  <c r="J322" i="1" s="1"/>
  <c r="J361" i="1"/>
  <c r="J362" i="1" s="1"/>
  <c r="J477" i="1"/>
  <c r="J478" i="1" s="1"/>
  <c r="J677" i="1"/>
  <c r="J678" i="1" s="1"/>
  <c r="J67" i="1"/>
  <c r="J68" i="1" s="1"/>
  <c r="J147" i="1"/>
  <c r="J148" i="1" s="1"/>
  <c r="J185" i="1"/>
  <c r="J186" i="1" s="1"/>
  <c r="J241" i="1"/>
  <c r="J242" i="1" s="1"/>
  <c r="J193" i="1"/>
  <c r="J194" i="1" s="1"/>
  <c r="J647" i="1"/>
  <c r="J648" i="1" s="1"/>
  <c r="J705" i="1"/>
  <c r="J706" i="1" s="1"/>
  <c r="J119" i="1"/>
  <c r="J120" i="1" s="1"/>
  <c r="J243" i="1"/>
  <c r="J244" i="1" s="1"/>
  <c r="J313" i="1"/>
  <c r="J314" i="1" s="1"/>
  <c r="J873" i="1"/>
  <c r="J874" i="1" s="1"/>
  <c r="J75" i="1"/>
  <c r="J76" i="1" s="1"/>
  <c r="J103" i="1"/>
  <c r="J104" i="1" s="1"/>
  <c r="J493" i="1"/>
  <c r="J494" i="1" s="1"/>
  <c r="J711" i="1"/>
  <c r="J712" i="1" s="1"/>
  <c r="J787" i="1"/>
  <c r="J788" i="1" s="1"/>
  <c r="J11" i="1"/>
  <c r="J12" i="1" s="1"/>
  <c r="J27" i="1"/>
  <c r="J28" i="1" s="1"/>
  <c r="I945" i="1"/>
  <c r="S945" i="1"/>
  <c r="M945" i="1"/>
  <c r="J9" i="1"/>
  <c r="J10" i="1" s="1"/>
  <c r="J25" i="1"/>
  <c r="J26" i="1" s="1"/>
  <c r="L945" i="1"/>
  <c r="N945" i="1"/>
  <c r="K946" i="1"/>
  <c r="J7" i="1"/>
  <c r="J8" i="1" s="1"/>
  <c r="J23" i="1"/>
  <c r="J24" i="1" s="1"/>
  <c r="J33" i="1"/>
  <c r="J34" i="1" s="1"/>
  <c r="J17" i="1"/>
  <c r="J18" i="1" s="1"/>
  <c r="J57" i="1"/>
  <c r="J58" i="1" s="1"/>
  <c r="J41" i="1"/>
  <c r="J42" i="1" s="1"/>
  <c r="J63" i="1"/>
  <c r="J64" i="1" s="1"/>
  <c r="J35" i="1"/>
  <c r="J36" i="1" s="1"/>
  <c r="J51" i="1"/>
  <c r="J52" i="1" s="1"/>
  <c r="J71" i="1"/>
  <c r="J72" i="1" s="1"/>
  <c r="J49" i="1"/>
  <c r="J50" i="1" s="1"/>
  <c r="J65" i="1"/>
  <c r="J66" i="1" s="1"/>
  <c r="J69" i="1"/>
  <c r="J70" i="1" s="1"/>
  <c r="J43" i="1"/>
  <c r="J44" i="1" s="1"/>
  <c r="J59" i="1"/>
  <c r="J60" i="1" s="1"/>
  <c r="J37" i="1"/>
  <c r="J38" i="1" s="1"/>
  <c r="J53" i="1"/>
  <c r="J54" i="1" s="1"/>
  <c r="J89" i="1"/>
  <c r="J90" i="1" s="1"/>
  <c r="J83" i="1"/>
  <c r="J84" i="1" s="1"/>
  <c r="J99" i="1"/>
  <c r="J100" i="1" s="1"/>
  <c r="J77" i="1"/>
  <c r="J78" i="1" s="1"/>
  <c r="J93" i="1"/>
  <c r="J94" i="1" s="1"/>
  <c r="J87" i="1"/>
  <c r="J88" i="1" s="1"/>
  <c r="J81" i="1"/>
  <c r="J82" i="1" s="1"/>
  <c r="J97" i="1"/>
  <c r="J98" i="1" s="1"/>
  <c r="J85" i="1"/>
  <c r="J86" i="1" s="1"/>
  <c r="J109" i="1"/>
  <c r="J110" i="1" s="1"/>
  <c r="J79" i="1"/>
  <c r="J80" i="1" s="1"/>
  <c r="J95" i="1"/>
  <c r="J96" i="1" s="1"/>
  <c r="J125" i="1"/>
  <c r="J126" i="1" s="1"/>
  <c r="J113" i="1"/>
  <c r="J114" i="1" s="1"/>
  <c r="J129" i="1"/>
  <c r="J130" i="1" s="1"/>
  <c r="J137" i="1"/>
  <c r="J138" i="1" s="1"/>
  <c r="J123" i="1"/>
  <c r="J124" i="1" s="1"/>
  <c r="J161" i="1"/>
  <c r="J162" i="1" s="1"/>
  <c r="J145" i="1"/>
  <c r="J146" i="1" s="1"/>
  <c r="J117" i="1"/>
  <c r="J118" i="1" s="1"/>
  <c r="J133" i="1"/>
  <c r="J134" i="1" s="1"/>
  <c r="J111" i="1"/>
  <c r="J112" i="1" s="1"/>
  <c r="J127" i="1"/>
  <c r="J128" i="1" s="1"/>
  <c r="J143" i="1"/>
  <c r="J144" i="1" s="1"/>
  <c r="J159" i="1"/>
  <c r="J160" i="1" s="1"/>
  <c r="J153" i="1"/>
  <c r="J154" i="1" s="1"/>
  <c r="J169" i="1"/>
  <c r="J170" i="1" s="1"/>
  <c r="J163" i="1"/>
  <c r="J164" i="1" s="1"/>
  <c r="J141" i="1"/>
  <c r="J142" i="1" s="1"/>
  <c r="J157" i="1"/>
  <c r="J158" i="1" s="1"/>
  <c r="J171" i="1"/>
  <c r="J172" i="1" s="1"/>
  <c r="J173" i="1"/>
  <c r="J174" i="1" s="1"/>
  <c r="J189" i="1"/>
  <c r="J190" i="1" s="1"/>
  <c r="J215" i="1"/>
  <c r="J216" i="1" s="1"/>
  <c r="J183" i="1"/>
  <c r="J184" i="1" s="1"/>
  <c r="J199" i="1"/>
  <c r="J200" i="1" s="1"/>
  <c r="J181" i="1"/>
  <c r="J182" i="1" s="1"/>
  <c r="J197" i="1"/>
  <c r="J198" i="1" s="1"/>
  <c r="J201" i="1"/>
  <c r="J202" i="1" s="1"/>
  <c r="J179" i="1"/>
  <c r="J180" i="1" s="1"/>
  <c r="J217" i="1"/>
  <c r="J218" i="1" s="1"/>
  <c r="J233" i="1"/>
  <c r="J234" i="1" s="1"/>
  <c r="J231" i="1"/>
  <c r="J232" i="1" s="1"/>
  <c r="J219" i="1"/>
  <c r="J220" i="1" s="1"/>
  <c r="J235" i="1"/>
  <c r="J236" i="1" s="1"/>
  <c r="J223" i="1"/>
  <c r="J224" i="1" s="1"/>
  <c r="J239" i="1"/>
  <c r="J240" i="1" s="1"/>
  <c r="J247" i="1"/>
  <c r="J248" i="1" s="1"/>
  <c r="J263" i="1"/>
  <c r="J264" i="1" s="1"/>
  <c r="J251" i="1"/>
  <c r="J252" i="1" s="1"/>
  <c r="J267" i="1"/>
  <c r="J268" i="1" s="1"/>
  <c r="J261" i="1"/>
  <c r="J262" i="1" s="1"/>
  <c r="J253" i="1"/>
  <c r="J254" i="1" s="1"/>
  <c r="J269" i="1"/>
  <c r="J270" i="1" s="1"/>
  <c r="J301" i="1"/>
  <c r="J302" i="1" s="1"/>
  <c r="J279" i="1"/>
  <c r="J280" i="1" s="1"/>
  <c r="J295" i="1"/>
  <c r="J296" i="1" s="1"/>
  <c r="J307" i="1"/>
  <c r="J308" i="1" s="1"/>
  <c r="J277" i="1"/>
  <c r="J278" i="1" s="1"/>
  <c r="J293" i="1"/>
  <c r="J294" i="1" s="1"/>
  <c r="J287" i="1"/>
  <c r="J288" i="1" s="1"/>
  <c r="J309" i="1"/>
  <c r="J310" i="1" s="1"/>
  <c r="J297" i="1"/>
  <c r="J298" i="1" s="1"/>
  <c r="J275" i="1"/>
  <c r="J276" i="1" s="1"/>
  <c r="J291" i="1"/>
  <c r="J292" i="1" s="1"/>
  <c r="J305" i="1"/>
  <c r="J306" i="1" s="1"/>
  <c r="J319" i="1"/>
  <c r="J320" i="1" s="1"/>
  <c r="J339" i="1"/>
  <c r="J340" i="1" s="1"/>
  <c r="J323" i="1"/>
  <c r="J324" i="1" s="1"/>
  <c r="J311" i="1"/>
  <c r="J312" i="1" s="1"/>
  <c r="J327" i="1"/>
  <c r="J328" i="1" s="1"/>
  <c r="J335" i="1"/>
  <c r="J336" i="1" s="1"/>
  <c r="J315" i="1"/>
  <c r="J316" i="1" s="1"/>
  <c r="J331" i="1"/>
  <c r="J332" i="1" s="1"/>
  <c r="J325" i="1"/>
  <c r="J326" i="1" s="1"/>
  <c r="J349" i="1"/>
  <c r="J350" i="1" s="1"/>
  <c r="J365" i="1"/>
  <c r="J366" i="1" s="1"/>
  <c r="J343" i="1"/>
  <c r="J344" i="1" s="1"/>
  <c r="J359" i="1"/>
  <c r="J360" i="1" s="1"/>
  <c r="J353" i="1"/>
  <c r="J354" i="1" s="1"/>
  <c r="J369" i="1"/>
  <c r="J370" i="1" s="1"/>
  <c r="J381" i="1"/>
  <c r="J382" i="1" s="1"/>
  <c r="J371" i="1"/>
  <c r="J372" i="1" s="1"/>
  <c r="J351" i="1"/>
  <c r="J352" i="1" s="1"/>
  <c r="J367" i="1"/>
  <c r="J368" i="1" s="1"/>
  <c r="J355" i="1"/>
  <c r="J356" i="1" s="1"/>
  <c r="J383" i="1"/>
  <c r="J384" i="1" s="1"/>
  <c r="J399" i="1"/>
  <c r="J400" i="1" s="1"/>
  <c r="J397" i="1"/>
  <c r="J398" i="1" s="1"/>
  <c r="J391" i="1"/>
  <c r="J392" i="1" s="1"/>
  <c r="J405" i="1"/>
  <c r="J406" i="1" s="1"/>
  <c r="J401" i="1"/>
  <c r="J402" i="1" s="1"/>
  <c r="J379" i="1"/>
  <c r="J380" i="1" s="1"/>
  <c r="J395" i="1"/>
  <c r="J396" i="1" s="1"/>
  <c r="J421" i="1"/>
  <c r="J422" i="1" s="1"/>
  <c r="J409" i="1"/>
  <c r="J410" i="1" s="1"/>
  <c r="J425" i="1"/>
  <c r="J426" i="1" s="1"/>
  <c r="J419" i="1"/>
  <c r="J420" i="1" s="1"/>
  <c r="J413" i="1"/>
  <c r="J414" i="1" s="1"/>
  <c r="J429" i="1"/>
  <c r="J430" i="1" s="1"/>
  <c r="J423" i="1"/>
  <c r="J424" i="1" s="1"/>
  <c r="J435" i="1"/>
  <c r="J436" i="1" s="1"/>
  <c r="J417" i="1"/>
  <c r="J418" i="1" s="1"/>
  <c r="J443" i="1"/>
  <c r="J444" i="1" s="1"/>
  <c r="J459" i="1"/>
  <c r="J460" i="1" s="1"/>
  <c r="J453" i="1"/>
  <c r="J454" i="1" s="1"/>
  <c r="J469" i="1"/>
  <c r="J470" i="1" s="1"/>
  <c r="J447" i="1"/>
  <c r="J448" i="1" s="1"/>
  <c r="J451" i="1"/>
  <c r="J452" i="1" s="1"/>
  <c r="J467" i="1"/>
  <c r="J468" i="1" s="1"/>
  <c r="J439" i="1"/>
  <c r="J440" i="1" s="1"/>
  <c r="J455" i="1"/>
  <c r="J456" i="1" s="1"/>
  <c r="J471" i="1"/>
  <c r="J472" i="1" s="1"/>
  <c r="J479" i="1"/>
  <c r="J480" i="1" s="1"/>
  <c r="J507" i="1"/>
  <c r="J508" i="1" s="1"/>
  <c r="J489" i="1"/>
  <c r="J490" i="1" s="1"/>
  <c r="J515" i="1"/>
  <c r="J516" i="1" s="1"/>
  <c r="J499" i="1"/>
  <c r="J500" i="1" s="1"/>
  <c r="J487" i="1"/>
  <c r="J488" i="1" s="1"/>
  <c r="J481" i="1"/>
  <c r="J482" i="1" s="1"/>
  <c r="J491" i="1"/>
  <c r="J492" i="1" s="1"/>
  <c r="J531" i="1"/>
  <c r="J532" i="1" s="1"/>
  <c r="J503" i="1"/>
  <c r="J504" i="1" s="1"/>
  <c r="J519" i="1"/>
  <c r="J520" i="1" s="1"/>
  <c r="J523" i="1"/>
  <c r="J524" i="1" s="1"/>
  <c r="J501" i="1"/>
  <c r="J502" i="1" s="1"/>
  <c r="J517" i="1"/>
  <c r="J518" i="1" s="1"/>
  <c r="J539" i="1"/>
  <c r="J540" i="1" s="1"/>
  <c r="J555" i="1"/>
  <c r="J556" i="1" s="1"/>
  <c r="J549" i="1"/>
  <c r="J550" i="1" s="1"/>
  <c r="J553" i="1"/>
  <c r="J554" i="1" s="1"/>
  <c r="J559" i="1"/>
  <c r="J560" i="1" s="1"/>
  <c r="J551" i="1"/>
  <c r="J552" i="1" s="1"/>
  <c r="J545" i="1"/>
  <c r="J546" i="1" s="1"/>
  <c r="J571" i="1"/>
  <c r="J572" i="1" s="1"/>
  <c r="J591" i="1"/>
  <c r="J592" i="1" s="1"/>
  <c r="J583" i="1"/>
  <c r="J584" i="1" s="1"/>
  <c r="J587" i="1"/>
  <c r="J588" i="1" s="1"/>
  <c r="J581" i="1"/>
  <c r="J582" i="1" s="1"/>
  <c r="J595" i="1"/>
  <c r="J596" i="1" s="1"/>
  <c r="J599" i="1"/>
  <c r="J600" i="1" s="1"/>
  <c r="J603" i="1"/>
  <c r="J604" i="1" s="1"/>
  <c r="J597" i="1"/>
  <c r="J598" i="1" s="1"/>
  <c r="J601" i="1"/>
  <c r="J602" i="1" s="1"/>
  <c r="J627" i="1"/>
  <c r="J628" i="1" s="1"/>
  <c r="J615" i="1"/>
  <c r="J616" i="1" s="1"/>
  <c r="J619" i="1"/>
  <c r="J620" i="1" s="1"/>
  <c r="J613" i="1"/>
  <c r="J614" i="1" s="1"/>
  <c r="J617" i="1"/>
  <c r="J618" i="1" s="1"/>
  <c r="J631" i="1"/>
  <c r="J632" i="1" s="1"/>
  <c r="J645" i="1"/>
  <c r="J646" i="1" s="1"/>
  <c r="J655" i="1"/>
  <c r="J656" i="1" s="1"/>
  <c r="J649" i="1"/>
  <c r="J650" i="1" s="1"/>
  <c r="J653" i="1"/>
  <c r="J654" i="1" s="1"/>
  <c r="J661" i="1"/>
  <c r="J662" i="1" s="1"/>
  <c r="J665" i="1"/>
  <c r="J666" i="1" s="1"/>
  <c r="J659" i="1"/>
  <c r="J660" i="1" s="1"/>
  <c r="J679" i="1"/>
  <c r="J680" i="1" s="1"/>
  <c r="J673" i="1"/>
  <c r="J674" i="1" s="1"/>
  <c r="J675" i="1"/>
  <c r="J676" i="1" s="1"/>
  <c r="J693" i="1"/>
  <c r="J694" i="1" s="1"/>
  <c r="J709" i="1"/>
  <c r="J710" i="1" s="1"/>
  <c r="J697" i="1"/>
  <c r="J698" i="1" s="1"/>
  <c r="J687" i="1"/>
  <c r="J688" i="1" s="1"/>
  <c r="J695" i="1"/>
  <c r="J696" i="1" s="1"/>
  <c r="J703" i="1"/>
  <c r="J704" i="1" s="1"/>
  <c r="J713" i="1"/>
  <c r="J714" i="1" s="1"/>
  <c r="J725" i="1"/>
  <c r="J726" i="1" s="1"/>
  <c r="J701" i="1"/>
  <c r="J702" i="1" s="1"/>
  <c r="J723" i="1"/>
  <c r="J724" i="1" s="1"/>
  <c r="J731" i="1"/>
  <c r="J732" i="1" s="1"/>
  <c r="J727" i="1"/>
  <c r="J728" i="1" s="1"/>
  <c r="J721" i="1"/>
  <c r="J722" i="1" s="1"/>
  <c r="J739" i="1"/>
  <c r="J740" i="1" s="1"/>
  <c r="J741" i="1"/>
  <c r="J742" i="1" s="1"/>
  <c r="J733" i="1"/>
  <c r="J734" i="1" s="1"/>
  <c r="J737" i="1"/>
  <c r="J738" i="1" s="1"/>
  <c r="J735" i="1"/>
  <c r="J736" i="1" s="1"/>
  <c r="J745" i="1"/>
  <c r="J746" i="1" s="1"/>
  <c r="J755" i="1"/>
  <c r="J756" i="1" s="1"/>
  <c r="J753" i="1"/>
  <c r="J754" i="1" s="1"/>
  <c r="J747" i="1"/>
  <c r="J748" i="1" s="1"/>
  <c r="J759" i="1"/>
  <c r="J760" i="1" s="1"/>
  <c r="J773" i="1"/>
  <c r="J774" i="1" s="1"/>
  <c r="J765" i="1"/>
  <c r="J766" i="1" s="1"/>
  <c r="J777" i="1"/>
  <c r="J778" i="1" s="1"/>
  <c r="J781" i="1"/>
  <c r="J782" i="1" s="1"/>
  <c r="J775" i="1"/>
  <c r="J776" i="1" s="1"/>
  <c r="J793" i="1"/>
  <c r="J794" i="1" s="1"/>
  <c r="J791" i="1"/>
  <c r="J792" i="1" s="1"/>
  <c r="J799" i="1"/>
  <c r="J800" i="1" s="1"/>
  <c r="J811" i="1"/>
  <c r="J812" i="1" s="1"/>
  <c r="J807" i="1"/>
  <c r="J808" i="1" s="1"/>
  <c r="J809" i="1"/>
  <c r="J810" i="1" s="1"/>
  <c r="J813" i="1"/>
  <c r="J814" i="1" s="1"/>
  <c r="J823" i="1"/>
  <c r="J824" i="1" s="1"/>
  <c r="J821" i="1"/>
  <c r="J822" i="1" s="1"/>
  <c r="J839" i="1"/>
  <c r="J840" i="1" s="1"/>
  <c r="J829" i="1"/>
  <c r="J830" i="1" s="1"/>
  <c r="J833" i="1"/>
  <c r="J834" i="1" s="1"/>
  <c r="J841" i="1"/>
  <c r="J842" i="1" s="1"/>
  <c r="J837" i="1"/>
  <c r="J838" i="1" s="1"/>
  <c r="J831" i="1"/>
  <c r="J832" i="1" s="1"/>
  <c r="J835" i="1"/>
  <c r="J836" i="1" s="1"/>
  <c r="J845" i="1"/>
  <c r="J846" i="1" s="1"/>
  <c r="J849" i="1"/>
  <c r="J850" i="1" s="1"/>
  <c r="J853" i="1"/>
  <c r="J854" i="1" s="1"/>
  <c r="J855" i="1"/>
  <c r="J856" i="1" s="1"/>
  <c r="J859" i="1"/>
  <c r="J860" i="1" s="1"/>
  <c r="J863" i="1"/>
  <c r="J864" i="1" s="1"/>
  <c r="J869" i="1"/>
  <c r="J870" i="1" s="1"/>
  <c r="J871" i="1"/>
  <c r="J872" i="1" s="1"/>
  <c r="J877" i="1"/>
  <c r="J878" i="1" s="1"/>
  <c r="J883" i="1"/>
  <c r="J884" i="1" s="1"/>
  <c r="J879" i="1"/>
  <c r="J880" i="1" s="1"/>
  <c r="J895" i="1"/>
  <c r="J896" i="1" s="1"/>
  <c r="J893" i="1"/>
  <c r="J894" i="1" s="1"/>
  <c r="J897" i="1"/>
  <c r="J898" i="1" s="1"/>
  <c r="J903" i="1"/>
  <c r="J904" i="1" s="1"/>
  <c r="J899" i="1"/>
  <c r="J900" i="1" s="1"/>
  <c r="J909" i="1"/>
  <c r="J910" i="1" s="1"/>
  <c r="J911" i="1"/>
  <c r="J912" i="1" s="1"/>
  <c r="J921" i="1"/>
  <c r="J922" i="1" s="1"/>
  <c r="J925" i="1"/>
  <c r="J926" i="1" s="1"/>
  <c r="J917" i="1"/>
  <c r="J918" i="1" s="1"/>
  <c r="J919" i="1"/>
  <c r="J920" i="1" s="1"/>
  <c r="J923" i="1"/>
  <c r="J924" i="1" s="1"/>
  <c r="J927" i="1"/>
  <c r="J928" i="1" s="1"/>
  <c r="J931" i="1"/>
  <c r="J932" i="1" s="1"/>
  <c r="E3" i="13" l="1"/>
  <c r="E6" i="13"/>
  <c r="E9" i="13"/>
  <c r="C5" i="13"/>
  <c r="G8" i="13" s="1"/>
  <c r="E5" i="13"/>
  <c r="C15" i="13"/>
  <c r="I949" i="1"/>
  <c r="C4" i="13"/>
  <c r="H948" i="1"/>
  <c r="S948" i="1"/>
  <c r="N948" i="1"/>
  <c r="M948" i="1"/>
  <c r="L948" i="1"/>
  <c r="K948" i="1"/>
  <c r="I948" i="1"/>
  <c r="J945" i="1"/>
  <c r="O945" i="1" l="1"/>
  <c r="E7" i="13" l="1"/>
  <c r="E10" i="13" s="1"/>
  <c r="O948" i="1"/>
  <c r="R945" i="1"/>
  <c r="R948" i="1" l="1"/>
  <c r="U945" i="1"/>
  <c r="C6" i="13"/>
  <c r="C10" i="13" s="1"/>
  <c r="V5" i="1" l="1"/>
  <c r="W5" i="1" s="1"/>
  <c r="X5" i="1" s="1"/>
  <c r="T5" i="1"/>
  <c r="V215" i="1"/>
  <c r="W215" i="1" s="1"/>
  <c r="X215" i="1" s="1"/>
  <c r="V343" i="1"/>
  <c r="W343" i="1" s="1"/>
  <c r="X343" i="1" s="1"/>
  <c r="V929" i="1"/>
  <c r="W929" i="1" s="1"/>
  <c r="X929" i="1" s="1"/>
  <c r="V539" i="1"/>
  <c r="W539" i="1" s="1"/>
  <c r="X539" i="1" s="1"/>
  <c r="V427" i="1"/>
  <c r="W427" i="1" s="1"/>
  <c r="X427" i="1" s="1"/>
  <c r="V407" i="1"/>
  <c r="W407" i="1" s="1"/>
  <c r="X407" i="1" s="1"/>
  <c r="V389" i="1"/>
  <c r="W389" i="1" s="1"/>
  <c r="X389" i="1" s="1"/>
  <c r="V305" i="1"/>
  <c r="W305" i="1" s="1"/>
  <c r="X305" i="1" s="1"/>
  <c r="V123" i="1"/>
  <c r="W123" i="1" s="1"/>
  <c r="X123" i="1" s="1"/>
  <c r="V171" i="1"/>
  <c r="W171" i="1" s="1"/>
  <c r="X171" i="1" s="1"/>
  <c r="V63" i="1"/>
  <c r="W63" i="1" s="1"/>
  <c r="X63" i="1" s="1"/>
  <c r="V631" i="1"/>
  <c r="W631" i="1" s="1"/>
  <c r="X631" i="1" s="1"/>
  <c r="V315" i="1"/>
  <c r="W315" i="1" s="1"/>
  <c r="X315" i="1" s="1"/>
  <c r="V933" i="1"/>
  <c r="W933" i="1" s="1"/>
  <c r="X933" i="1" s="1"/>
  <c r="V31" i="1"/>
  <c r="W31" i="1" s="1"/>
  <c r="X31" i="1" s="1"/>
  <c r="V199" i="1"/>
  <c r="W199" i="1" s="1"/>
  <c r="X199" i="1" s="1"/>
  <c r="V187" i="1"/>
  <c r="W187" i="1" s="1"/>
  <c r="X187" i="1" s="1"/>
  <c r="V165" i="1"/>
  <c r="W165" i="1" s="1"/>
  <c r="X165" i="1" s="1"/>
  <c r="V121" i="1"/>
  <c r="W121" i="1" s="1"/>
  <c r="X121" i="1" s="1"/>
  <c r="V681" i="1"/>
  <c r="W681" i="1" s="1"/>
  <c r="X681" i="1" s="1"/>
  <c r="V307" i="1"/>
  <c r="W307" i="1" s="1"/>
  <c r="X307" i="1" s="1"/>
  <c r="V411" i="1"/>
  <c r="W411" i="1" s="1"/>
  <c r="X411" i="1" s="1"/>
  <c r="V113" i="1"/>
  <c r="W113" i="1" s="1"/>
  <c r="X113" i="1" s="1"/>
  <c r="V633" i="1"/>
  <c r="W633" i="1" s="1"/>
  <c r="X633" i="1" s="1"/>
  <c r="V551" i="1"/>
  <c r="W551" i="1" s="1"/>
  <c r="X551" i="1" s="1"/>
  <c r="V353" i="1"/>
  <c r="W353" i="1" s="1"/>
  <c r="X353" i="1" s="1"/>
  <c r="V81" i="1"/>
  <c r="W81" i="1" s="1"/>
  <c r="X81" i="1" s="1"/>
  <c r="V541" i="1"/>
  <c r="W541" i="1" s="1"/>
  <c r="X541" i="1" s="1"/>
  <c r="T539" i="1"/>
  <c r="V97" i="1"/>
  <c r="W97" i="1" s="1"/>
  <c r="X97" i="1" s="1"/>
  <c r="V615" i="1"/>
  <c r="W615" i="1" s="1"/>
  <c r="X615" i="1" s="1"/>
  <c r="T111" i="1"/>
  <c r="T231" i="1"/>
  <c r="T407" i="1"/>
  <c r="T681" i="1"/>
  <c r="T259" i="1"/>
  <c r="T97" i="1"/>
  <c r="T925" i="1"/>
  <c r="T141" i="1"/>
  <c r="T63" i="1"/>
  <c r="T61" i="1"/>
  <c r="T865" i="1"/>
  <c r="T271" i="1"/>
  <c r="T51" i="1"/>
  <c r="T431" i="1"/>
  <c r="T123" i="1"/>
  <c r="T87" i="1"/>
  <c r="T389" i="1"/>
  <c r="T631" i="1"/>
  <c r="T273" i="1"/>
  <c r="T81" i="1"/>
  <c r="T85" i="1"/>
  <c r="T747" i="1"/>
  <c r="T585" i="1"/>
  <c r="V271" i="1"/>
  <c r="W271" i="1" s="1"/>
  <c r="X271" i="1" s="1"/>
  <c r="V51" i="1"/>
  <c r="W51" i="1" s="1"/>
  <c r="X51" i="1" s="1"/>
  <c r="T605" i="1"/>
  <c r="V865" i="1"/>
  <c r="W865" i="1" s="1"/>
  <c r="X865" i="1" s="1"/>
  <c r="T889" i="1"/>
  <c r="T349" i="1"/>
  <c r="V347" i="1"/>
  <c r="W347" i="1" s="1"/>
  <c r="X347" i="1" s="1"/>
  <c r="V85" i="1"/>
  <c r="W85" i="1" s="1"/>
  <c r="X85" i="1" s="1"/>
  <c r="V251" i="1"/>
  <c r="W251" i="1" s="1"/>
  <c r="X251" i="1" s="1"/>
  <c r="V273" i="1"/>
  <c r="W273" i="1" s="1"/>
  <c r="X273" i="1" s="1"/>
  <c r="T107" i="1"/>
  <c r="V383" i="1"/>
  <c r="W383" i="1" s="1"/>
  <c r="X383" i="1" s="1"/>
  <c r="V491" i="1"/>
  <c r="W491" i="1" s="1"/>
  <c r="X491" i="1" s="1"/>
  <c r="V467" i="1"/>
  <c r="W467" i="1" s="1"/>
  <c r="X467" i="1" s="1"/>
  <c r="T551" i="1"/>
  <c r="T75" i="1"/>
  <c r="V747" i="1"/>
  <c r="W747" i="1" s="1"/>
  <c r="X747" i="1" s="1"/>
  <c r="V585" i="1"/>
  <c r="W585" i="1" s="1"/>
  <c r="X585" i="1" s="1"/>
  <c r="V231" i="1"/>
  <c r="W231" i="1" s="1"/>
  <c r="X231" i="1" s="1"/>
  <c r="V311" i="1"/>
  <c r="W311" i="1" s="1"/>
  <c r="X311" i="1" s="1"/>
  <c r="V605" i="1"/>
  <c r="W605" i="1" s="1"/>
  <c r="X605" i="1" s="1"/>
  <c r="V351" i="1"/>
  <c r="W351" i="1" s="1"/>
  <c r="X351" i="1" s="1"/>
  <c r="V841" i="1"/>
  <c r="W841" i="1" s="1"/>
  <c r="X841" i="1" s="1"/>
  <c r="V889" i="1"/>
  <c r="W889" i="1" s="1"/>
  <c r="X889" i="1" s="1"/>
  <c r="V349" i="1"/>
  <c r="W349" i="1" s="1"/>
  <c r="X349" i="1" s="1"/>
  <c r="T347" i="1"/>
  <c r="V803" i="1"/>
  <c r="W803" i="1" s="1"/>
  <c r="X803" i="1" s="1"/>
  <c r="T679" i="1"/>
  <c r="V657" i="1"/>
  <c r="W657" i="1" s="1"/>
  <c r="X657" i="1" s="1"/>
  <c r="V679" i="1"/>
  <c r="W679" i="1" s="1"/>
  <c r="X679" i="1" s="1"/>
  <c r="V875" i="1"/>
  <c r="W875" i="1" s="1"/>
  <c r="X875" i="1" s="1"/>
  <c r="V107" i="1"/>
  <c r="W107" i="1" s="1"/>
  <c r="X107" i="1" s="1"/>
  <c r="V163" i="1"/>
  <c r="W163" i="1" s="1"/>
  <c r="X163" i="1" s="1"/>
  <c r="V327" i="1"/>
  <c r="W327" i="1" s="1"/>
  <c r="X327" i="1" s="1"/>
  <c r="T373" i="1"/>
  <c r="V755" i="1"/>
  <c r="W755" i="1" s="1"/>
  <c r="X755" i="1" s="1"/>
  <c r="T357" i="1"/>
  <c r="T383" i="1"/>
  <c r="T861" i="1"/>
  <c r="V53" i="1"/>
  <c r="W53" i="1" s="1"/>
  <c r="X53" i="1" s="1"/>
  <c r="V205" i="1"/>
  <c r="W205" i="1" s="1"/>
  <c r="X205" i="1" s="1"/>
  <c r="T657" i="1"/>
  <c r="V571" i="1"/>
  <c r="W571" i="1" s="1"/>
  <c r="X571" i="1" s="1"/>
  <c r="T931" i="1"/>
  <c r="V321" i="1"/>
  <c r="W321" i="1" s="1"/>
  <c r="X321" i="1" s="1"/>
  <c r="V373" i="1"/>
  <c r="W373" i="1" s="1"/>
  <c r="X373" i="1" s="1"/>
  <c r="V357" i="1"/>
  <c r="W357" i="1" s="1"/>
  <c r="X357" i="1" s="1"/>
  <c r="V147" i="1"/>
  <c r="W147" i="1" s="1"/>
  <c r="X147" i="1" s="1"/>
  <c r="T311" i="1"/>
  <c r="V75" i="1"/>
  <c r="W75" i="1" s="1"/>
  <c r="X75" i="1" s="1"/>
  <c r="V141" i="1"/>
  <c r="W141" i="1" s="1"/>
  <c r="X141" i="1" s="1"/>
  <c r="V431" i="1"/>
  <c r="W431" i="1" s="1"/>
  <c r="X431" i="1" s="1"/>
  <c r="V925" i="1"/>
  <c r="W925" i="1" s="1"/>
  <c r="X925" i="1" s="1"/>
  <c r="V707" i="1"/>
  <c r="W707" i="1" s="1"/>
  <c r="X707" i="1" s="1"/>
  <c r="V483" i="1"/>
  <c r="W483" i="1" s="1"/>
  <c r="X483" i="1" s="1"/>
  <c r="V87" i="1"/>
  <c r="W87" i="1" s="1"/>
  <c r="X87" i="1" s="1"/>
  <c r="V789" i="1"/>
  <c r="W789" i="1" s="1"/>
  <c r="X789" i="1" s="1"/>
  <c r="V567" i="1"/>
  <c r="W567" i="1" s="1"/>
  <c r="X567" i="1" s="1"/>
  <c r="V861" i="1"/>
  <c r="W861" i="1" s="1"/>
  <c r="X861" i="1" s="1"/>
  <c r="T53" i="1"/>
  <c r="V919" i="1"/>
  <c r="W919" i="1" s="1"/>
  <c r="X919" i="1" s="1"/>
  <c r="T71" i="1"/>
  <c r="T715" i="1"/>
  <c r="V931" i="1"/>
  <c r="W931" i="1" s="1"/>
  <c r="X931" i="1" s="1"/>
  <c r="T489" i="1"/>
  <c r="V149" i="1"/>
  <c r="W149" i="1" s="1"/>
  <c r="X149" i="1" s="1"/>
  <c r="V775" i="1"/>
  <c r="W775" i="1" s="1"/>
  <c r="X775" i="1" s="1"/>
  <c r="V367" i="1"/>
  <c r="W367" i="1" s="1"/>
  <c r="X367" i="1" s="1"/>
  <c r="V379" i="1"/>
  <c r="W379" i="1" s="1"/>
  <c r="X379" i="1" s="1"/>
  <c r="V391" i="1"/>
  <c r="W391" i="1" s="1"/>
  <c r="X391" i="1" s="1"/>
  <c r="T171" i="1"/>
  <c r="T541" i="1"/>
  <c r="V71" i="1"/>
  <c r="W71" i="1" s="1"/>
  <c r="X71" i="1" s="1"/>
  <c r="V715" i="1"/>
  <c r="W715" i="1" s="1"/>
  <c r="X715" i="1" s="1"/>
  <c r="T115" i="1"/>
  <c r="V13" i="1"/>
  <c r="W13" i="1" s="1"/>
  <c r="X13" i="1" s="1"/>
  <c r="T593" i="1"/>
  <c r="V489" i="1"/>
  <c r="W489" i="1" s="1"/>
  <c r="X489" i="1" s="1"/>
  <c r="T149" i="1"/>
  <c r="T371" i="1"/>
  <c r="V591" i="1"/>
  <c r="W591" i="1" s="1"/>
  <c r="X591" i="1" s="1"/>
  <c r="T113" i="1"/>
  <c r="T305" i="1"/>
  <c r="T875" i="1"/>
  <c r="V259" i="1"/>
  <c r="W259" i="1" s="1"/>
  <c r="X259" i="1" s="1"/>
  <c r="T319" i="1"/>
  <c r="V277" i="1"/>
  <c r="W277" i="1" s="1"/>
  <c r="X277" i="1" s="1"/>
  <c r="V133" i="1"/>
  <c r="W133" i="1" s="1"/>
  <c r="X133" i="1" s="1"/>
  <c r="V371" i="1"/>
  <c r="W371" i="1" s="1"/>
  <c r="X371" i="1" s="1"/>
  <c r="T101" i="1"/>
  <c r="V111" i="1"/>
  <c r="W111" i="1" s="1"/>
  <c r="X111" i="1" s="1"/>
  <c r="T789" i="1"/>
  <c r="T35" i="1"/>
  <c r="V195" i="1"/>
  <c r="W195" i="1" s="1"/>
  <c r="X195" i="1" s="1"/>
  <c r="T755" i="1"/>
  <c r="V115" i="1"/>
  <c r="W115" i="1" s="1"/>
  <c r="X115" i="1" s="1"/>
  <c r="V129" i="1"/>
  <c r="W129" i="1" s="1"/>
  <c r="X129" i="1" s="1"/>
  <c r="T567" i="1"/>
  <c r="V867" i="1"/>
  <c r="W867" i="1" s="1"/>
  <c r="X867" i="1" s="1"/>
  <c r="T31" i="1"/>
  <c r="V25" i="1"/>
  <c r="W25" i="1" s="1"/>
  <c r="X25" i="1" s="1"/>
  <c r="T121" i="1"/>
  <c r="T13" i="1"/>
  <c r="V593" i="1"/>
  <c r="W593" i="1" s="1"/>
  <c r="X593" i="1" s="1"/>
  <c r="T775" i="1"/>
  <c r="V855" i="1"/>
  <c r="W855" i="1" s="1"/>
  <c r="X855" i="1" s="1"/>
  <c r="T491" i="1"/>
  <c r="T257" i="1"/>
  <c r="T855" i="1"/>
  <c r="T25" i="1"/>
  <c r="V319" i="1"/>
  <c r="W319" i="1" s="1"/>
  <c r="X319" i="1" s="1"/>
  <c r="T163" i="1"/>
  <c r="T277" i="1"/>
  <c r="T129" i="1"/>
  <c r="T867" i="1"/>
  <c r="T315" i="1"/>
  <c r="T929" i="1"/>
  <c r="V257" i="1"/>
  <c r="W257" i="1" s="1"/>
  <c r="X257" i="1" s="1"/>
  <c r="T411" i="1"/>
  <c r="T571" i="1"/>
  <c r="T133" i="1"/>
  <c r="T327" i="1"/>
  <c r="T351" i="1"/>
  <c r="T321" i="1"/>
  <c r="T933" i="1"/>
  <c r="T353" i="1"/>
  <c r="V101" i="1"/>
  <c r="W101" i="1" s="1"/>
  <c r="X101" i="1" s="1"/>
  <c r="T841" i="1"/>
  <c r="T379" i="1"/>
  <c r="T617" i="1"/>
  <c r="T199" i="1"/>
  <c r="T615" i="1"/>
  <c r="V401" i="1"/>
  <c r="W401" i="1" s="1"/>
  <c r="X401" i="1" s="1"/>
  <c r="V617" i="1"/>
  <c r="W617" i="1" s="1"/>
  <c r="X617" i="1" s="1"/>
  <c r="V35" i="1"/>
  <c r="W35" i="1" s="1"/>
  <c r="X35" i="1" s="1"/>
  <c r="T187" i="1"/>
  <c r="T427" i="1"/>
  <c r="T401" i="1"/>
  <c r="T215" i="1"/>
  <c r="T245" i="1"/>
  <c r="T343" i="1"/>
  <c r="T195" i="1"/>
  <c r="T735" i="1"/>
  <c r="T503" i="1"/>
  <c r="V69" i="1"/>
  <c r="W69" i="1" s="1"/>
  <c r="X69" i="1" s="1"/>
  <c r="V827" i="1"/>
  <c r="W827" i="1" s="1"/>
  <c r="X827" i="1" s="1"/>
  <c r="V503" i="1"/>
  <c r="W503" i="1" s="1"/>
  <c r="X503" i="1" s="1"/>
  <c r="T651" i="1"/>
  <c r="T211" i="1"/>
  <c r="V245" i="1"/>
  <c r="W245" i="1" s="1"/>
  <c r="X245" i="1" s="1"/>
  <c r="V471" i="1"/>
  <c r="W471" i="1" s="1"/>
  <c r="X471" i="1" s="1"/>
  <c r="V741" i="1"/>
  <c r="W741" i="1" s="1"/>
  <c r="X741" i="1" s="1"/>
  <c r="V55" i="1"/>
  <c r="W55" i="1" s="1"/>
  <c r="X55" i="1" s="1"/>
  <c r="V811" i="1"/>
  <c r="W811" i="1" s="1"/>
  <c r="X811" i="1" s="1"/>
  <c r="T533" i="1"/>
  <c r="V651" i="1"/>
  <c r="W651" i="1" s="1"/>
  <c r="X651" i="1" s="1"/>
  <c r="V473" i="1"/>
  <c r="W473" i="1" s="1"/>
  <c r="X473" i="1" s="1"/>
  <c r="V211" i="1"/>
  <c r="W211" i="1" s="1"/>
  <c r="X211" i="1" s="1"/>
  <c r="V523" i="1"/>
  <c r="W523" i="1" s="1"/>
  <c r="X523" i="1" s="1"/>
  <c r="T561" i="1"/>
  <c r="V61" i="1"/>
  <c r="W61" i="1" s="1"/>
  <c r="X61" i="1" s="1"/>
  <c r="T165" i="1"/>
  <c r="V817" i="1"/>
  <c r="W817" i="1" s="1"/>
  <c r="X817" i="1" s="1"/>
  <c r="V533" i="1"/>
  <c r="W533" i="1" s="1"/>
  <c r="X533" i="1" s="1"/>
  <c r="V437" i="1"/>
  <c r="W437" i="1" s="1"/>
  <c r="X437" i="1" s="1"/>
  <c r="V561" i="1"/>
  <c r="W561" i="1" s="1"/>
  <c r="X561" i="1" s="1"/>
  <c r="V281" i="1"/>
  <c r="W281" i="1" s="1"/>
  <c r="X281" i="1" s="1"/>
  <c r="V465" i="1"/>
  <c r="W465" i="1" s="1"/>
  <c r="X465" i="1" s="1"/>
  <c r="V189" i="1"/>
  <c r="W189" i="1" s="1"/>
  <c r="X189" i="1" s="1"/>
  <c r="T339" i="1"/>
  <c r="V169" i="1"/>
  <c r="W169" i="1" s="1"/>
  <c r="X169" i="1" s="1"/>
  <c r="V413" i="1"/>
  <c r="W413" i="1" s="1"/>
  <c r="X413" i="1" s="1"/>
  <c r="V793" i="1"/>
  <c r="W793" i="1" s="1"/>
  <c r="X793" i="1" s="1"/>
  <c r="V735" i="1"/>
  <c r="W735" i="1" s="1"/>
  <c r="X735" i="1" s="1"/>
  <c r="T573" i="1"/>
  <c r="V705" i="1"/>
  <c r="W705" i="1" s="1"/>
  <c r="X705" i="1" s="1"/>
  <c r="V753" i="1"/>
  <c r="W753" i="1" s="1"/>
  <c r="X753" i="1" s="1"/>
  <c r="V871" i="1"/>
  <c r="W871" i="1" s="1"/>
  <c r="X871" i="1" s="1"/>
  <c r="V911" i="1"/>
  <c r="W911" i="1" s="1"/>
  <c r="X911" i="1" s="1"/>
  <c r="V241" i="1"/>
  <c r="W241" i="1" s="1"/>
  <c r="X241" i="1" s="1"/>
  <c r="V339" i="1"/>
  <c r="W339" i="1" s="1"/>
  <c r="X339" i="1" s="1"/>
  <c r="T661" i="1"/>
  <c r="T217" i="1"/>
  <c r="V545" i="1"/>
  <c r="W545" i="1" s="1"/>
  <c r="X545" i="1" s="1"/>
  <c r="T793" i="1"/>
  <c r="V849" i="1"/>
  <c r="W849" i="1" s="1"/>
  <c r="X849" i="1" s="1"/>
  <c r="V587" i="1"/>
  <c r="W587" i="1" s="1"/>
  <c r="X587" i="1" s="1"/>
  <c r="T625" i="1"/>
  <c r="V573" i="1"/>
  <c r="W573" i="1" s="1"/>
  <c r="X573" i="1" s="1"/>
  <c r="T599" i="1"/>
  <c r="V385" i="1"/>
  <c r="W385" i="1" s="1"/>
  <c r="X385" i="1" s="1"/>
  <c r="V229" i="1"/>
  <c r="W229" i="1" s="1"/>
  <c r="X229" i="1" s="1"/>
  <c r="T247" i="1"/>
  <c r="V89" i="1"/>
  <c r="W89" i="1" s="1"/>
  <c r="X89" i="1" s="1"/>
  <c r="T519" i="1"/>
  <c r="V455" i="1"/>
  <c r="W455" i="1" s="1"/>
  <c r="X455" i="1" s="1"/>
  <c r="V661" i="1"/>
  <c r="W661" i="1" s="1"/>
  <c r="X661" i="1" s="1"/>
  <c r="T451" i="1"/>
  <c r="V217" i="1"/>
  <c r="W217" i="1" s="1"/>
  <c r="X217" i="1" s="1"/>
  <c r="T325" i="1"/>
  <c r="T903" i="1"/>
  <c r="V851" i="1"/>
  <c r="W851" i="1" s="1"/>
  <c r="X851" i="1" s="1"/>
  <c r="V625" i="1"/>
  <c r="W625" i="1" s="1"/>
  <c r="X625" i="1" s="1"/>
  <c r="T563" i="1"/>
  <c r="T677" i="1"/>
  <c r="V599" i="1"/>
  <c r="W599" i="1" s="1"/>
  <c r="X599" i="1" s="1"/>
  <c r="T421" i="1"/>
  <c r="V767" i="1"/>
  <c r="W767" i="1" s="1"/>
  <c r="X767" i="1" s="1"/>
  <c r="T367" i="1"/>
  <c r="V451" i="1"/>
  <c r="W451" i="1" s="1"/>
  <c r="X451" i="1" s="1"/>
  <c r="T139" i="1"/>
  <c r="V325" i="1"/>
  <c r="W325" i="1" s="1"/>
  <c r="X325" i="1" s="1"/>
  <c r="T817" i="1"/>
  <c r="V903" i="1"/>
  <c r="W903" i="1" s="1"/>
  <c r="X903" i="1" s="1"/>
  <c r="T517" i="1"/>
  <c r="V689" i="1"/>
  <c r="W689" i="1" s="1"/>
  <c r="X689" i="1" s="1"/>
  <c r="T281" i="1"/>
  <c r="V563" i="1"/>
  <c r="W563" i="1" s="1"/>
  <c r="X563" i="1" s="1"/>
  <c r="T205" i="1"/>
  <c r="V677" i="1"/>
  <c r="W677" i="1" s="1"/>
  <c r="X677" i="1" s="1"/>
  <c r="T919" i="1"/>
  <c r="T69" i="1"/>
  <c r="T805" i="1"/>
  <c r="V805" i="1"/>
  <c r="W805" i="1" s="1"/>
  <c r="X805" i="1" s="1"/>
  <c r="T741" i="1"/>
  <c r="V421" i="1"/>
  <c r="W421" i="1" s="1"/>
  <c r="X421" i="1" s="1"/>
  <c r="V529" i="1"/>
  <c r="W529" i="1" s="1"/>
  <c r="X529" i="1" s="1"/>
  <c r="T497" i="1"/>
  <c r="T307" i="1"/>
  <c r="T143" i="1"/>
  <c r="T803" i="1"/>
  <c r="T785" i="1"/>
  <c r="T241" i="1"/>
  <c r="T633" i="1"/>
  <c r="T737" i="1"/>
  <c r="T471" i="1"/>
  <c r="T911" i="1"/>
  <c r="T475" i="1"/>
  <c r="T413" i="1"/>
  <c r="T591" i="1"/>
  <c r="T663" i="1"/>
  <c r="T483" i="1"/>
  <c r="T467" i="1"/>
  <c r="V139" i="1"/>
  <c r="W139" i="1" s="1"/>
  <c r="X139" i="1" s="1"/>
  <c r="T545" i="1"/>
  <c r="T251" i="1"/>
  <c r="T147" i="1"/>
  <c r="T169" i="1"/>
  <c r="V517" i="1"/>
  <c r="W517" i="1" s="1"/>
  <c r="X517" i="1" s="1"/>
  <c r="T827" i="1"/>
  <c r="T437" i="1"/>
  <c r="V143" i="1"/>
  <c r="W143" i="1" s="1"/>
  <c r="X143" i="1" s="1"/>
  <c r="T707" i="1"/>
  <c r="T469" i="1"/>
  <c r="T313" i="1"/>
  <c r="T445" i="1"/>
  <c r="T473" i="1"/>
  <c r="T189" i="1"/>
  <c r="T705" i="1"/>
  <c r="V497" i="1"/>
  <c r="W497" i="1" s="1"/>
  <c r="X497" i="1" s="1"/>
  <c r="V869" i="1"/>
  <c r="W869" i="1" s="1"/>
  <c r="X869" i="1" s="1"/>
  <c r="V663" i="1"/>
  <c r="W663" i="1" s="1"/>
  <c r="X663" i="1" s="1"/>
  <c r="V487" i="1"/>
  <c r="W487" i="1" s="1"/>
  <c r="X487" i="1" s="1"/>
  <c r="T303" i="1"/>
  <c r="V785" i="1"/>
  <c r="W785" i="1" s="1"/>
  <c r="X785" i="1" s="1"/>
  <c r="T635" i="1"/>
  <c r="V723" i="1"/>
  <c r="W723" i="1" s="1"/>
  <c r="X723" i="1" s="1"/>
  <c r="V907" i="1"/>
  <c r="W907" i="1" s="1"/>
  <c r="X907" i="1" s="1"/>
  <c r="V469" i="1"/>
  <c r="W469" i="1" s="1"/>
  <c r="X469" i="1" s="1"/>
  <c r="T213" i="1"/>
  <c r="V519" i="1"/>
  <c r="W519" i="1" s="1"/>
  <c r="X519" i="1" s="1"/>
  <c r="V419" i="1"/>
  <c r="W419" i="1" s="1"/>
  <c r="X419" i="1" s="1"/>
  <c r="V303" i="1"/>
  <c r="W303" i="1" s="1"/>
  <c r="X303" i="1" s="1"/>
  <c r="T915" i="1"/>
  <c r="V635" i="1"/>
  <c r="W635" i="1" s="1"/>
  <c r="X635" i="1" s="1"/>
  <c r="V649" i="1"/>
  <c r="W649" i="1" s="1"/>
  <c r="X649" i="1" s="1"/>
  <c r="V445" i="1"/>
  <c r="W445" i="1" s="1"/>
  <c r="X445" i="1" s="1"/>
  <c r="T391" i="1"/>
  <c r="V313" i="1"/>
  <c r="W313" i="1" s="1"/>
  <c r="X313" i="1" s="1"/>
  <c r="V207" i="1"/>
  <c r="W207" i="1" s="1"/>
  <c r="X207" i="1" s="1"/>
  <c r="V213" i="1"/>
  <c r="W213" i="1" s="1"/>
  <c r="X213" i="1" s="1"/>
  <c r="T729" i="1"/>
  <c r="V823" i="1"/>
  <c r="W823" i="1" s="1"/>
  <c r="X823" i="1" s="1"/>
  <c r="V609" i="1"/>
  <c r="W609" i="1" s="1"/>
  <c r="X609" i="1" s="1"/>
  <c r="V897" i="1"/>
  <c r="W897" i="1" s="1"/>
  <c r="X897" i="1" s="1"/>
  <c r="T655" i="1"/>
  <c r="V885" i="1"/>
  <c r="W885" i="1" s="1"/>
  <c r="X885" i="1" s="1"/>
  <c r="V915" i="1"/>
  <c r="W915" i="1" s="1"/>
  <c r="X915" i="1" s="1"/>
  <c r="T59" i="1"/>
  <c r="V729" i="1"/>
  <c r="W729" i="1" s="1"/>
  <c r="X729" i="1" s="1"/>
  <c r="V795" i="1"/>
  <c r="W795" i="1" s="1"/>
  <c r="X795" i="1" s="1"/>
  <c r="V359" i="1"/>
  <c r="W359" i="1" s="1"/>
  <c r="X359" i="1" s="1"/>
  <c r="V537" i="1"/>
  <c r="W537" i="1" s="1"/>
  <c r="X537" i="1" s="1"/>
  <c r="T209" i="1"/>
  <c r="V261" i="1"/>
  <c r="W261" i="1" s="1"/>
  <c r="X261" i="1" s="1"/>
  <c r="V655" i="1"/>
  <c r="W655" i="1" s="1"/>
  <c r="X655" i="1" s="1"/>
  <c r="V185" i="1"/>
  <c r="W185" i="1" s="1"/>
  <c r="X185" i="1" s="1"/>
  <c r="T461" i="1"/>
  <c r="T243" i="1"/>
  <c r="V175" i="1"/>
  <c r="W175" i="1" s="1"/>
  <c r="X175" i="1" s="1"/>
  <c r="V837" i="1"/>
  <c r="W837" i="1" s="1"/>
  <c r="X837" i="1" s="1"/>
  <c r="V59" i="1"/>
  <c r="W59" i="1" s="1"/>
  <c r="X59" i="1" s="1"/>
  <c r="V799" i="1"/>
  <c r="W799" i="1" s="1"/>
  <c r="X799" i="1" s="1"/>
  <c r="T859" i="1"/>
  <c r="V601" i="1"/>
  <c r="W601" i="1" s="1"/>
  <c r="X601" i="1" s="1"/>
  <c r="V711" i="1"/>
  <c r="W711" i="1" s="1"/>
  <c r="X711" i="1" s="1"/>
  <c r="T847" i="1"/>
  <c r="V209" i="1"/>
  <c r="W209" i="1" s="1"/>
  <c r="X209" i="1" s="1"/>
  <c r="V99" i="1"/>
  <c r="W99" i="1" s="1"/>
  <c r="X99" i="1" s="1"/>
  <c r="T439" i="1"/>
  <c r="V249" i="1"/>
  <c r="W249" i="1" s="1"/>
  <c r="X249" i="1" s="1"/>
  <c r="T83" i="1"/>
  <c r="V557" i="1"/>
  <c r="W557" i="1" s="1"/>
  <c r="X557" i="1" s="1"/>
  <c r="V461" i="1"/>
  <c r="W461" i="1" s="1"/>
  <c r="X461" i="1" s="1"/>
  <c r="V131" i="1"/>
  <c r="W131" i="1" s="1"/>
  <c r="X131" i="1" s="1"/>
  <c r="V243" i="1"/>
  <c r="W243" i="1" s="1"/>
  <c r="X243" i="1" s="1"/>
  <c r="V369" i="1"/>
  <c r="W369" i="1" s="1"/>
  <c r="X369" i="1" s="1"/>
  <c r="V859" i="1"/>
  <c r="W859" i="1" s="1"/>
  <c r="X859" i="1" s="1"/>
  <c r="V177" i="1"/>
  <c r="W177" i="1" s="1"/>
  <c r="X177" i="1" s="1"/>
  <c r="V847" i="1"/>
  <c r="W847" i="1" s="1"/>
  <c r="X847" i="1" s="1"/>
  <c r="V439" i="1"/>
  <c r="W439" i="1" s="1"/>
  <c r="X439" i="1" s="1"/>
  <c r="T799" i="1"/>
  <c r="V521" i="1"/>
  <c r="W521" i="1" s="1"/>
  <c r="X521" i="1" s="1"/>
  <c r="T331" i="1"/>
  <c r="T295" i="1"/>
  <c r="V83" i="1"/>
  <c r="W83" i="1" s="1"/>
  <c r="X83" i="1" s="1"/>
  <c r="V127" i="1"/>
  <c r="W127" i="1" s="1"/>
  <c r="X127" i="1" s="1"/>
  <c r="T529" i="1"/>
  <c r="T753" i="1"/>
  <c r="V331" i="1"/>
  <c r="W331" i="1" s="1"/>
  <c r="X331" i="1" s="1"/>
  <c r="V921" i="1"/>
  <c r="W921" i="1" s="1"/>
  <c r="X921" i="1" s="1"/>
  <c r="T359" i="1"/>
  <c r="T837" i="1"/>
  <c r="T521" i="1"/>
  <c r="T907" i="1"/>
  <c r="T485" i="1"/>
  <c r="T207" i="1"/>
  <c r="T249" i="1"/>
  <c r="T711" i="1"/>
  <c r="T261" i="1"/>
  <c r="T849" i="1"/>
  <c r="T99" i="1"/>
  <c r="T897" i="1"/>
  <c r="T89" i="1"/>
  <c r="T537" i="1"/>
  <c r="T609" i="1"/>
  <c r="T385" i="1"/>
  <c r="T823" i="1"/>
  <c r="T869" i="1"/>
  <c r="T55" i="1"/>
  <c r="T523" i="1"/>
  <c r="T185" i="1"/>
  <c r="T175" i="1"/>
  <c r="T369" i="1"/>
  <c r="T465" i="1"/>
  <c r="V737" i="1"/>
  <c r="W737" i="1" s="1"/>
  <c r="X737" i="1" s="1"/>
  <c r="T921" i="1"/>
  <c r="T229" i="1"/>
  <c r="T127" i="1"/>
  <c r="T767" i="1"/>
  <c r="V485" i="1"/>
  <c r="W485" i="1" s="1"/>
  <c r="X485" i="1" s="1"/>
  <c r="V247" i="1"/>
  <c r="W247" i="1" s="1"/>
  <c r="X247" i="1" s="1"/>
  <c r="V295" i="1"/>
  <c r="W295" i="1" s="1"/>
  <c r="X295" i="1" s="1"/>
  <c r="T811" i="1"/>
  <c r="T601" i="1"/>
  <c r="T557" i="1"/>
  <c r="V475" i="1"/>
  <c r="W475" i="1" s="1"/>
  <c r="X475" i="1" s="1"/>
  <c r="T487" i="1"/>
  <c r="T689" i="1"/>
  <c r="T885" i="1"/>
  <c r="T871" i="1"/>
  <c r="T757" i="1"/>
  <c r="T801" i="1"/>
  <c r="T749" i="1"/>
  <c r="V581" i="1"/>
  <c r="W581" i="1" s="1"/>
  <c r="X581" i="1" s="1"/>
  <c r="V429" i="1"/>
  <c r="W429" i="1" s="1"/>
  <c r="X429" i="1" s="1"/>
  <c r="T895" i="1"/>
  <c r="T733" i="1"/>
  <c r="T509" i="1"/>
  <c r="V501" i="1"/>
  <c r="W501" i="1" s="1"/>
  <c r="X501" i="1" s="1"/>
  <c r="V193" i="1"/>
  <c r="W193" i="1" s="1"/>
  <c r="X193" i="1" s="1"/>
  <c r="V381" i="1"/>
  <c r="W381" i="1" s="1"/>
  <c r="X381" i="1" s="1"/>
  <c r="V77" i="1"/>
  <c r="W77" i="1" s="1"/>
  <c r="X77" i="1" s="1"/>
  <c r="V749" i="1"/>
  <c r="W749" i="1" s="1"/>
  <c r="X749" i="1" s="1"/>
  <c r="V643" i="1"/>
  <c r="W643" i="1" s="1"/>
  <c r="X643" i="1" s="1"/>
  <c r="V783" i="1"/>
  <c r="W783" i="1" s="1"/>
  <c r="X783" i="1" s="1"/>
  <c r="V801" i="1"/>
  <c r="W801" i="1" s="1"/>
  <c r="X801" i="1" s="1"/>
  <c r="V479" i="1"/>
  <c r="W479" i="1" s="1"/>
  <c r="X479" i="1" s="1"/>
  <c r="V757" i="1"/>
  <c r="W757" i="1" s="1"/>
  <c r="X757" i="1" s="1"/>
  <c r="V825" i="1"/>
  <c r="W825" i="1" s="1"/>
  <c r="X825" i="1" s="1"/>
  <c r="V895" i="1"/>
  <c r="W895" i="1" s="1"/>
  <c r="X895" i="1" s="1"/>
  <c r="V733" i="1"/>
  <c r="W733" i="1" s="1"/>
  <c r="X733" i="1" s="1"/>
  <c r="V495" i="1"/>
  <c r="W495" i="1" s="1"/>
  <c r="X495" i="1" s="1"/>
  <c r="V509" i="1"/>
  <c r="W509" i="1" s="1"/>
  <c r="X509" i="1" s="1"/>
  <c r="T501" i="1"/>
  <c r="T647" i="1"/>
  <c r="V877" i="1"/>
  <c r="W877" i="1" s="1"/>
  <c r="X877" i="1" s="1"/>
  <c r="T745" i="1"/>
  <c r="V645" i="1"/>
  <c r="W645" i="1" s="1"/>
  <c r="X645" i="1" s="1"/>
  <c r="T761" i="1"/>
  <c r="T513" i="1"/>
  <c r="T603" i="1"/>
  <c r="V365" i="1"/>
  <c r="W365" i="1" s="1"/>
  <c r="X365" i="1" s="1"/>
  <c r="V355" i="1"/>
  <c r="W355" i="1" s="1"/>
  <c r="X355" i="1" s="1"/>
  <c r="V29" i="1"/>
  <c r="W29" i="1" s="1"/>
  <c r="X29" i="1" s="1"/>
  <c r="V105" i="1"/>
  <c r="W105" i="1" s="1"/>
  <c r="X105" i="1" s="1"/>
  <c r="V765" i="1"/>
  <c r="W765" i="1" s="1"/>
  <c r="X765" i="1" s="1"/>
  <c r="V191" i="1"/>
  <c r="W191" i="1" s="1"/>
  <c r="X191" i="1" s="1"/>
  <c r="T751" i="1"/>
  <c r="V117" i="1"/>
  <c r="W117" i="1" s="1"/>
  <c r="X117" i="1" s="1"/>
  <c r="V435" i="1"/>
  <c r="W435" i="1" s="1"/>
  <c r="X435" i="1" s="1"/>
  <c r="V409" i="1"/>
  <c r="W409" i="1" s="1"/>
  <c r="X409" i="1" s="1"/>
  <c r="V647" i="1"/>
  <c r="W647" i="1" s="1"/>
  <c r="X647" i="1" s="1"/>
  <c r="V745" i="1"/>
  <c r="W745" i="1" s="1"/>
  <c r="X745" i="1" s="1"/>
  <c r="V761" i="1"/>
  <c r="W761" i="1" s="1"/>
  <c r="X761" i="1" s="1"/>
  <c r="V181" i="1"/>
  <c r="W181" i="1" s="1"/>
  <c r="X181" i="1" s="1"/>
  <c r="V513" i="1"/>
  <c r="W513" i="1" s="1"/>
  <c r="X513" i="1" s="1"/>
  <c r="V425" i="1"/>
  <c r="W425" i="1" s="1"/>
  <c r="X425" i="1" s="1"/>
  <c r="V603" i="1"/>
  <c r="W603" i="1" s="1"/>
  <c r="X603" i="1" s="1"/>
  <c r="T227" i="1"/>
  <c r="V415" i="1"/>
  <c r="W415" i="1" s="1"/>
  <c r="X415" i="1" s="1"/>
  <c r="V393" i="1"/>
  <c r="W393" i="1" s="1"/>
  <c r="X393" i="1" s="1"/>
  <c r="V751" i="1"/>
  <c r="W751" i="1" s="1"/>
  <c r="X751" i="1" s="1"/>
  <c r="V667" i="1"/>
  <c r="W667" i="1" s="1"/>
  <c r="X667" i="1" s="1"/>
  <c r="V317" i="1"/>
  <c r="W317" i="1" s="1"/>
  <c r="X317" i="1" s="1"/>
  <c r="T833" i="1"/>
  <c r="V91" i="1"/>
  <c r="W91" i="1" s="1"/>
  <c r="X91" i="1" s="1"/>
  <c r="T771" i="1"/>
  <c r="V913" i="1"/>
  <c r="W913" i="1" s="1"/>
  <c r="X913" i="1" s="1"/>
  <c r="V227" i="1"/>
  <c r="W227" i="1" s="1"/>
  <c r="X227" i="1" s="1"/>
  <c r="V577" i="1"/>
  <c r="W577" i="1" s="1"/>
  <c r="X577" i="1" s="1"/>
  <c r="T759" i="1"/>
  <c r="V155" i="1"/>
  <c r="W155" i="1" s="1"/>
  <c r="X155" i="1" s="1"/>
  <c r="V833" i="1"/>
  <c r="W833" i="1" s="1"/>
  <c r="X833" i="1" s="1"/>
  <c r="T297" i="1"/>
  <c r="T9" i="1"/>
  <c r="T37" i="1"/>
  <c r="V771" i="1"/>
  <c r="W771" i="1" s="1"/>
  <c r="X771" i="1" s="1"/>
  <c r="V499" i="1"/>
  <c r="W499" i="1" s="1"/>
  <c r="X499" i="1" s="1"/>
  <c r="V377" i="1"/>
  <c r="W377" i="1" s="1"/>
  <c r="X377" i="1" s="1"/>
  <c r="V423" i="1"/>
  <c r="W423" i="1" s="1"/>
  <c r="X423" i="1" s="1"/>
  <c r="V759" i="1"/>
  <c r="W759" i="1" s="1"/>
  <c r="X759" i="1" s="1"/>
  <c r="T329" i="1"/>
  <c r="T151" i="1"/>
  <c r="T935" i="1"/>
  <c r="V297" i="1"/>
  <c r="W297" i="1" s="1"/>
  <c r="X297" i="1" s="1"/>
  <c r="V9" i="1"/>
  <c r="W9" i="1" s="1"/>
  <c r="X9" i="1" s="1"/>
  <c r="V37" i="1"/>
  <c r="W37" i="1" s="1"/>
  <c r="X37" i="1" s="1"/>
  <c r="V459" i="1"/>
  <c r="W459" i="1" s="1"/>
  <c r="X459" i="1" s="1"/>
  <c r="T587" i="1"/>
  <c r="V511" i="1"/>
  <c r="W511" i="1" s="1"/>
  <c r="X511" i="1" s="1"/>
  <c r="V721" i="1"/>
  <c r="W721" i="1" s="1"/>
  <c r="X721" i="1" s="1"/>
  <c r="V691" i="1"/>
  <c r="W691" i="1" s="1"/>
  <c r="X691" i="1" s="1"/>
  <c r="V531" i="1"/>
  <c r="W531" i="1" s="1"/>
  <c r="X531" i="1" s="1"/>
  <c r="T583" i="1"/>
  <c r="V699" i="1"/>
  <c r="W699" i="1" s="1"/>
  <c r="X699" i="1" s="1"/>
  <c r="V179" i="1"/>
  <c r="W179" i="1" s="1"/>
  <c r="X179" i="1" s="1"/>
  <c r="T39" i="1"/>
  <c r="T863" i="1"/>
  <c r="V589" i="1"/>
  <c r="W589" i="1" s="1"/>
  <c r="X589" i="1" s="1"/>
  <c r="V329" i="1"/>
  <c r="W329" i="1" s="1"/>
  <c r="X329" i="1" s="1"/>
  <c r="T669" i="1"/>
  <c r="V151" i="1"/>
  <c r="W151" i="1" s="1"/>
  <c r="X151" i="1" s="1"/>
  <c r="V935" i="1"/>
  <c r="W935" i="1" s="1"/>
  <c r="X935" i="1" s="1"/>
  <c r="T787" i="1"/>
  <c r="T155" i="1"/>
  <c r="T649" i="1"/>
  <c r="T691" i="1"/>
  <c r="T455" i="1"/>
  <c r="T723" i="1"/>
  <c r="V583" i="1"/>
  <c r="W583" i="1" s="1"/>
  <c r="X583" i="1" s="1"/>
  <c r="T179" i="1"/>
  <c r="T377" i="1"/>
  <c r="V481" i="1"/>
  <c r="W481" i="1" s="1"/>
  <c r="X481" i="1" s="1"/>
  <c r="T877" i="1"/>
  <c r="T511" i="1"/>
  <c r="T495" i="1"/>
  <c r="T117" i="1"/>
  <c r="T393" i="1"/>
  <c r="T105" i="1"/>
  <c r="T531" i="1"/>
  <c r="T181" i="1"/>
  <c r="T425" i="1"/>
  <c r="T423" i="1"/>
  <c r="T783" i="1"/>
  <c r="T419" i="1"/>
  <c r="T269" i="1"/>
  <c r="T77" i="1"/>
  <c r="T795" i="1"/>
  <c r="T913" i="1"/>
  <c r="T91" i="1"/>
  <c r="T643" i="1"/>
  <c r="T177" i="1"/>
  <c r="T191" i="1"/>
  <c r="T479" i="1"/>
  <c r="T459" i="1"/>
  <c r="V269" i="1"/>
  <c r="W269" i="1" s="1"/>
  <c r="X269" i="1" s="1"/>
  <c r="V863" i="1"/>
  <c r="W863" i="1" s="1"/>
  <c r="X863" i="1" s="1"/>
  <c r="T131" i="1"/>
  <c r="T721" i="1"/>
  <c r="T409" i="1"/>
  <c r="T581" i="1"/>
  <c r="T645" i="1"/>
  <c r="T29" i="1"/>
  <c r="T577" i="1"/>
  <c r="T589" i="1"/>
  <c r="T429" i="1"/>
  <c r="T765" i="1"/>
  <c r="V669" i="1"/>
  <c r="W669" i="1" s="1"/>
  <c r="X669" i="1" s="1"/>
  <c r="T851" i="1"/>
  <c r="T667" i="1"/>
  <c r="T317" i="1"/>
  <c r="V787" i="1"/>
  <c r="W787" i="1" s="1"/>
  <c r="X787" i="1" s="1"/>
  <c r="V39" i="1"/>
  <c r="W39" i="1" s="1"/>
  <c r="X39" i="1" s="1"/>
  <c r="T825" i="1"/>
  <c r="T547" i="1"/>
  <c r="T821" i="1"/>
  <c r="T713" i="1"/>
  <c r="T255" i="1"/>
  <c r="V309" i="1"/>
  <c r="W309" i="1" s="1"/>
  <c r="X309" i="1" s="1"/>
  <c r="V555" i="1"/>
  <c r="W555" i="1" s="1"/>
  <c r="X555" i="1" s="1"/>
  <c r="T857" i="1"/>
  <c r="V137" i="1"/>
  <c r="W137" i="1" s="1"/>
  <c r="X137" i="1" s="1"/>
  <c r="V239" i="1"/>
  <c r="W239" i="1" s="1"/>
  <c r="X239" i="1" s="1"/>
  <c r="V727" i="1"/>
  <c r="W727" i="1" s="1"/>
  <c r="X727" i="1" s="1"/>
  <c r="V255" i="1"/>
  <c r="W255" i="1" s="1"/>
  <c r="X255" i="1" s="1"/>
  <c r="V713" i="1"/>
  <c r="W713" i="1" s="1"/>
  <c r="X713" i="1" s="1"/>
  <c r="T161" i="1"/>
  <c r="V621" i="1"/>
  <c r="W621" i="1" s="1"/>
  <c r="X621" i="1" s="1"/>
  <c r="T201" i="1"/>
  <c r="V291" i="1"/>
  <c r="W291" i="1" s="1"/>
  <c r="X291" i="1" s="1"/>
  <c r="T253" i="1"/>
  <c r="V857" i="1"/>
  <c r="W857" i="1" s="1"/>
  <c r="X857" i="1" s="1"/>
  <c r="V275" i="1"/>
  <c r="W275" i="1" s="1"/>
  <c r="X275" i="1" s="1"/>
  <c r="V937" i="1"/>
  <c r="W937" i="1" s="1"/>
  <c r="X937" i="1" s="1"/>
  <c r="V161" i="1"/>
  <c r="W161" i="1" s="1"/>
  <c r="X161" i="1" s="1"/>
  <c r="V201" i="1"/>
  <c r="W201" i="1" s="1"/>
  <c r="X201" i="1" s="1"/>
  <c r="V23" i="1"/>
  <c r="W23" i="1" s="1"/>
  <c r="X23" i="1" s="1"/>
  <c r="V619" i="1"/>
  <c r="W619" i="1" s="1"/>
  <c r="X619" i="1" s="1"/>
  <c r="V821" i="1"/>
  <c r="W821" i="1" s="1"/>
  <c r="X821" i="1" s="1"/>
  <c r="V73" i="1"/>
  <c r="W73" i="1" s="1"/>
  <c r="X73" i="1" s="1"/>
  <c r="V299" i="1"/>
  <c r="W299" i="1" s="1"/>
  <c r="X299" i="1" s="1"/>
  <c r="V253" i="1"/>
  <c r="W253" i="1" s="1"/>
  <c r="X253" i="1" s="1"/>
  <c r="V893" i="1"/>
  <c r="W893" i="1" s="1"/>
  <c r="X893" i="1" s="1"/>
  <c r="T891" i="1"/>
  <c r="V641" i="1"/>
  <c r="W641" i="1" s="1"/>
  <c r="X641" i="1" s="1"/>
  <c r="T777" i="1"/>
  <c r="V337" i="1"/>
  <c r="W337" i="1" s="1"/>
  <c r="X337" i="1" s="1"/>
  <c r="T611" i="1"/>
  <c r="V549" i="1"/>
  <c r="W549" i="1" s="1"/>
  <c r="X549" i="1" s="1"/>
  <c r="T363" i="1"/>
  <c r="V781" i="1"/>
  <c r="W781" i="1" s="1"/>
  <c r="X781" i="1" s="1"/>
  <c r="T103" i="1"/>
  <c r="V891" i="1"/>
  <c r="W891" i="1" s="1"/>
  <c r="X891" i="1" s="1"/>
  <c r="V547" i="1"/>
  <c r="W547" i="1" s="1"/>
  <c r="X547" i="1" s="1"/>
  <c r="V579" i="1"/>
  <c r="W579" i="1" s="1"/>
  <c r="X579" i="1" s="1"/>
  <c r="V777" i="1"/>
  <c r="W777" i="1" s="1"/>
  <c r="X777" i="1" s="1"/>
  <c r="V611" i="1"/>
  <c r="W611" i="1" s="1"/>
  <c r="X611" i="1" s="1"/>
  <c r="V387" i="1"/>
  <c r="W387" i="1" s="1"/>
  <c r="X387" i="1" s="1"/>
  <c r="T265" i="1"/>
  <c r="T233" i="1"/>
  <c r="T221" i="1"/>
  <c r="V813" i="1"/>
  <c r="W813" i="1" s="1"/>
  <c r="X813" i="1" s="1"/>
  <c r="V363" i="1"/>
  <c r="W363" i="1" s="1"/>
  <c r="X363" i="1" s="1"/>
  <c r="V103" i="1"/>
  <c r="W103" i="1" s="1"/>
  <c r="X103" i="1" s="1"/>
  <c r="V939" i="1"/>
  <c r="W939" i="1" s="1"/>
  <c r="X939" i="1" s="1"/>
  <c r="V905" i="1"/>
  <c r="W905" i="1" s="1"/>
  <c r="X905" i="1" s="1"/>
  <c r="V923" i="1"/>
  <c r="W923" i="1" s="1"/>
  <c r="X923" i="1" s="1"/>
  <c r="V595" i="1"/>
  <c r="W595" i="1" s="1"/>
  <c r="X595" i="1" s="1"/>
  <c r="V33" i="1"/>
  <c r="W33" i="1" s="1"/>
  <c r="X33" i="1" s="1"/>
  <c r="T387" i="1"/>
  <c r="V265" i="1"/>
  <c r="W265" i="1" s="1"/>
  <c r="X265" i="1" s="1"/>
  <c r="V233" i="1"/>
  <c r="W233" i="1" s="1"/>
  <c r="X233" i="1" s="1"/>
  <c r="V221" i="1"/>
  <c r="W221" i="1" s="1"/>
  <c r="X221" i="1" s="1"/>
  <c r="V807" i="1"/>
  <c r="W807" i="1" s="1"/>
  <c r="X807" i="1" s="1"/>
  <c r="V709" i="1"/>
  <c r="W709" i="1" s="1"/>
  <c r="X709" i="1" s="1"/>
  <c r="V909" i="1"/>
  <c r="W909" i="1" s="1"/>
  <c r="X909" i="1" s="1"/>
  <c r="T595" i="1"/>
  <c r="V361" i="1"/>
  <c r="W361" i="1" s="1"/>
  <c r="X361" i="1" s="1"/>
  <c r="T739" i="1"/>
  <c r="V183" i="1"/>
  <c r="W183" i="1" s="1"/>
  <c r="X183" i="1" s="1"/>
  <c r="V719" i="1"/>
  <c r="W719" i="1" s="1"/>
  <c r="X719" i="1" s="1"/>
  <c r="V45" i="1"/>
  <c r="W45" i="1" s="1"/>
  <c r="X45" i="1" s="1"/>
  <c r="T375" i="1"/>
  <c r="T899" i="1"/>
  <c r="V95" i="1"/>
  <c r="W95" i="1" s="1"/>
  <c r="X95" i="1" s="1"/>
  <c r="T727" i="1"/>
  <c r="T807" i="1"/>
  <c r="T505" i="1"/>
  <c r="T639" i="1"/>
  <c r="T225" i="1"/>
  <c r="V219" i="1"/>
  <c r="W219" i="1" s="1"/>
  <c r="X219" i="1" s="1"/>
  <c r="V739" i="1"/>
  <c r="W739" i="1" s="1"/>
  <c r="X739" i="1" s="1"/>
  <c r="T183" i="1"/>
  <c r="T621" i="1"/>
  <c r="V453" i="1"/>
  <c r="W453" i="1" s="1"/>
  <c r="X453" i="1" s="1"/>
  <c r="T365" i="1"/>
  <c r="T355" i="1"/>
  <c r="T481" i="1"/>
  <c r="T415" i="1"/>
  <c r="T923" i="1"/>
  <c r="T937" i="1"/>
  <c r="T337" i="1"/>
  <c r="T909" i="1"/>
  <c r="T499" i="1"/>
  <c r="T939" i="1"/>
  <c r="T193" i="1"/>
  <c r="T299" i="1"/>
  <c r="T291" i="1"/>
  <c r="T579" i="1"/>
  <c r="T435" i="1"/>
  <c r="T781" i="1"/>
  <c r="T73" i="1"/>
  <c r="T95" i="1"/>
  <c r="V505" i="1"/>
  <c r="W505" i="1" s="1"/>
  <c r="X505" i="1" s="1"/>
  <c r="T33" i="1"/>
  <c r="V639" i="1"/>
  <c r="W639" i="1" s="1"/>
  <c r="X639" i="1" s="1"/>
  <c r="V225" i="1"/>
  <c r="W225" i="1" s="1"/>
  <c r="X225" i="1" s="1"/>
  <c r="T873" i="1"/>
  <c r="T555" i="1"/>
  <c r="T549" i="1"/>
  <c r="T219" i="1"/>
  <c r="T275" i="1"/>
  <c r="T893" i="1"/>
  <c r="T905" i="1"/>
  <c r="T627" i="1"/>
  <c r="V263" i="1"/>
  <c r="W263" i="1" s="1"/>
  <c r="X263" i="1" s="1"/>
  <c r="T641" i="1"/>
  <c r="V19" i="1"/>
  <c r="W19" i="1" s="1"/>
  <c r="X19" i="1" s="1"/>
  <c r="T449" i="1"/>
  <c r="T361" i="1"/>
  <c r="V159" i="1"/>
  <c r="W159" i="1" s="1"/>
  <c r="X159" i="1" s="1"/>
  <c r="V41" i="1"/>
  <c r="W41" i="1" s="1"/>
  <c r="X41" i="1" s="1"/>
  <c r="V703" i="1"/>
  <c r="W703" i="1" s="1"/>
  <c r="X703" i="1" s="1"/>
  <c r="V569" i="1"/>
  <c r="W569" i="1" s="1"/>
  <c r="X569" i="1" s="1"/>
  <c r="T917" i="1"/>
  <c r="V725" i="1"/>
  <c r="W725" i="1" s="1"/>
  <c r="X725" i="1" s="1"/>
  <c r="V341" i="1"/>
  <c r="W341" i="1" s="1"/>
  <c r="X341" i="1" s="1"/>
  <c r="V153" i="1"/>
  <c r="W153" i="1" s="1"/>
  <c r="X153" i="1" s="1"/>
  <c r="T683" i="1"/>
  <c r="T845" i="1"/>
  <c r="T293" i="1"/>
  <c r="V659" i="1"/>
  <c r="W659" i="1" s="1"/>
  <c r="X659" i="1" s="1"/>
  <c r="V763" i="1"/>
  <c r="W763" i="1" s="1"/>
  <c r="X763" i="1" s="1"/>
  <c r="T79" i="1"/>
  <c r="V375" i="1"/>
  <c r="W375" i="1" s="1"/>
  <c r="X375" i="1" s="1"/>
  <c r="V675" i="1"/>
  <c r="W675" i="1" s="1"/>
  <c r="X675" i="1" s="1"/>
  <c r="V873" i="1"/>
  <c r="W873" i="1" s="1"/>
  <c r="X873" i="1" s="1"/>
  <c r="V627" i="1"/>
  <c r="W627" i="1" s="1"/>
  <c r="X627" i="1" s="1"/>
  <c r="V899" i="1"/>
  <c r="W899" i="1" s="1"/>
  <c r="X899" i="1" s="1"/>
  <c r="V135" i="1"/>
  <c r="W135" i="1" s="1"/>
  <c r="X135" i="1" s="1"/>
  <c r="V815" i="1"/>
  <c r="W815" i="1" s="1"/>
  <c r="X815" i="1" s="1"/>
  <c r="V543" i="1"/>
  <c r="W543" i="1" s="1"/>
  <c r="X543" i="1" s="1"/>
  <c r="V597" i="1"/>
  <c r="W597" i="1" s="1"/>
  <c r="X597" i="1" s="1"/>
  <c r="T559" i="1"/>
  <c r="T843" i="1"/>
  <c r="T403" i="1"/>
  <c r="V441" i="1"/>
  <c r="W441" i="1" s="1"/>
  <c r="X441" i="1" s="1"/>
  <c r="V831" i="1"/>
  <c r="W831" i="1" s="1"/>
  <c r="X831" i="1" s="1"/>
  <c r="T493" i="1"/>
  <c r="V917" i="1"/>
  <c r="W917" i="1" s="1"/>
  <c r="X917" i="1" s="1"/>
  <c r="V553" i="1"/>
  <c r="W553" i="1" s="1"/>
  <c r="X553" i="1" s="1"/>
  <c r="T725" i="1"/>
  <c r="T881" i="1"/>
  <c r="T145" i="1"/>
  <c r="V879" i="1"/>
  <c r="W879" i="1" s="1"/>
  <c r="X879" i="1" s="1"/>
  <c r="V157" i="1"/>
  <c r="W157" i="1" s="1"/>
  <c r="X157" i="1" s="1"/>
  <c r="V293" i="1"/>
  <c r="W293" i="1" s="1"/>
  <c r="X293" i="1" s="1"/>
  <c r="V395" i="1"/>
  <c r="W395" i="1" s="1"/>
  <c r="X395" i="1" s="1"/>
  <c r="V11" i="1"/>
  <c r="W11" i="1" s="1"/>
  <c r="X11" i="1" s="1"/>
  <c r="V79" i="1"/>
  <c r="W79" i="1" s="1"/>
  <c r="X79" i="1" s="1"/>
  <c r="V853" i="1"/>
  <c r="W853" i="1" s="1"/>
  <c r="X853" i="1" s="1"/>
  <c r="V203" i="1"/>
  <c r="W203" i="1" s="1"/>
  <c r="X203" i="1" s="1"/>
  <c r="T457" i="1"/>
  <c r="T697" i="1"/>
  <c r="T17" i="1"/>
  <c r="T797" i="1"/>
  <c r="T543" i="1"/>
  <c r="V607" i="1"/>
  <c r="W607" i="1" s="1"/>
  <c r="X607" i="1" s="1"/>
  <c r="V559" i="1"/>
  <c r="W559" i="1" s="1"/>
  <c r="X559" i="1" s="1"/>
  <c r="V843" i="1"/>
  <c r="W843" i="1" s="1"/>
  <c r="X843" i="1" s="1"/>
  <c r="V403" i="1"/>
  <c r="W403" i="1" s="1"/>
  <c r="X403" i="1" s="1"/>
  <c r="T405" i="1"/>
  <c r="V493" i="1"/>
  <c r="W493" i="1" s="1"/>
  <c r="X493" i="1" s="1"/>
  <c r="T687" i="1"/>
  <c r="V575" i="1"/>
  <c r="W575" i="1" s="1"/>
  <c r="X575" i="1" s="1"/>
  <c r="V881" i="1"/>
  <c r="W881" i="1" s="1"/>
  <c r="X881" i="1" s="1"/>
  <c r="V145" i="1"/>
  <c r="W145" i="1" s="1"/>
  <c r="X145" i="1" s="1"/>
  <c r="T157" i="1"/>
  <c r="V515" i="1"/>
  <c r="W515" i="1" s="1"/>
  <c r="X515" i="1" s="1"/>
  <c r="V285" i="1"/>
  <c r="W285" i="1" s="1"/>
  <c r="X285" i="1" s="1"/>
  <c r="V701" i="1"/>
  <c r="W701" i="1" s="1"/>
  <c r="X701" i="1" s="1"/>
  <c r="T901" i="1"/>
  <c r="V457" i="1"/>
  <c r="W457" i="1" s="1"/>
  <c r="X457" i="1" s="1"/>
  <c r="V477" i="1"/>
  <c r="W477" i="1" s="1"/>
  <c r="X477" i="1" s="1"/>
  <c r="V697" i="1"/>
  <c r="W697" i="1" s="1"/>
  <c r="X697" i="1" s="1"/>
  <c r="V17" i="1"/>
  <c r="W17" i="1" s="1"/>
  <c r="X17" i="1" s="1"/>
  <c r="V653" i="1"/>
  <c r="W653" i="1" s="1"/>
  <c r="X653" i="1" s="1"/>
  <c r="T93" i="1"/>
  <c r="V623" i="1"/>
  <c r="W623" i="1" s="1"/>
  <c r="X623" i="1" s="1"/>
  <c r="V797" i="1"/>
  <c r="W797" i="1" s="1"/>
  <c r="X797" i="1" s="1"/>
  <c r="T335" i="1"/>
  <c r="V613" i="1"/>
  <c r="W613" i="1" s="1"/>
  <c r="X613" i="1" s="1"/>
  <c r="V223" i="1"/>
  <c r="W223" i="1" s="1"/>
  <c r="X223" i="1" s="1"/>
  <c r="V109" i="1"/>
  <c r="W109" i="1" s="1"/>
  <c r="X109" i="1" s="1"/>
  <c r="T463" i="1"/>
  <c r="V57" i="1"/>
  <c r="W57" i="1" s="1"/>
  <c r="X57" i="1" s="1"/>
  <c r="V405" i="1"/>
  <c r="W405" i="1" s="1"/>
  <c r="X405" i="1" s="1"/>
  <c r="T769" i="1"/>
  <c r="V687" i="1"/>
  <c r="W687" i="1" s="1"/>
  <c r="X687" i="1" s="1"/>
  <c r="T283" i="1"/>
  <c r="V507" i="1"/>
  <c r="W507" i="1" s="1"/>
  <c r="X507" i="1" s="1"/>
  <c r="V119" i="1"/>
  <c r="W119" i="1" s="1"/>
  <c r="X119" i="1" s="1"/>
  <c r="V173" i="1"/>
  <c r="W173" i="1" s="1"/>
  <c r="X173" i="1" s="1"/>
  <c r="T301" i="1"/>
  <c r="V901" i="1"/>
  <c r="W901" i="1" s="1"/>
  <c r="X901" i="1" s="1"/>
  <c r="V323" i="1"/>
  <c r="W323" i="1" s="1"/>
  <c r="X323" i="1" s="1"/>
  <c r="T417" i="1"/>
  <c r="V565" i="1"/>
  <c r="W565" i="1" s="1"/>
  <c r="X565" i="1" s="1"/>
  <c r="V65" i="1"/>
  <c r="W65" i="1" s="1"/>
  <c r="X65" i="1" s="1"/>
  <c r="T673" i="1"/>
  <c r="T477" i="1"/>
  <c r="V167" i="1"/>
  <c r="W167" i="1" s="1"/>
  <c r="X167" i="1" s="1"/>
  <c r="T7" i="1"/>
  <c r="V93" i="1"/>
  <c r="W93" i="1" s="1"/>
  <c r="X93" i="1" s="1"/>
  <c r="V335" i="1"/>
  <c r="W335" i="1" s="1"/>
  <c r="X335" i="1" s="1"/>
  <c r="V835" i="1"/>
  <c r="W835" i="1" s="1"/>
  <c r="X835" i="1" s="1"/>
  <c r="V447" i="1"/>
  <c r="W447" i="1" s="1"/>
  <c r="X447" i="1" s="1"/>
  <c r="V887" i="1"/>
  <c r="W887" i="1" s="1"/>
  <c r="X887" i="1" s="1"/>
  <c r="T815" i="1"/>
  <c r="V463" i="1"/>
  <c r="W463" i="1" s="1"/>
  <c r="X463" i="1" s="1"/>
  <c r="T685" i="1"/>
  <c r="V769" i="1"/>
  <c r="W769" i="1" s="1"/>
  <c r="X769" i="1" s="1"/>
  <c r="V235" i="1"/>
  <c r="W235" i="1" s="1"/>
  <c r="X235" i="1" s="1"/>
  <c r="V527" i="1"/>
  <c r="W527" i="1" s="1"/>
  <c r="X527" i="1" s="1"/>
  <c r="V283" i="1"/>
  <c r="W283" i="1" s="1"/>
  <c r="X283" i="1" s="1"/>
  <c r="V279" i="1"/>
  <c r="W279" i="1" s="1"/>
  <c r="X279" i="1" s="1"/>
  <c r="V629" i="1"/>
  <c r="W629" i="1" s="1"/>
  <c r="X629" i="1" s="1"/>
  <c r="V15" i="1"/>
  <c r="W15" i="1" s="1"/>
  <c r="X15" i="1" s="1"/>
  <c r="V301" i="1"/>
  <c r="W301" i="1" s="1"/>
  <c r="X301" i="1" s="1"/>
  <c r="V345" i="1"/>
  <c r="W345" i="1" s="1"/>
  <c r="X345" i="1" s="1"/>
  <c r="V417" i="1"/>
  <c r="W417" i="1" s="1"/>
  <c r="X417" i="1" s="1"/>
  <c r="V673" i="1"/>
  <c r="W673" i="1" s="1"/>
  <c r="X673" i="1" s="1"/>
  <c r="T167" i="1"/>
  <c r="V791" i="1"/>
  <c r="W791" i="1" s="1"/>
  <c r="X791" i="1" s="1"/>
  <c r="T695" i="1"/>
  <c r="V7" i="1"/>
  <c r="W7" i="1" s="1"/>
  <c r="X7" i="1" s="1"/>
  <c r="T47" i="1"/>
  <c r="T399" i="1"/>
  <c r="T447" i="1"/>
  <c r="T535" i="1"/>
  <c r="V731" i="1"/>
  <c r="W731" i="1" s="1"/>
  <c r="X731" i="1" s="1"/>
  <c r="T125" i="1"/>
  <c r="V433" i="1"/>
  <c r="W433" i="1" s="1"/>
  <c r="X433" i="1" s="1"/>
  <c r="V685" i="1"/>
  <c r="W685" i="1" s="1"/>
  <c r="X685" i="1" s="1"/>
  <c r="T525" i="1"/>
  <c r="V829" i="1"/>
  <c r="W829" i="1" s="1"/>
  <c r="X829" i="1" s="1"/>
  <c r="V287" i="1"/>
  <c r="W287" i="1" s="1"/>
  <c r="X287" i="1" s="1"/>
  <c r="T773" i="1"/>
  <c r="T397" i="1"/>
  <c r="V197" i="1"/>
  <c r="W197" i="1" s="1"/>
  <c r="X197" i="1" s="1"/>
  <c r="V267" i="1"/>
  <c r="W267" i="1" s="1"/>
  <c r="X267" i="1" s="1"/>
  <c r="V809" i="1"/>
  <c r="W809" i="1" s="1"/>
  <c r="X809" i="1" s="1"/>
  <c r="T21" i="1"/>
  <c r="V717" i="1"/>
  <c r="W717" i="1" s="1"/>
  <c r="X717" i="1" s="1"/>
  <c r="T345" i="1"/>
  <c r="T743" i="1"/>
  <c r="V695" i="1"/>
  <c r="W695" i="1" s="1"/>
  <c r="X695" i="1" s="1"/>
  <c r="V67" i="1"/>
  <c r="W67" i="1" s="1"/>
  <c r="X67" i="1" s="1"/>
  <c r="V883" i="1"/>
  <c r="W883" i="1" s="1"/>
  <c r="X883" i="1" s="1"/>
  <c r="V47" i="1"/>
  <c r="W47" i="1" s="1"/>
  <c r="X47" i="1" s="1"/>
  <c r="V399" i="1"/>
  <c r="W399" i="1" s="1"/>
  <c r="X399" i="1" s="1"/>
  <c r="T333" i="1"/>
  <c r="T19" i="1"/>
  <c r="T665" i="1"/>
  <c r="V535" i="1"/>
  <c r="W535" i="1" s="1"/>
  <c r="X535" i="1" s="1"/>
  <c r="T693" i="1"/>
  <c r="T675" i="1"/>
  <c r="V333" i="1"/>
  <c r="W333" i="1" s="1"/>
  <c r="X333" i="1" s="1"/>
  <c r="V125" i="1"/>
  <c r="W125" i="1" s="1"/>
  <c r="X125" i="1" s="1"/>
  <c r="V525" i="1"/>
  <c r="W525" i="1" s="1"/>
  <c r="X525" i="1" s="1"/>
  <c r="T839" i="1"/>
  <c r="V773" i="1"/>
  <c r="W773" i="1" s="1"/>
  <c r="X773" i="1" s="1"/>
  <c r="T49" i="1"/>
  <c r="V397" i="1"/>
  <c r="W397" i="1" s="1"/>
  <c r="X397" i="1" s="1"/>
  <c r="V671" i="1"/>
  <c r="W671" i="1" s="1"/>
  <c r="X671" i="1" s="1"/>
  <c r="V237" i="1"/>
  <c r="W237" i="1" s="1"/>
  <c r="X237" i="1" s="1"/>
  <c r="V779" i="1"/>
  <c r="W779" i="1" s="1"/>
  <c r="X779" i="1" s="1"/>
  <c r="T27" i="1"/>
  <c r="V21" i="1"/>
  <c r="W21" i="1" s="1"/>
  <c r="X21" i="1" s="1"/>
  <c r="T717" i="1"/>
  <c r="T515" i="1"/>
  <c r="T619" i="1"/>
  <c r="T173" i="1"/>
  <c r="V743" i="1"/>
  <c r="W743" i="1" s="1"/>
  <c r="X743" i="1" s="1"/>
  <c r="T239" i="1"/>
  <c r="V637" i="1"/>
  <c r="W637" i="1" s="1"/>
  <c r="X637" i="1" s="1"/>
  <c r="T653" i="1"/>
  <c r="V449" i="1"/>
  <c r="W449" i="1" s="1"/>
  <c r="X449" i="1" s="1"/>
  <c r="T309" i="1"/>
  <c r="T883" i="1"/>
  <c r="T553" i="1"/>
  <c r="T709" i="1"/>
  <c r="T613" i="1"/>
  <c r="T507" i="1"/>
  <c r="T791" i="1"/>
  <c r="T887" i="1"/>
  <c r="V665" i="1"/>
  <c r="W665" i="1" s="1"/>
  <c r="X665" i="1" s="1"/>
  <c r="V693" i="1"/>
  <c r="W693" i="1" s="1"/>
  <c r="X693" i="1" s="1"/>
  <c r="V819" i="1"/>
  <c r="W819" i="1" s="1"/>
  <c r="X819" i="1" s="1"/>
  <c r="T287" i="1"/>
  <c r="T11" i="1"/>
  <c r="T575" i="1"/>
  <c r="T853" i="1"/>
  <c r="T629" i="1"/>
  <c r="T719" i="1"/>
  <c r="T831" i="1"/>
  <c r="T927" i="1"/>
  <c r="T395" i="1"/>
  <c r="T137" i="1"/>
  <c r="T323" i="1"/>
  <c r="T699" i="1"/>
  <c r="T623" i="1"/>
  <c r="T45" i="1"/>
  <c r="T203" i="1"/>
  <c r="T433" i="1"/>
  <c r="T57" i="1"/>
  <c r="T223" i="1"/>
  <c r="T441" i="1"/>
  <c r="T41" i="1"/>
  <c r="T565" i="1"/>
  <c r="T159" i="1"/>
  <c r="T65" i="1"/>
  <c r="T779" i="1"/>
  <c r="T263" i="1"/>
  <c r="T381" i="1"/>
  <c r="T15" i="1"/>
  <c r="T637" i="1"/>
  <c r="T701" i="1"/>
  <c r="T109" i="1"/>
  <c r="T703" i="1"/>
  <c r="T813" i="1"/>
  <c r="T453" i="1"/>
  <c r="T809" i="1"/>
  <c r="T597" i="1"/>
  <c r="T829" i="1"/>
  <c r="T569" i="1"/>
  <c r="T235" i="1"/>
  <c r="T67" i="1"/>
  <c r="T527" i="1"/>
  <c r="V839" i="1"/>
  <c r="W839" i="1" s="1"/>
  <c r="X839" i="1" s="1"/>
  <c r="T43" i="1"/>
  <c r="V49" i="1"/>
  <c r="W49" i="1" s="1"/>
  <c r="X49" i="1" s="1"/>
  <c r="T341" i="1"/>
  <c r="T879" i="1"/>
  <c r="V43" i="1"/>
  <c r="W43" i="1" s="1"/>
  <c r="X43" i="1" s="1"/>
  <c r="T279" i="1"/>
  <c r="T267" i="1"/>
  <c r="T23" i="1"/>
  <c r="T197" i="1"/>
  <c r="T671" i="1"/>
  <c r="T285" i="1"/>
  <c r="T153" i="1"/>
  <c r="V683" i="1"/>
  <c r="W683" i="1" s="1"/>
  <c r="X683" i="1" s="1"/>
  <c r="V845" i="1"/>
  <c r="W845" i="1" s="1"/>
  <c r="X845" i="1" s="1"/>
  <c r="T607" i="1"/>
  <c r="T237" i="1"/>
  <c r="T835" i="1"/>
  <c r="T819" i="1"/>
  <c r="T731" i="1"/>
  <c r="T289" i="1"/>
  <c r="T443" i="1"/>
  <c r="T119" i="1"/>
  <c r="T135" i="1"/>
  <c r="V289" i="1"/>
  <c r="W289" i="1" s="1"/>
  <c r="X289" i="1" s="1"/>
  <c r="V927" i="1"/>
  <c r="W927" i="1" s="1"/>
  <c r="X927" i="1" s="1"/>
  <c r="V443" i="1"/>
  <c r="W443" i="1" s="1"/>
  <c r="X443" i="1" s="1"/>
  <c r="V27" i="1"/>
  <c r="W27" i="1" s="1"/>
  <c r="X27" i="1" s="1"/>
  <c r="T659" i="1"/>
  <c r="T763" i="1"/>
  <c r="V941" i="1"/>
  <c r="W941" i="1" s="1"/>
  <c r="X941" i="1" s="1"/>
  <c r="J946" i="1"/>
  <c r="T941" i="1"/>
  <c r="J949" i="1" l="1"/>
  <c r="C16" i="13"/>
  <c r="R946" i="1"/>
  <c r="S946" i="1"/>
  <c r="P946" i="1"/>
  <c r="O946" i="1"/>
  <c r="L946" i="1"/>
  <c r="N946" i="1"/>
  <c r="M946" i="1"/>
  <c r="Q946" i="1"/>
  <c r="E17" i="13" l="1"/>
  <c r="K8" i="19" s="1"/>
  <c r="G8" i="19" s="1"/>
  <c r="E15" i="13"/>
  <c r="K6" i="19" s="1"/>
  <c r="G6" i="19" s="1"/>
  <c r="E16" i="13"/>
  <c r="K7" i="19" s="1"/>
  <c r="G7" i="19" s="1"/>
  <c r="C19" i="13"/>
  <c r="C20" i="13" s="1"/>
  <c r="E14" i="13"/>
  <c r="E13" i="13"/>
  <c r="E19" i="13"/>
  <c r="K5" i="19" s="1"/>
  <c r="G5" i="19" s="1"/>
  <c r="U946" i="1"/>
  <c r="E20" i="13" l="1"/>
  <c r="F20"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hideomim</author>
    <author>山田 芳弘</author>
  </authors>
  <commentList>
    <comment ref="C63" authorId="0" shapeId="0" xr:uid="{00000000-0006-0000-0200-000001000000}">
      <text>
        <r>
          <rPr>
            <sz val="9"/>
            <color indexed="81"/>
            <rFont val="ＭＳ Ｐゴシック"/>
            <family val="3"/>
            <charset val="128"/>
          </rPr>
          <t>16HI植</t>
        </r>
      </text>
    </comment>
    <comment ref="C105" authorId="0" shapeId="0" xr:uid="{00000000-0006-0000-0200-000002000000}">
      <text>
        <r>
          <rPr>
            <sz val="9"/>
            <color indexed="81"/>
            <rFont val="ＭＳ Ｐゴシック"/>
            <family val="3"/>
            <charset val="128"/>
          </rPr>
          <t>17R植</t>
        </r>
      </text>
    </comment>
    <comment ref="C111" authorId="0" shapeId="0" xr:uid="{00000000-0006-0000-0200-000003000000}">
      <text>
        <r>
          <rPr>
            <sz val="9"/>
            <color indexed="81"/>
            <rFont val="ＭＳ Ｐゴシック"/>
            <family val="3"/>
            <charset val="128"/>
          </rPr>
          <t>17HI植</t>
        </r>
      </text>
    </comment>
    <comment ref="C113" authorId="0" shapeId="0" xr:uid="{00000000-0006-0000-0200-000004000000}">
      <text>
        <r>
          <rPr>
            <sz val="9"/>
            <color indexed="81"/>
            <rFont val="ＭＳ Ｐゴシック"/>
            <family val="3"/>
            <charset val="128"/>
          </rPr>
          <t>17HI植ﾆ</t>
        </r>
      </text>
    </comment>
    <comment ref="C137" authorId="0" shapeId="0" xr:uid="{00000000-0006-0000-0200-000005000000}">
      <text>
        <r>
          <rPr>
            <sz val="9"/>
            <color indexed="81"/>
            <rFont val="ＭＳ Ｐゴシック"/>
            <family val="3"/>
            <charset val="128"/>
          </rPr>
          <t>18R植物</t>
        </r>
      </text>
    </comment>
    <comment ref="C197" authorId="0" shapeId="0" xr:uid="{00000000-0006-0000-0200-000006000000}">
      <text>
        <r>
          <rPr>
            <sz val="9"/>
            <color indexed="81"/>
            <rFont val="ＭＳ Ｐゴシック"/>
            <family val="3"/>
            <charset val="128"/>
          </rPr>
          <t>20R植</t>
        </r>
      </text>
    </comment>
    <comment ref="C245" authorId="0" shapeId="0" xr:uid="{00000000-0006-0000-0200-000007000000}">
      <text>
        <r>
          <rPr>
            <sz val="9"/>
            <color indexed="81"/>
            <rFont val="ＭＳ Ｐゴシック"/>
            <family val="3"/>
            <charset val="128"/>
          </rPr>
          <t>23R植</t>
        </r>
      </text>
    </comment>
    <comment ref="C261" authorId="0" shapeId="0" xr:uid="{00000000-0006-0000-0200-000008000000}">
      <text>
        <r>
          <rPr>
            <sz val="9"/>
            <color indexed="81"/>
            <rFont val="ＭＳ Ｐゴシック"/>
            <family val="3"/>
            <charset val="128"/>
          </rPr>
          <t>24R植</t>
        </r>
      </text>
    </comment>
    <comment ref="C277" authorId="0" shapeId="0" xr:uid="{00000000-0006-0000-0200-000009000000}">
      <text>
        <r>
          <rPr>
            <sz val="9"/>
            <color indexed="81"/>
            <rFont val="ＭＳ Ｐゴシック"/>
            <family val="3"/>
            <charset val="128"/>
          </rPr>
          <t>26R植</t>
        </r>
      </text>
    </comment>
    <comment ref="C289" authorId="0" shapeId="0" xr:uid="{00000000-0006-0000-0200-00000A000000}">
      <text>
        <r>
          <rPr>
            <sz val="9"/>
            <color indexed="81"/>
            <rFont val="ＭＳ Ｐゴシック"/>
            <family val="3"/>
            <charset val="128"/>
          </rPr>
          <t>27R植</t>
        </r>
      </text>
    </comment>
    <comment ref="C301" authorId="0" shapeId="0" xr:uid="{00000000-0006-0000-0200-00000B000000}">
      <text>
        <r>
          <rPr>
            <sz val="9"/>
            <color indexed="81"/>
            <rFont val="ＭＳ Ｐゴシック"/>
            <family val="3"/>
            <charset val="128"/>
          </rPr>
          <t>28R植</t>
        </r>
      </text>
    </comment>
    <comment ref="C315" authorId="0" shapeId="0" xr:uid="{00000000-0006-0000-0200-00000C000000}">
      <text>
        <r>
          <rPr>
            <sz val="9"/>
            <color indexed="81"/>
            <rFont val="ＭＳ Ｐゴシック"/>
            <family val="3"/>
            <charset val="128"/>
          </rPr>
          <t>29R植</t>
        </r>
      </text>
    </comment>
    <comment ref="C339" authorId="0" shapeId="0" xr:uid="{00000000-0006-0000-0200-00000D000000}">
      <text>
        <r>
          <rPr>
            <sz val="9"/>
            <color indexed="81"/>
            <rFont val="ＭＳ Ｐゴシック"/>
            <family val="3"/>
            <charset val="128"/>
          </rPr>
          <t>33R植</t>
        </r>
      </text>
    </comment>
    <comment ref="V539" authorId="1" shapeId="0" xr:uid="{00000000-0006-0000-0200-00000E000000}">
      <text>
        <r>
          <rPr>
            <b/>
            <sz val="9"/>
            <color indexed="81"/>
            <rFont val="ＭＳ Ｐゴシック"/>
            <family val="3"/>
            <charset val="128"/>
          </rPr>
          <t>山田 芳弘:</t>
        </r>
        <r>
          <rPr>
            <sz val="9"/>
            <color indexed="81"/>
            <rFont val="ＭＳ Ｐゴシック"/>
            <family val="3"/>
            <charset val="128"/>
          </rPr>
          <t xml:space="preserve">
著しく高いので数式変更</t>
        </r>
      </text>
    </comment>
    <comment ref="C551" authorId="0" shapeId="0" xr:uid="{00000000-0006-0000-0200-00000F000000}">
      <text>
        <r>
          <rPr>
            <sz val="9"/>
            <color indexed="81"/>
            <rFont val="ＭＳ Ｐゴシック"/>
            <family val="3"/>
            <charset val="128"/>
          </rPr>
          <t>P(研究用)</t>
        </r>
      </text>
    </comment>
    <comment ref="C553" authorId="0" shapeId="0" xr:uid="{00000000-0006-0000-0200-000010000000}">
      <text>
        <r>
          <rPr>
            <sz val="9"/>
            <color indexed="81"/>
            <rFont val="ＭＳ Ｐゴシック"/>
            <family val="3"/>
            <charset val="128"/>
          </rPr>
          <t>P'</t>
        </r>
      </text>
    </comment>
    <comment ref="V559" authorId="1" shapeId="0" xr:uid="{00000000-0006-0000-0200-000011000000}">
      <text>
        <r>
          <rPr>
            <b/>
            <sz val="9"/>
            <color indexed="81"/>
            <rFont val="ＭＳ Ｐゴシック"/>
            <family val="3"/>
            <charset val="128"/>
          </rPr>
          <t>山田 芳弘:</t>
        </r>
        <r>
          <rPr>
            <sz val="9"/>
            <color indexed="81"/>
            <rFont val="ＭＳ Ｐゴシック"/>
            <family val="3"/>
            <charset val="128"/>
          </rPr>
          <t xml:space="preserve">
著しく高いので数式変更</t>
        </r>
      </text>
    </comment>
    <comment ref="C577" authorId="0" shapeId="0" xr:uid="{00000000-0006-0000-0200-000012000000}">
      <text>
        <r>
          <rPr>
            <sz val="9"/>
            <color indexed="81"/>
            <rFont val="ＭＳ Ｐゴシック"/>
            <family val="3"/>
            <charset val="128"/>
          </rPr>
          <t>植</t>
        </r>
      </text>
    </comment>
    <comment ref="V577" authorId="1" shapeId="0" xr:uid="{00000000-0006-0000-0200-000013000000}">
      <text>
        <r>
          <rPr>
            <b/>
            <sz val="9"/>
            <color indexed="81"/>
            <rFont val="ＭＳ Ｐゴシック"/>
            <family val="3"/>
            <charset val="128"/>
          </rPr>
          <t>山田 芳弘:</t>
        </r>
        <r>
          <rPr>
            <sz val="9"/>
            <color indexed="81"/>
            <rFont val="ＭＳ Ｐゴシック"/>
            <family val="3"/>
            <charset val="128"/>
          </rPr>
          <t xml:space="preserve">
著しく高いので数式変更</t>
        </r>
      </text>
    </comment>
    <comment ref="C581" authorId="0" shapeId="0" xr:uid="{00000000-0006-0000-0200-000014000000}">
      <text>
        <r>
          <rPr>
            <sz val="9"/>
            <color indexed="81"/>
            <rFont val="ＭＳ Ｐゴシック"/>
            <family val="3"/>
            <charset val="128"/>
          </rPr>
          <t>植17</t>
        </r>
      </text>
    </comment>
    <comment ref="V583" authorId="1" shapeId="0" xr:uid="{00000000-0006-0000-0200-000015000000}">
      <text>
        <r>
          <rPr>
            <b/>
            <sz val="9"/>
            <color indexed="81"/>
            <rFont val="ＭＳ Ｐゴシック"/>
            <family val="3"/>
            <charset val="128"/>
          </rPr>
          <t>山田 芳弘:</t>
        </r>
        <r>
          <rPr>
            <sz val="9"/>
            <color indexed="81"/>
            <rFont val="ＭＳ Ｐゴシック"/>
            <family val="3"/>
            <charset val="128"/>
          </rPr>
          <t xml:space="preserve">
著しく高いので数式変更</t>
        </r>
      </text>
    </comment>
    <comment ref="C585" authorId="0" shapeId="0" xr:uid="{00000000-0006-0000-0200-000016000000}">
      <text>
        <r>
          <rPr>
            <sz val="9"/>
            <color indexed="81"/>
            <rFont val="ＭＳ Ｐゴシック"/>
            <family val="3"/>
            <charset val="128"/>
          </rPr>
          <t>Rﾆﾈﾊ</t>
        </r>
      </text>
    </comment>
    <comment ref="C587" authorId="0" shapeId="0" xr:uid="{00000000-0006-0000-0200-000017000000}">
      <text>
        <r>
          <rPr>
            <sz val="9"/>
            <color indexed="81"/>
            <rFont val="ＭＳ Ｐゴシック"/>
            <family val="3"/>
            <charset val="128"/>
          </rPr>
          <t>23-80</t>
        </r>
      </text>
    </comment>
    <comment ref="V591" authorId="1" shapeId="0" xr:uid="{00000000-0006-0000-0200-000018000000}">
      <text>
        <r>
          <rPr>
            <b/>
            <sz val="9"/>
            <color indexed="81"/>
            <rFont val="ＭＳ Ｐゴシック"/>
            <family val="3"/>
            <charset val="128"/>
          </rPr>
          <t>山田 芳弘:</t>
        </r>
        <r>
          <rPr>
            <sz val="9"/>
            <color indexed="81"/>
            <rFont val="ＭＳ Ｐゴシック"/>
            <family val="3"/>
            <charset val="128"/>
          </rPr>
          <t xml:space="preserve">
著しく高いので数式変更</t>
        </r>
      </text>
    </comment>
    <comment ref="V703" authorId="1" shapeId="0" xr:uid="{00000000-0006-0000-0200-000019000000}">
      <text>
        <r>
          <rPr>
            <b/>
            <sz val="9"/>
            <color indexed="81"/>
            <rFont val="ＭＳ Ｐゴシック"/>
            <family val="3"/>
            <charset val="128"/>
          </rPr>
          <t>山田 芳弘:</t>
        </r>
        <r>
          <rPr>
            <sz val="9"/>
            <color indexed="81"/>
            <rFont val="ＭＳ Ｐゴシック"/>
            <family val="3"/>
            <charset val="128"/>
          </rPr>
          <t xml:space="preserve">
著しく高いので数式変更</t>
        </r>
      </text>
    </comment>
    <comment ref="C791" authorId="0" shapeId="0" xr:uid="{00000000-0006-0000-0200-00001A000000}">
      <text>
        <r>
          <rPr>
            <sz val="9"/>
            <color indexed="81"/>
            <rFont val="ＭＳ Ｐゴシック"/>
            <family val="3"/>
            <charset val="128"/>
          </rPr>
          <t>一途A</t>
        </r>
      </text>
    </comment>
    <comment ref="C793" authorId="0" shapeId="0" xr:uid="{00000000-0006-0000-0200-00001B000000}">
      <text>
        <r>
          <rPr>
            <sz val="9"/>
            <color indexed="81"/>
            <rFont val="ＭＳ Ｐゴシック"/>
            <family val="3"/>
            <charset val="128"/>
          </rPr>
          <t>一途B</t>
        </r>
      </text>
    </comment>
    <comment ref="C795" authorId="0" shapeId="0" xr:uid="{00000000-0006-0000-0200-00001C000000}">
      <text>
        <r>
          <rPr>
            <sz val="9"/>
            <color indexed="81"/>
            <rFont val="ＭＳ Ｐゴシック"/>
            <family val="3"/>
            <charset val="128"/>
          </rPr>
          <t>一途C</t>
        </r>
      </text>
    </comment>
    <comment ref="C797" authorId="0" shapeId="0" xr:uid="{00000000-0006-0000-0200-00001D000000}">
      <text>
        <r>
          <rPr>
            <sz val="9"/>
            <color indexed="81"/>
            <rFont val="ＭＳ Ｐゴシック"/>
            <family val="3"/>
            <charset val="128"/>
          </rPr>
          <t>海苔用</t>
        </r>
      </text>
    </comment>
    <comment ref="C799" authorId="0" shapeId="0" xr:uid="{00000000-0006-0000-0200-00001E000000}">
      <text>
        <r>
          <rPr>
            <sz val="9"/>
            <color indexed="81"/>
            <rFont val="ＭＳ Ｐゴシック"/>
            <family val="3"/>
            <charset val="128"/>
          </rPr>
          <t>よもぎA</t>
        </r>
      </text>
    </comment>
    <comment ref="C801" authorId="0" shapeId="0" xr:uid="{00000000-0006-0000-0200-00001F000000}">
      <text>
        <r>
          <rPr>
            <sz val="9"/>
            <color indexed="81"/>
            <rFont val="ＭＳ Ｐゴシック"/>
            <family val="3"/>
            <charset val="128"/>
          </rPr>
          <t>よもぎB</t>
        </r>
      </text>
    </comment>
    <comment ref="C803" authorId="0" shapeId="0" xr:uid="{00000000-0006-0000-0200-000020000000}">
      <text>
        <r>
          <rPr>
            <sz val="9"/>
            <color indexed="81"/>
            <rFont val="ＭＳ Ｐゴシック"/>
            <family val="3"/>
            <charset val="128"/>
          </rPr>
          <t>よもぎC</t>
        </r>
      </text>
    </comment>
    <comment ref="C805" authorId="0" shapeId="0" xr:uid="{00000000-0006-0000-0200-000021000000}">
      <text>
        <r>
          <rPr>
            <sz val="9"/>
            <color indexed="81"/>
            <rFont val="ＭＳ Ｐゴシック"/>
            <family val="3"/>
            <charset val="128"/>
          </rPr>
          <t>植A</t>
        </r>
      </text>
    </comment>
    <comment ref="C807" authorId="0" shapeId="0" xr:uid="{00000000-0006-0000-0200-000022000000}">
      <text>
        <r>
          <rPr>
            <sz val="9"/>
            <color indexed="81"/>
            <rFont val="ＭＳ Ｐゴシック"/>
            <family val="3"/>
            <charset val="128"/>
          </rPr>
          <t>植B</t>
        </r>
      </text>
    </comment>
    <comment ref="C809" authorId="0" shapeId="0" xr:uid="{00000000-0006-0000-0200-000023000000}">
      <text>
        <r>
          <rPr>
            <sz val="9"/>
            <color indexed="81"/>
            <rFont val="ＭＳ Ｐゴシック"/>
            <family val="3"/>
            <charset val="128"/>
          </rPr>
          <t>有価物</t>
        </r>
      </text>
    </comment>
    <comment ref="C811" authorId="0" shapeId="0" xr:uid="{00000000-0006-0000-0200-000024000000}">
      <text>
        <r>
          <rPr>
            <sz val="9"/>
            <color indexed="81"/>
            <rFont val="ＭＳ Ｐゴシック"/>
            <family val="3"/>
            <charset val="128"/>
          </rPr>
          <t>製品充填機残量</t>
        </r>
      </text>
    </comment>
    <comment ref="C813" authorId="0" shapeId="0" xr:uid="{00000000-0006-0000-0200-000025000000}">
      <text>
        <r>
          <rPr>
            <sz val="9"/>
            <color indexed="81"/>
            <rFont val="ＭＳ Ｐゴシック"/>
            <family val="3"/>
            <charset val="128"/>
          </rPr>
          <t>16HI圧搾液</t>
        </r>
      </text>
    </comment>
    <comment ref="C815" authorId="0" shapeId="0" xr:uid="{00000000-0006-0000-0200-000026000000}">
      <text>
        <r>
          <rPr>
            <sz val="9"/>
            <color indexed="81"/>
            <rFont val="ＭＳ Ｐゴシック"/>
            <family val="3"/>
            <charset val="128"/>
          </rPr>
          <t>16HIﾊﾟ圧搾液</t>
        </r>
      </text>
    </comment>
    <comment ref="C817" authorId="0" shapeId="0" xr:uid="{00000000-0006-0000-0200-000027000000}">
      <text>
        <r>
          <rPr>
            <sz val="9"/>
            <color indexed="81"/>
            <rFont val="ＭＳ Ｐゴシック"/>
            <family val="3"/>
            <charset val="128"/>
          </rPr>
          <t>17R圧搾液</t>
        </r>
      </text>
    </comment>
    <comment ref="C819" authorId="0" shapeId="0" xr:uid="{00000000-0006-0000-0200-000028000000}">
      <text>
        <r>
          <rPr>
            <sz val="9"/>
            <color indexed="81"/>
            <rFont val="ＭＳ Ｐゴシック"/>
            <family val="3"/>
            <charset val="128"/>
          </rPr>
          <t>17圧液BA</t>
        </r>
      </text>
    </comment>
    <comment ref="C821" authorId="0" shapeId="0" xr:uid="{00000000-0006-0000-0200-000029000000}">
      <text>
        <r>
          <rPr>
            <sz val="9"/>
            <color indexed="81"/>
            <rFont val="ＭＳ Ｐゴシック"/>
            <family val="3"/>
            <charset val="128"/>
          </rPr>
          <t>圧液YA</t>
        </r>
      </text>
    </comment>
    <comment ref="C823" authorId="0" shapeId="0" xr:uid="{00000000-0006-0000-0200-00002A000000}">
      <text>
        <r>
          <rPr>
            <sz val="9"/>
            <color indexed="81"/>
            <rFont val="ＭＳ Ｐゴシック"/>
            <family val="3"/>
            <charset val="128"/>
          </rPr>
          <t>18R圧搾液</t>
        </r>
      </text>
    </comment>
    <comment ref="C825" authorId="0" shapeId="0" xr:uid="{00000000-0006-0000-0200-00002B000000}">
      <text>
        <r>
          <rPr>
            <sz val="9"/>
            <color indexed="81"/>
            <rFont val="ＭＳ Ｐゴシック"/>
            <family val="3"/>
            <charset val="128"/>
          </rPr>
          <t>20圧液P</t>
        </r>
      </text>
    </comment>
    <comment ref="C827" authorId="0" shapeId="0" xr:uid="{00000000-0006-0000-0200-00002C000000}">
      <text>
        <r>
          <rPr>
            <sz val="9"/>
            <color indexed="81"/>
            <rFont val="ＭＳ Ｐゴシック"/>
            <family val="3"/>
            <charset val="128"/>
          </rPr>
          <t>20圧液PA</t>
        </r>
      </text>
    </comment>
    <comment ref="C833" authorId="0" shapeId="0" xr:uid="{00000000-0006-0000-0200-00002D000000}">
      <text>
        <r>
          <rPr>
            <sz val="9"/>
            <color indexed="81"/>
            <rFont val="ＭＳ Ｐゴシック"/>
            <family val="3"/>
            <charset val="128"/>
          </rPr>
          <t>Cﾗﾝｸ</t>
        </r>
      </text>
    </comment>
    <comment ref="C835" authorId="0" shapeId="0" xr:uid="{00000000-0006-0000-0200-00002E000000}">
      <text>
        <r>
          <rPr>
            <sz val="9"/>
            <color indexed="81"/>
            <rFont val="ＭＳ Ｐゴシック"/>
            <family val="3"/>
            <charset val="128"/>
          </rPr>
          <t>Eﾗﾝｸ</t>
        </r>
      </text>
    </comment>
    <comment ref="C837" authorId="0" shapeId="0" xr:uid="{00000000-0006-0000-0200-00002F000000}">
      <text>
        <r>
          <rPr>
            <sz val="9"/>
            <color indexed="81"/>
            <rFont val="ＭＳ Ｐゴシック"/>
            <family val="3"/>
            <charset val="128"/>
          </rPr>
          <t>Rﾗﾝｸ</t>
        </r>
      </text>
    </comment>
    <comment ref="C839" authorId="0" shapeId="0" xr:uid="{00000000-0006-0000-0200-000030000000}">
      <text>
        <r>
          <rPr>
            <sz val="9"/>
            <color indexed="81"/>
            <rFont val="ＭＳ Ｐゴシック"/>
            <family val="3"/>
            <charset val="128"/>
          </rPr>
          <t>特例Aﾗﾝｸ</t>
        </r>
      </text>
    </comment>
    <comment ref="C841" authorId="0" shapeId="0" xr:uid="{00000000-0006-0000-0200-000031000000}">
      <text>
        <r>
          <rPr>
            <sz val="9"/>
            <color indexed="81"/>
            <rFont val="ＭＳ Ｐゴシック"/>
            <family val="3"/>
            <charset val="128"/>
          </rPr>
          <t>特例Rﾗﾝｸ</t>
        </r>
      </text>
    </comment>
  </commentList>
</comments>
</file>

<file path=xl/sharedStrings.xml><?xml version="1.0" encoding="utf-8"?>
<sst xmlns="http://schemas.openxmlformats.org/spreadsheetml/2006/main" count="6066" uniqueCount="1746">
  <si>
    <t>第38期 仕掛品(製造課)</t>
    <rPh sb="0" eb="1">
      <t>ダイ</t>
    </rPh>
    <rPh sb="3" eb="4">
      <t>キ</t>
    </rPh>
    <rPh sb="5" eb="7">
      <t>シカカリ</t>
    </rPh>
    <rPh sb="7" eb="8">
      <t>ヒン</t>
    </rPh>
    <rPh sb="9" eb="11">
      <t>セイゾウ</t>
    </rPh>
    <rPh sb="11" eb="12">
      <t>カ</t>
    </rPh>
    <phoneticPr fontId="4"/>
  </si>
  <si>
    <t>第38期　原液単位原価</t>
    <rPh sb="0" eb="1">
      <t>ダイ</t>
    </rPh>
    <rPh sb="3" eb="4">
      <t>キ</t>
    </rPh>
    <rPh sb="5" eb="7">
      <t>ゲンエキ</t>
    </rPh>
    <rPh sb="7" eb="9">
      <t>タンイ</t>
    </rPh>
    <rPh sb="9" eb="11">
      <t>ゲンカ</t>
    </rPh>
    <phoneticPr fontId="4"/>
  </si>
  <si>
    <t>年度</t>
    <rPh sb="0" eb="2">
      <t>ネンド</t>
    </rPh>
    <phoneticPr fontId="4"/>
  </si>
  <si>
    <t>番手</t>
    <rPh sb="0" eb="2">
      <t>バンテ</t>
    </rPh>
    <phoneticPr fontId="4"/>
  </si>
  <si>
    <t>種類</t>
    <rPh sb="0" eb="2">
      <t>シュルイ</t>
    </rPh>
    <phoneticPr fontId="4"/>
  </si>
  <si>
    <t>期首棚卸</t>
    <rPh sb="0" eb="2">
      <t>キシュ</t>
    </rPh>
    <rPh sb="2" eb="4">
      <t>タナオロシ</t>
    </rPh>
    <phoneticPr fontId="4"/>
  </si>
  <si>
    <t>原材料</t>
    <rPh sb="0" eb="1">
      <t>ゲン</t>
    </rPh>
    <rPh sb="1" eb="3">
      <t>ザイリョウ</t>
    </rPh>
    <phoneticPr fontId="4"/>
  </si>
  <si>
    <t>労務費</t>
    <rPh sb="0" eb="3">
      <t>ロウムヒ</t>
    </rPh>
    <phoneticPr fontId="4"/>
  </si>
  <si>
    <t>経費</t>
    <rPh sb="0" eb="2">
      <t>ケイヒ</t>
    </rPh>
    <phoneticPr fontId="4"/>
  </si>
  <si>
    <t>前工程費</t>
    <rPh sb="0" eb="3">
      <t>ゼンコウテイ</t>
    </rPh>
    <rPh sb="3" eb="4">
      <t>ヒ</t>
    </rPh>
    <phoneticPr fontId="4"/>
  </si>
  <si>
    <t>完成品</t>
    <rPh sb="0" eb="3">
      <t>カンセイヒン</t>
    </rPh>
    <phoneticPr fontId="4"/>
  </si>
  <si>
    <t>研究費</t>
    <rPh sb="0" eb="3">
      <t>ケンキュウヒ</t>
    </rPh>
    <phoneticPr fontId="4"/>
  </si>
  <si>
    <t>販促費</t>
    <rPh sb="0" eb="2">
      <t>ハンソク</t>
    </rPh>
    <rPh sb="2" eb="3">
      <t>ヒ</t>
    </rPh>
    <phoneticPr fontId="4"/>
  </si>
  <si>
    <t>廃棄処分</t>
    <rPh sb="0" eb="2">
      <t>ハイキ</t>
    </rPh>
    <rPh sb="2" eb="4">
      <t>ショブン</t>
    </rPh>
    <phoneticPr fontId="4"/>
  </si>
  <si>
    <t>製造部</t>
    <rPh sb="0" eb="3">
      <t>セイゾウブ</t>
    </rPh>
    <phoneticPr fontId="4"/>
  </si>
  <si>
    <t>期末棚卸</t>
    <rPh sb="0" eb="2">
      <t>キマツ</t>
    </rPh>
    <rPh sb="2" eb="4">
      <t>タナオロシ</t>
    </rPh>
    <phoneticPr fontId="4"/>
  </si>
  <si>
    <t>原液名</t>
    <rPh sb="0" eb="2">
      <t>ゲンエキ</t>
    </rPh>
    <rPh sb="2" eb="3">
      <t>メイ</t>
    </rPh>
    <phoneticPr fontId="4"/>
  </si>
  <si>
    <t>1ℓ当たりの</t>
    <rPh sb="2" eb="3">
      <t>ア</t>
    </rPh>
    <phoneticPr fontId="4"/>
  </si>
  <si>
    <t>1㎏当たりの</t>
    <rPh sb="2" eb="3">
      <t>ア</t>
    </rPh>
    <phoneticPr fontId="4"/>
  </si>
  <si>
    <t>1g当たりの</t>
    <rPh sb="2" eb="3">
      <t>ア</t>
    </rPh>
    <phoneticPr fontId="4"/>
  </si>
  <si>
    <t>15HIB海</t>
  </si>
  <si>
    <t>15HIﾆﾊﾟ</t>
    <phoneticPr fontId="4"/>
  </si>
  <si>
    <t>15R海</t>
  </si>
  <si>
    <t>16HIｸ</t>
    <phoneticPr fontId="4"/>
  </si>
  <si>
    <t>16R海</t>
    <rPh sb="3" eb="4">
      <t>ウミ</t>
    </rPh>
    <phoneticPr fontId="4"/>
  </si>
  <si>
    <t>16RAﾊﾟ</t>
    <phoneticPr fontId="4"/>
  </si>
  <si>
    <r>
      <t>1</t>
    </r>
    <r>
      <rPr>
        <sz val="11"/>
        <color theme="1"/>
        <rFont val="游ゴシック"/>
        <family val="2"/>
        <charset val="128"/>
        <scheme val="minor"/>
      </rPr>
      <t>6RXP</t>
    </r>
    <phoneticPr fontId="4"/>
  </si>
  <si>
    <t>16HI海</t>
    <rPh sb="4" eb="5">
      <t>ウミ</t>
    </rPh>
    <phoneticPr fontId="4"/>
  </si>
  <si>
    <t>16G</t>
  </si>
  <si>
    <t>17Rﾊﾟ</t>
    <phoneticPr fontId="4"/>
  </si>
  <si>
    <t>17Rﾊﾟ海</t>
    <rPh sb="5" eb="6">
      <t>ウミ</t>
    </rPh>
    <phoneticPr fontId="4"/>
  </si>
  <si>
    <t>17HIﾊﾟ</t>
  </si>
  <si>
    <t>17HIﾊﾟB海</t>
  </si>
  <si>
    <r>
      <t>1</t>
    </r>
    <r>
      <rPr>
        <sz val="11"/>
        <color theme="1"/>
        <rFont val="游ゴシック"/>
        <family val="2"/>
        <charset val="128"/>
        <scheme val="minor"/>
      </rPr>
      <t>7HIｼ</t>
    </r>
    <phoneticPr fontId="4"/>
  </si>
  <si>
    <r>
      <t>1</t>
    </r>
    <r>
      <rPr>
        <sz val="11"/>
        <color theme="1"/>
        <rFont val="游ゴシック"/>
        <family val="2"/>
        <charset val="128"/>
        <scheme val="minor"/>
      </rPr>
      <t>7HIAｼ</t>
    </r>
    <phoneticPr fontId="4"/>
  </si>
  <si>
    <t>17HIX</t>
    <phoneticPr fontId="4"/>
  </si>
  <si>
    <t>18G</t>
  </si>
  <si>
    <t>18GA</t>
  </si>
  <si>
    <t>18Rﾊﾟ</t>
    <phoneticPr fontId="4"/>
  </si>
  <si>
    <t>18HI</t>
    <phoneticPr fontId="4"/>
  </si>
  <si>
    <t>18HIﾊﾟ</t>
    <phoneticPr fontId="4"/>
  </si>
  <si>
    <t>18HI39Rﾘ</t>
  </si>
  <si>
    <t>18HIA</t>
    <phoneticPr fontId="4"/>
  </si>
  <si>
    <t>18HIﾊﾟ海</t>
  </si>
  <si>
    <t>18HIB</t>
  </si>
  <si>
    <t>18RBｶﾘﾝ</t>
    <phoneticPr fontId="4"/>
  </si>
  <si>
    <t>19R</t>
    <phoneticPr fontId="4"/>
  </si>
  <si>
    <t>19Rﾊﾟ</t>
    <phoneticPr fontId="4"/>
  </si>
  <si>
    <t>19R海</t>
    <rPh sb="3" eb="4">
      <t>ウミ</t>
    </rPh>
    <phoneticPr fontId="4"/>
  </si>
  <si>
    <t>19RB海</t>
    <rPh sb="4" eb="5">
      <t>ウミ</t>
    </rPh>
    <phoneticPr fontId="4"/>
  </si>
  <si>
    <t>19Rｶﾘﾝ</t>
    <phoneticPr fontId="4"/>
  </si>
  <si>
    <t>19RAｶﾘﾝ</t>
    <phoneticPr fontId="4"/>
  </si>
  <si>
    <t>19G</t>
    <phoneticPr fontId="4"/>
  </si>
  <si>
    <t>19GA</t>
    <phoneticPr fontId="4"/>
  </si>
  <si>
    <t>19HIB</t>
    <phoneticPr fontId="4"/>
  </si>
  <si>
    <t>19HI海</t>
    <rPh sb="4" eb="5">
      <t>ウミ</t>
    </rPh>
    <phoneticPr fontId="4"/>
  </si>
  <si>
    <t>19HIﾊﾟ</t>
    <phoneticPr fontId="4"/>
  </si>
  <si>
    <t>20R海</t>
    <rPh sb="3" eb="4">
      <t>ウミ</t>
    </rPh>
    <phoneticPr fontId="4"/>
  </si>
  <si>
    <t>20RX</t>
    <phoneticPr fontId="4"/>
  </si>
  <si>
    <t>20HIA</t>
    <phoneticPr fontId="4"/>
  </si>
  <si>
    <t>20HIB</t>
    <phoneticPr fontId="4"/>
  </si>
  <si>
    <t>20HIｼ</t>
    <phoneticPr fontId="4"/>
  </si>
  <si>
    <t>20HIﾊﾟ</t>
    <phoneticPr fontId="4"/>
  </si>
  <si>
    <t>20HI海</t>
    <rPh sb="4" eb="5">
      <t>ウミ</t>
    </rPh>
    <phoneticPr fontId="4"/>
  </si>
  <si>
    <t>21Rﾊﾟ</t>
  </si>
  <si>
    <t>21HI</t>
  </si>
  <si>
    <t>21HI海</t>
    <rPh sb="4" eb="5">
      <t>ウミ</t>
    </rPh>
    <phoneticPr fontId="4"/>
  </si>
  <si>
    <t>21HIﾊﾟ</t>
    <phoneticPr fontId="4"/>
  </si>
  <si>
    <t>22HI</t>
    <phoneticPr fontId="4"/>
  </si>
  <si>
    <t>22HIﾊﾟ</t>
    <phoneticPr fontId="4"/>
  </si>
  <si>
    <t>22Rﾊﾟ</t>
    <phoneticPr fontId="4"/>
  </si>
  <si>
    <t>22Rｼ</t>
    <phoneticPr fontId="4"/>
  </si>
  <si>
    <t>22RA</t>
    <phoneticPr fontId="4"/>
  </si>
  <si>
    <t>22RX</t>
    <phoneticPr fontId="4"/>
  </si>
  <si>
    <t>23HIA</t>
  </si>
  <si>
    <t>23RX</t>
    <phoneticPr fontId="4"/>
  </si>
  <si>
    <t>24RAｼ</t>
    <phoneticPr fontId="4"/>
  </si>
  <si>
    <t>24RX</t>
    <phoneticPr fontId="4"/>
  </si>
  <si>
    <t>25RAﾊﾟ</t>
    <phoneticPr fontId="4"/>
  </si>
  <si>
    <t>25RﾊﾟB</t>
    <phoneticPr fontId="4"/>
  </si>
  <si>
    <t>25R</t>
  </si>
  <si>
    <t>26RX</t>
    <phoneticPr fontId="4"/>
  </si>
  <si>
    <t>27Rｼ</t>
    <phoneticPr fontId="4"/>
  </si>
  <si>
    <r>
      <t>2</t>
    </r>
    <r>
      <rPr>
        <sz val="11"/>
        <color theme="1"/>
        <rFont val="游ゴシック"/>
        <family val="2"/>
        <charset val="128"/>
        <scheme val="minor"/>
      </rPr>
      <t>8RA</t>
    </r>
    <phoneticPr fontId="4"/>
  </si>
  <si>
    <t>29R</t>
    <phoneticPr fontId="4"/>
  </si>
  <si>
    <t>29RA</t>
    <phoneticPr fontId="4"/>
  </si>
  <si>
    <t>27RAｼ</t>
    <phoneticPr fontId="4"/>
  </si>
  <si>
    <t>29RX</t>
    <phoneticPr fontId="4"/>
  </si>
  <si>
    <t>29畜</t>
  </si>
  <si>
    <t>31RAｼ</t>
    <phoneticPr fontId="4"/>
  </si>
  <si>
    <t>33R</t>
  </si>
  <si>
    <t>33RX</t>
    <phoneticPr fontId="4"/>
  </si>
  <si>
    <t>34R</t>
  </si>
  <si>
    <t>34Rｼ</t>
  </si>
  <si>
    <t>35R</t>
  </si>
  <si>
    <t>36R</t>
  </si>
  <si>
    <t>36R海</t>
    <rPh sb="3" eb="4">
      <t>ウミ</t>
    </rPh>
    <phoneticPr fontId="4"/>
  </si>
  <si>
    <t>36RB海</t>
    <rPh sb="4" eb="5">
      <t>ウミ</t>
    </rPh>
    <phoneticPr fontId="4"/>
  </si>
  <si>
    <t>37R</t>
  </si>
  <si>
    <t>37R海</t>
    <rPh sb="3" eb="4">
      <t>ウミ</t>
    </rPh>
    <phoneticPr fontId="4"/>
  </si>
  <si>
    <t>37RB海</t>
    <rPh sb="4" eb="5">
      <t>ウミ</t>
    </rPh>
    <phoneticPr fontId="4"/>
  </si>
  <si>
    <t>38B</t>
  </si>
  <si>
    <t>38O</t>
  </si>
  <si>
    <t>38R</t>
  </si>
  <si>
    <t>38Rｼ</t>
  </si>
  <si>
    <t>38R畜</t>
  </si>
  <si>
    <t>16RﾊﾟB</t>
    <phoneticPr fontId="4"/>
  </si>
  <si>
    <t>16HIB</t>
    <phoneticPr fontId="4"/>
  </si>
  <si>
    <t>16HIﾊﾟB</t>
    <phoneticPr fontId="4"/>
  </si>
  <si>
    <t>SPB</t>
    <phoneticPr fontId="4"/>
  </si>
  <si>
    <t>17HIB</t>
    <phoneticPr fontId="4"/>
  </si>
  <si>
    <t>BLB</t>
    <phoneticPr fontId="4"/>
  </si>
  <si>
    <t>231B</t>
    <phoneticPr fontId="4"/>
  </si>
  <si>
    <t>18RB</t>
    <phoneticPr fontId="4"/>
  </si>
  <si>
    <t>赤No.18RB</t>
    <rPh sb="0" eb="1">
      <t>アカ</t>
    </rPh>
    <phoneticPr fontId="4"/>
  </si>
  <si>
    <t>19RB</t>
    <phoneticPr fontId="4"/>
  </si>
  <si>
    <t>20RB</t>
    <phoneticPr fontId="4"/>
  </si>
  <si>
    <t>20RB海</t>
    <rPh sb="4" eb="5">
      <t>ウミ</t>
    </rPh>
    <phoneticPr fontId="4"/>
  </si>
  <si>
    <t>22RB</t>
    <phoneticPr fontId="4"/>
  </si>
  <si>
    <t>29RB</t>
    <phoneticPr fontId="4"/>
  </si>
  <si>
    <t>30RB</t>
    <phoneticPr fontId="4"/>
  </si>
  <si>
    <t>20畜産用</t>
    <rPh sb="2" eb="4">
      <t>チクサン</t>
    </rPh>
    <rPh sb="4" eb="5">
      <t>ヨウ</t>
    </rPh>
    <phoneticPr fontId="4"/>
  </si>
  <si>
    <t>29R田B</t>
    <rPh sb="3" eb="4">
      <t>タ</t>
    </rPh>
    <phoneticPr fontId="4"/>
  </si>
  <si>
    <t>B</t>
    <phoneticPr fontId="4"/>
  </si>
  <si>
    <t>C</t>
    <phoneticPr fontId="4"/>
  </si>
  <si>
    <t>D</t>
    <phoneticPr fontId="4"/>
  </si>
  <si>
    <t>E</t>
    <phoneticPr fontId="4"/>
  </si>
  <si>
    <t>H</t>
    <phoneticPr fontId="4"/>
  </si>
  <si>
    <t>HIR</t>
  </si>
  <si>
    <t>HIE</t>
    <phoneticPr fontId="4"/>
  </si>
  <si>
    <t>HIEA</t>
    <phoneticPr fontId="4"/>
  </si>
  <si>
    <t>J</t>
    <phoneticPr fontId="4"/>
  </si>
  <si>
    <t>O</t>
    <phoneticPr fontId="4"/>
  </si>
  <si>
    <t>P</t>
    <phoneticPr fontId="4"/>
  </si>
  <si>
    <t>P1</t>
    <phoneticPr fontId="4"/>
  </si>
  <si>
    <t>PL</t>
    <phoneticPr fontId="4"/>
  </si>
  <si>
    <t>Q</t>
    <phoneticPr fontId="4"/>
  </si>
  <si>
    <t>T</t>
    <phoneticPr fontId="4"/>
  </si>
  <si>
    <t>W</t>
    <phoneticPr fontId="4"/>
  </si>
  <si>
    <t>Y</t>
    <phoneticPr fontId="4"/>
  </si>
  <si>
    <t>Z</t>
    <phoneticPr fontId="4"/>
  </si>
  <si>
    <t>X</t>
    <phoneticPr fontId="4"/>
  </si>
  <si>
    <t>X（ﾐｬﾝﾏｰ）</t>
    <phoneticPr fontId="4"/>
  </si>
  <si>
    <t>XM</t>
    <phoneticPr fontId="4"/>
  </si>
  <si>
    <t>X17</t>
    <phoneticPr fontId="4"/>
  </si>
  <si>
    <t>KNN</t>
    <phoneticPr fontId="4"/>
  </si>
  <si>
    <t>KYA</t>
    <phoneticPr fontId="4"/>
  </si>
  <si>
    <t>KYB</t>
    <phoneticPr fontId="4"/>
  </si>
  <si>
    <t>KYC</t>
    <phoneticPr fontId="4"/>
  </si>
  <si>
    <t>1A</t>
    <phoneticPr fontId="4"/>
  </si>
  <si>
    <t>A</t>
    <phoneticPr fontId="4"/>
  </si>
  <si>
    <t>BK1</t>
    <phoneticPr fontId="4"/>
  </si>
  <si>
    <t>BM</t>
    <phoneticPr fontId="4"/>
  </si>
  <si>
    <t>CE</t>
    <phoneticPr fontId="4"/>
  </si>
  <si>
    <t>EG</t>
    <phoneticPr fontId="4"/>
  </si>
  <si>
    <t>F</t>
    <phoneticPr fontId="4"/>
  </si>
  <si>
    <t>FEB</t>
  </si>
  <si>
    <t>G</t>
    <phoneticPr fontId="4"/>
  </si>
  <si>
    <t>GP</t>
    <phoneticPr fontId="4"/>
  </si>
  <si>
    <t>GPA</t>
    <phoneticPr fontId="4"/>
  </si>
  <si>
    <t>GPB</t>
    <phoneticPr fontId="4"/>
  </si>
  <si>
    <t>I</t>
    <phoneticPr fontId="4"/>
  </si>
  <si>
    <t>L</t>
    <phoneticPr fontId="4"/>
  </si>
  <si>
    <t>LPZ</t>
    <phoneticPr fontId="4"/>
  </si>
  <si>
    <t>M</t>
    <phoneticPr fontId="4"/>
  </si>
  <si>
    <t>MP</t>
    <phoneticPr fontId="4"/>
  </si>
  <si>
    <t>MPA</t>
    <phoneticPr fontId="4"/>
  </si>
  <si>
    <t>OWT</t>
    <phoneticPr fontId="4"/>
  </si>
  <si>
    <t>PSA</t>
    <phoneticPr fontId="4"/>
  </si>
  <si>
    <t>PT</t>
    <phoneticPr fontId="4"/>
  </si>
  <si>
    <t>PU</t>
    <phoneticPr fontId="4"/>
  </si>
  <si>
    <r>
      <t>P</t>
    </r>
    <r>
      <rPr>
        <sz val="11"/>
        <color theme="1"/>
        <rFont val="游ゴシック"/>
        <family val="2"/>
        <charset val="128"/>
        <scheme val="minor"/>
      </rPr>
      <t>V</t>
    </r>
    <phoneticPr fontId="4"/>
  </si>
  <si>
    <t>PX</t>
  </si>
  <si>
    <t>PXA</t>
  </si>
  <si>
    <t>PXM</t>
    <phoneticPr fontId="4"/>
  </si>
  <si>
    <t>PY</t>
    <phoneticPr fontId="4"/>
  </si>
  <si>
    <t>S</t>
    <phoneticPr fontId="4"/>
  </si>
  <si>
    <t>U</t>
    <phoneticPr fontId="4"/>
  </si>
  <si>
    <t>V</t>
    <phoneticPr fontId="4"/>
  </si>
  <si>
    <t>KOB</t>
    <phoneticPr fontId="4"/>
  </si>
  <si>
    <t>KOD</t>
    <phoneticPr fontId="4"/>
  </si>
  <si>
    <t>KOL</t>
    <phoneticPr fontId="4"/>
  </si>
  <si>
    <t>XB</t>
    <phoneticPr fontId="4"/>
  </si>
  <si>
    <t>XC</t>
  </si>
  <si>
    <t>KX</t>
    <phoneticPr fontId="4"/>
  </si>
  <si>
    <t>KK</t>
    <phoneticPr fontId="4"/>
  </si>
  <si>
    <t>LBA</t>
    <phoneticPr fontId="4"/>
  </si>
  <si>
    <t>LBP</t>
  </si>
  <si>
    <t>LYA</t>
    <phoneticPr fontId="4"/>
  </si>
  <si>
    <t>LP</t>
    <phoneticPr fontId="4"/>
  </si>
  <si>
    <t>LPA</t>
    <phoneticPr fontId="4"/>
  </si>
  <si>
    <t>ﾕｽﾞの種黒糖漬け</t>
    <rPh sb="4" eb="5">
      <t>タネ</t>
    </rPh>
    <rPh sb="5" eb="7">
      <t>コクトウ</t>
    </rPh>
    <rPh sb="7" eb="8">
      <t>ヅ</t>
    </rPh>
    <phoneticPr fontId="4"/>
  </si>
  <si>
    <t>22RﾊﾟC</t>
    <phoneticPr fontId="4"/>
  </si>
  <si>
    <t>22G</t>
  </si>
  <si>
    <t>39R</t>
  </si>
  <si>
    <t>39Rｸ</t>
  </si>
  <si>
    <t>39Rﾏ</t>
  </si>
  <si>
    <t>39RAｶﾘﾝ</t>
  </si>
  <si>
    <t>39RB</t>
  </si>
  <si>
    <t>39Rｶﾘﾝ</t>
  </si>
  <si>
    <t>39Rﾘ</t>
  </si>
  <si>
    <t>39Rﾘ(ｶﾘﾝ)</t>
    <phoneticPr fontId="4"/>
  </si>
  <si>
    <t>39Rｼ</t>
  </si>
  <si>
    <t>40R</t>
  </si>
  <si>
    <t>40RB</t>
    <phoneticPr fontId="4"/>
  </si>
  <si>
    <t>40R海</t>
    <rPh sb="3" eb="4">
      <t>ウミ</t>
    </rPh>
    <phoneticPr fontId="4"/>
  </si>
  <si>
    <t>40Rｼ</t>
  </si>
  <si>
    <t>40Rﾏ</t>
    <phoneticPr fontId="4"/>
  </si>
  <si>
    <t>40Rﾘ</t>
  </si>
  <si>
    <t>40Rﾘ(ｶﾘﾝ)</t>
  </si>
  <si>
    <t>41R</t>
  </si>
  <si>
    <t>41RB</t>
    <phoneticPr fontId="4"/>
  </si>
  <si>
    <t>41Rｼ</t>
    <phoneticPr fontId="4"/>
  </si>
  <si>
    <t>41Rﾘ</t>
    <phoneticPr fontId="4"/>
  </si>
  <si>
    <t>41Rﾏ</t>
    <phoneticPr fontId="4"/>
  </si>
  <si>
    <t>42R</t>
  </si>
  <si>
    <t>42Rﾘ</t>
    <phoneticPr fontId="4"/>
  </si>
  <si>
    <t>43R</t>
  </si>
  <si>
    <t>44R</t>
  </si>
  <si>
    <t>45R</t>
    <phoneticPr fontId="4"/>
  </si>
  <si>
    <t>47R</t>
    <phoneticPr fontId="4"/>
  </si>
  <si>
    <t>48R</t>
    <phoneticPr fontId="4"/>
  </si>
  <si>
    <t>49R</t>
    <phoneticPr fontId="4"/>
  </si>
  <si>
    <t>50R</t>
    <phoneticPr fontId="4"/>
  </si>
  <si>
    <t>51R</t>
    <phoneticPr fontId="4"/>
  </si>
  <si>
    <t>41RG</t>
    <phoneticPr fontId="4"/>
  </si>
  <si>
    <t>41RGI</t>
    <phoneticPr fontId="4"/>
  </si>
  <si>
    <t>GIN130</t>
    <phoneticPr fontId="4"/>
  </si>
  <si>
    <t>桑</t>
  </si>
  <si>
    <t>USA</t>
    <phoneticPr fontId="4"/>
  </si>
  <si>
    <t>マタ</t>
    <phoneticPr fontId="4"/>
  </si>
  <si>
    <t>植物用ブレンド</t>
  </si>
  <si>
    <t>植物用ﾌﾞﾚﾝﾄﾞ(海)</t>
  </si>
  <si>
    <t>植物用ﾌﾞﾚﾝﾄﾞB(海)</t>
    <phoneticPr fontId="4"/>
  </si>
  <si>
    <t>PW</t>
  </si>
  <si>
    <t>BW</t>
    <phoneticPr fontId="4"/>
  </si>
  <si>
    <t>BZ</t>
    <phoneticPr fontId="4"/>
  </si>
  <si>
    <t>再ろ過依頼品</t>
    <rPh sb="0" eb="1">
      <t>サイ</t>
    </rPh>
    <rPh sb="2" eb="3">
      <t>カ</t>
    </rPh>
    <rPh sb="3" eb="5">
      <t>イライ</t>
    </rPh>
    <rPh sb="5" eb="6">
      <t>ヒン</t>
    </rPh>
    <phoneticPr fontId="4"/>
  </si>
  <si>
    <t>返品</t>
    <rPh sb="0" eb="2">
      <t>ヘンピン</t>
    </rPh>
    <phoneticPr fontId="4"/>
  </si>
  <si>
    <t>圧搾ｶｽ</t>
    <rPh sb="0" eb="2">
      <t>アッサク</t>
    </rPh>
    <phoneticPr fontId="4"/>
  </si>
  <si>
    <t>ろ過ｶｽ</t>
    <rPh sb="1" eb="2">
      <t>カ</t>
    </rPh>
    <phoneticPr fontId="4"/>
  </si>
  <si>
    <t>再利用</t>
    <rPh sb="0" eb="3">
      <t>サイリヨウ</t>
    </rPh>
    <phoneticPr fontId="4"/>
  </si>
  <si>
    <t>生産分</t>
    <rPh sb="0" eb="2">
      <t>セイサン</t>
    </rPh>
    <rPh sb="2" eb="3">
      <t>フン</t>
    </rPh>
    <phoneticPr fontId="4"/>
  </si>
  <si>
    <t>原液単位原価</t>
    <rPh sb="0" eb="2">
      <t>ゲンエキ</t>
    </rPh>
    <rPh sb="2" eb="4">
      <t>タンイ</t>
    </rPh>
    <rPh sb="4" eb="6">
      <t>ゲンカ</t>
    </rPh>
    <phoneticPr fontId="4"/>
  </si>
  <si>
    <t>S62</t>
    <phoneticPr fontId="4"/>
  </si>
  <si>
    <t>13R</t>
    <phoneticPr fontId="4"/>
  </si>
  <si>
    <t>数量</t>
    <rPh sb="0" eb="2">
      <t>スウリョウ</t>
    </rPh>
    <phoneticPr fontId="4"/>
  </si>
  <si>
    <t>金額</t>
    <rPh sb="0" eb="2">
      <t>キンガク</t>
    </rPh>
    <phoneticPr fontId="4"/>
  </si>
  <si>
    <t>S63</t>
    <phoneticPr fontId="4"/>
  </si>
  <si>
    <t>14R</t>
    <phoneticPr fontId="4"/>
  </si>
  <si>
    <t>14G</t>
    <phoneticPr fontId="4"/>
  </si>
  <si>
    <t>H1</t>
    <phoneticPr fontId="4"/>
  </si>
  <si>
    <t>15R</t>
    <phoneticPr fontId="4"/>
  </si>
  <si>
    <t>15HI納</t>
    <rPh sb="4" eb="5">
      <t>ナン</t>
    </rPh>
    <phoneticPr fontId="4"/>
  </si>
  <si>
    <t/>
  </si>
  <si>
    <t>15R花</t>
    <rPh sb="3" eb="4">
      <t>ハナ</t>
    </rPh>
    <phoneticPr fontId="4"/>
  </si>
  <si>
    <t>15R納</t>
    <rPh sb="3" eb="4">
      <t>オサム</t>
    </rPh>
    <phoneticPr fontId="4"/>
  </si>
  <si>
    <t>15Rｶ</t>
    <phoneticPr fontId="4"/>
  </si>
  <si>
    <t>15RB海</t>
    <phoneticPr fontId="4"/>
  </si>
  <si>
    <t>15HI</t>
    <phoneticPr fontId="4"/>
  </si>
  <si>
    <t>15HIﾆ</t>
    <phoneticPr fontId="4"/>
  </si>
  <si>
    <t>15HI海</t>
    <rPh sb="4" eb="5">
      <t>ウミ</t>
    </rPh>
    <phoneticPr fontId="4"/>
  </si>
  <si>
    <t>15HI海ｸ</t>
    <rPh sb="4" eb="5">
      <t>ウミ</t>
    </rPh>
    <phoneticPr fontId="4"/>
  </si>
  <si>
    <t>15HI海ｸﾄ</t>
    <phoneticPr fontId="4"/>
  </si>
  <si>
    <t>15G</t>
    <phoneticPr fontId="4"/>
  </si>
  <si>
    <t>H2</t>
    <phoneticPr fontId="4"/>
  </si>
  <si>
    <t>16R</t>
    <phoneticPr fontId="4"/>
  </si>
  <si>
    <t>16Rﾊﾟ</t>
    <phoneticPr fontId="4"/>
  </si>
  <si>
    <t>16Rｸ</t>
    <phoneticPr fontId="4"/>
  </si>
  <si>
    <t>16HI</t>
    <phoneticPr fontId="4"/>
  </si>
  <si>
    <t>16HIｺ</t>
    <phoneticPr fontId="4"/>
  </si>
  <si>
    <t>16HIﾊﾟ</t>
    <phoneticPr fontId="4"/>
  </si>
  <si>
    <t>16HIAﾊﾟ</t>
    <phoneticPr fontId="4"/>
  </si>
  <si>
    <t>16HIX</t>
    <phoneticPr fontId="4"/>
  </si>
  <si>
    <t>16G</t>
    <phoneticPr fontId="4"/>
  </si>
  <si>
    <t>16GA</t>
    <phoneticPr fontId="4"/>
  </si>
  <si>
    <t>H3</t>
    <phoneticPr fontId="4"/>
  </si>
  <si>
    <t>17R</t>
    <phoneticPr fontId="4"/>
  </si>
  <si>
    <t>17Rｸ</t>
    <phoneticPr fontId="4"/>
  </si>
  <si>
    <t>17R納</t>
    <rPh sb="3" eb="4">
      <t>オサム</t>
    </rPh>
    <phoneticPr fontId="4"/>
  </si>
  <si>
    <t>17HI</t>
    <phoneticPr fontId="4"/>
  </si>
  <si>
    <t>17HIA</t>
    <phoneticPr fontId="4"/>
  </si>
  <si>
    <r>
      <t>17HI</t>
    </r>
    <r>
      <rPr>
        <sz val="11"/>
        <color theme="1"/>
        <rFont val="游ゴシック"/>
        <family val="2"/>
        <charset val="128"/>
        <scheme val="minor"/>
      </rPr>
      <t>(231)</t>
    </r>
    <phoneticPr fontId="4"/>
  </si>
  <si>
    <t>17HIｸ</t>
    <phoneticPr fontId="4"/>
  </si>
  <si>
    <t>17HIｸ生</t>
    <rPh sb="5" eb="6">
      <t>ナマ</t>
    </rPh>
    <phoneticPr fontId="4"/>
  </si>
  <si>
    <t>17HIAｸ</t>
    <phoneticPr fontId="4"/>
  </si>
  <si>
    <r>
      <t>1</t>
    </r>
    <r>
      <rPr>
        <sz val="11"/>
        <color theme="1"/>
        <rFont val="游ゴシック"/>
        <family val="2"/>
        <charset val="128"/>
        <scheme val="minor"/>
      </rPr>
      <t>7HI(Y)</t>
    </r>
    <phoneticPr fontId="4"/>
  </si>
  <si>
    <t>17HIﾊﾟ</t>
    <phoneticPr fontId="4"/>
  </si>
  <si>
    <t>17HIﾊﾟ海</t>
    <rPh sb="6" eb="7">
      <t>ウミ</t>
    </rPh>
    <phoneticPr fontId="4"/>
  </si>
  <si>
    <t>17RX</t>
    <phoneticPr fontId="4"/>
  </si>
  <si>
    <t>17R海</t>
    <rPh sb="3" eb="4">
      <t>ウミ</t>
    </rPh>
    <phoneticPr fontId="4"/>
  </si>
  <si>
    <r>
      <t>17R</t>
    </r>
    <r>
      <rPr>
        <sz val="11"/>
        <color theme="1"/>
        <rFont val="游ゴシック"/>
        <family val="2"/>
        <charset val="128"/>
        <scheme val="minor"/>
      </rPr>
      <t>B</t>
    </r>
    <r>
      <rPr>
        <sz val="11"/>
        <color theme="1"/>
        <rFont val="游ゴシック"/>
        <family val="2"/>
        <charset val="128"/>
        <scheme val="minor"/>
      </rPr>
      <t>海</t>
    </r>
    <rPh sb="4" eb="5">
      <t>ウミ</t>
    </rPh>
    <phoneticPr fontId="4"/>
  </si>
  <si>
    <t>17HIXﾆ</t>
    <phoneticPr fontId="4"/>
  </si>
  <si>
    <t>H4</t>
  </si>
  <si>
    <t>18R</t>
    <phoneticPr fontId="4"/>
  </si>
  <si>
    <t>18GA</t>
    <phoneticPr fontId="4"/>
  </si>
  <si>
    <t>18HIB</t>
    <phoneticPr fontId="4"/>
  </si>
  <si>
    <t>18HI39Rﾘ</t>
    <phoneticPr fontId="4"/>
  </si>
  <si>
    <t>18HIﾊﾟ海</t>
    <rPh sb="6" eb="7">
      <t>ウミ</t>
    </rPh>
    <phoneticPr fontId="4"/>
  </si>
  <si>
    <t>18RX</t>
    <phoneticPr fontId="4"/>
  </si>
  <si>
    <t>H5</t>
  </si>
  <si>
    <r>
      <t>(</t>
    </r>
    <r>
      <rPr>
        <sz val="11"/>
        <color theme="1"/>
        <rFont val="游ゴシック"/>
        <family val="2"/>
        <charset val="128"/>
        <scheme val="minor"/>
      </rPr>
      <t>29期)</t>
    </r>
    <r>
      <rPr>
        <sz val="11"/>
        <color theme="1"/>
        <rFont val="游ゴシック"/>
        <family val="2"/>
        <charset val="128"/>
        <scheme val="minor"/>
      </rPr>
      <t>期首在庫がおかしいせいか、他と同じ計算式では単価がおかしくなる。期末在庫を割る形で算出した。</t>
    </r>
    <rPh sb="3" eb="4">
      <t>キ</t>
    </rPh>
    <rPh sb="18" eb="19">
      <t>ホカ</t>
    </rPh>
    <phoneticPr fontId="4"/>
  </si>
  <si>
    <t>19RA</t>
    <phoneticPr fontId="4"/>
  </si>
  <si>
    <r>
      <t>19R</t>
    </r>
    <r>
      <rPr>
        <sz val="11"/>
        <color theme="1"/>
        <rFont val="游ゴシック"/>
        <family val="2"/>
        <charset val="128"/>
        <scheme val="minor"/>
      </rPr>
      <t>B</t>
    </r>
    <r>
      <rPr>
        <sz val="11"/>
        <color theme="1"/>
        <rFont val="游ゴシック"/>
        <family val="2"/>
        <charset val="128"/>
        <scheme val="minor"/>
      </rPr>
      <t>ｶﾘﾝ</t>
    </r>
    <phoneticPr fontId="4"/>
  </si>
  <si>
    <t>19HI</t>
    <phoneticPr fontId="4"/>
  </si>
  <si>
    <r>
      <t>19HI</t>
    </r>
    <r>
      <rPr>
        <sz val="11"/>
        <color theme="1"/>
        <rFont val="游ゴシック"/>
        <family val="2"/>
        <charset val="128"/>
        <scheme val="minor"/>
      </rPr>
      <t>A</t>
    </r>
    <phoneticPr fontId="4"/>
  </si>
  <si>
    <t>19HIﾊﾟﾌ</t>
    <phoneticPr fontId="4"/>
  </si>
  <si>
    <t>H6</t>
  </si>
  <si>
    <t>20R</t>
    <phoneticPr fontId="4"/>
  </si>
  <si>
    <t>20RA</t>
    <phoneticPr fontId="4"/>
  </si>
  <si>
    <t>20Rｸ</t>
    <phoneticPr fontId="4"/>
  </si>
  <si>
    <t>20Rｳ</t>
    <phoneticPr fontId="4"/>
  </si>
  <si>
    <t>20HI</t>
    <phoneticPr fontId="4"/>
  </si>
  <si>
    <t>20HIB海</t>
    <phoneticPr fontId="4"/>
  </si>
  <si>
    <t>20HIﾊﾟ海</t>
    <phoneticPr fontId="4"/>
  </si>
  <si>
    <t>H7</t>
  </si>
  <si>
    <t>21Rﾊﾟ</t>
    <phoneticPr fontId="4"/>
  </si>
  <si>
    <t>21HI</t>
    <phoneticPr fontId="4"/>
  </si>
  <si>
    <t>21HIB海</t>
    <phoneticPr fontId="4"/>
  </si>
  <si>
    <t>H8</t>
  </si>
  <si>
    <t>22R</t>
    <phoneticPr fontId="4"/>
  </si>
  <si>
    <r>
      <t>2</t>
    </r>
    <r>
      <rPr>
        <sz val="11"/>
        <color theme="1"/>
        <rFont val="游ゴシック"/>
        <family val="2"/>
        <charset val="128"/>
        <scheme val="minor"/>
      </rPr>
      <t>2Rｶﾘﾝ</t>
    </r>
    <phoneticPr fontId="4"/>
  </si>
  <si>
    <t>22Rﾊﾟﾄ</t>
    <phoneticPr fontId="4"/>
  </si>
  <si>
    <t>22RAｼ</t>
    <phoneticPr fontId="4"/>
  </si>
  <si>
    <t>22G</t>
    <phoneticPr fontId="4"/>
  </si>
  <si>
    <t>22Gﾊﾟ</t>
    <phoneticPr fontId="4"/>
  </si>
  <si>
    <t>22RAｶﾘﾝ</t>
    <phoneticPr fontId="4"/>
  </si>
  <si>
    <t>22RBｶﾘﾝ</t>
    <phoneticPr fontId="4"/>
  </si>
  <si>
    <t>H9</t>
  </si>
  <si>
    <t>23R</t>
    <phoneticPr fontId="4"/>
  </si>
  <si>
    <t>23Rｼ</t>
    <phoneticPr fontId="4"/>
  </si>
  <si>
    <t>23RAｼ</t>
    <phoneticPr fontId="4"/>
  </si>
  <si>
    <t>23HI</t>
    <phoneticPr fontId="4"/>
  </si>
  <si>
    <t>23G</t>
    <phoneticPr fontId="4"/>
  </si>
  <si>
    <t>23糖蜜</t>
    <rPh sb="2" eb="4">
      <t>トウミツ</t>
    </rPh>
    <phoneticPr fontId="4"/>
  </si>
  <si>
    <t>H10</t>
  </si>
  <si>
    <t>24R</t>
    <phoneticPr fontId="4"/>
  </si>
  <si>
    <t>24Rｼ</t>
    <phoneticPr fontId="4"/>
  </si>
  <si>
    <t>24HIｼ</t>
    <phoneticPr fontId="4"/>
  </si>
  <si>
    <t>H11</t>
  </si>
  <si>
    <t>25R</t>
    <phoneticPr fontId="4"/>
  </si>
  <si>
    <t>25Rﾊﾟ</t>
    <phoneticPr fontId="4"/>
  </si>
  <si>
    <t>H12</t>
  </si>
  <si>
    <t>26R</t>
    <phoneticPr fontId="4"/>
  </si>
  <si>
    <t>26R青ﾊﾟ</t>
    <rPh sb="3" eb="4">
      <t>アオ</t>
    </rPh>
    <phoneticPr fontId="4"/>
  </si>
  <si>
    <t>26Rｳ</t>
    <phoneticPr fontId="4"/>
  </si>
  <si>
    <t>26Rｶ</t>
    <phoneticPr fontId="4"/>
  </si>
  <si>
    <t>H13</t>
  </si>
  <si>
    <t>27R</t>
    <phoneticPr fontId="4"/>
  </si>
  <si>
    <t>27RX</t>
    <phoneticPr fontId="4"/>
  </si>
  <si>
    <t>27Rｸ</t>
    <phoneticPr fontId="4"/>
  </si>
  <si>
    <t>27Rｳ</t>
    <phoneticPr fontId="4"/>
  </si>
  <si>
    <t>H14</t>
  </si>
  <si>
    <t>28R</t>
    <phoneticPr fontId="4"/>
  </si>
  <si>
    <t>28Rｸｳ</t>
    <phoneticPr fontId="4"/>
  </si>
  <si>
    <t>28RX</t>
    <phoneticPr fontId="4"/>
  </si>
  <si>
    <t>H15</t>
  </si>
  <si>
    <t>29Rｲ</t>
    <phoneticPr fontId="4"/>
  </si>
  <si>
    <t>29Rｼ</t>
    <phoneticPr fontId="4"/>
  </si>
  <si>
    <t>29Rﾙ</t>
    <phoneticPr fontId="4"/>
  </si>
  <si>
    <t>29R田</t>
    <rPh sb="3" eb="4">
      <t>タ</t>
    </rPh>
    <phoneticPr fontId="4"/>
  </si>
  <si>
    <t>29畜</t>
    <rPh sb="2" eb="3">
      <t>チク</t>
    </rPh>
    <phoneticPr fontId="4"/>
  </si>
  <si>
    <t>H16</t>
  </si>
  <si>
    <t>30R</t>
    <phoneticPr fontId="4"/>
  </si>
  <si>
    <t>H17</t>
  </si>
  <si>
    <t>31R</t>
    <phoneticPr fontId="4"/>
  </si>
  <si>
    <t>31Rｼ</t>
    <phoneticPr fontId="4"/>
  </si>
  <si>
    <t>31RX</t>
    <phoneticPr fontId="4"/>
  </si>
  <si>
    <t>H18</t>
  </si>
  <si>
    <t>32R</t>
    <phoneticPr fontId="4"/>
  </si>
  <si>
    <t>32Rｼ</t>
    <phoneticPr fontId="4"/>
  </si>
  <si>
    <t>32Rﾍﾞ</t>
    <phoneticPr fontId="4"/>
  </si>
  <si>
    <t>H19</t>
    <phoneticPr fontId="4"/>
  </si>
  <si>
    <t>33R</t>
    <phoneticPr fontId="4"/>
  </si>
  <si>
    <t>33Rｼ</t>
    <phoneticPr fontId="4"/>
  </si>
  <si>
    <r>
      <t>H20</t>
    </r>
    <r>
      <rPr>
        <sz val="11"/>
        <color theme="1"/>
        <rFont val="游ゴシック"/>
        <family val="2"/>
        <charset val="128"/>
        <scheme val="minor"/>
      </rPr>
      <t/>
    </r>
  </si>
  <si>
    <r>
      <t>34R</t>
    </r>
    <r>
      <rPr>
        <sz val="11"/>
        <color theme="1"/>
        <rFont val="游ゴシック"/>
        <family val="2"/>
        <charset val="128"/>
        <scheme val="minor"/>
      </rPr>
      <t/>
    </r>
  </si>
  <si>
    <r>
      <t>34R</t>
    </r>
    <r>
      <rPr>
        <sz val="11"/>
        <color theme="1"/>
        <rFont val="游ゴシック"/>
        <family val="2"/>
        <charset val="128"/>
        <scheme val="minor"/>
      </rPr>
      <t>ｼ</t>
    </r>
    <phoneticPr fontId="4"/>
  </si>
  <si>
    <r>
      <t>H21</t>
    </r>
    <r>
      <rPr>
        <sz val="11"/>
        <color theme="1"/>
        <rFont val="游ゴシック"/>
        <family val="2"/>
        <charset val="128"/>
        <scheme val="minor"/>
      </rPr>
      <t/>
    </r>
  </si>
  <si>
    <r>
      <t>35R</t>
    </r>
    <r>
      <rPr>
        <sz val="11"/>
        <color theme="1"/>
        <rFont val="游ゴシック"/>
        <family val="2"/>
        <charset val="128"/>
        <scheme val="minor"/>
      </rPr>
      <t/>
    </r>
  </si>
  <si>
    <t>35Rｼ</t>
    <phoneticPr fontId="4"/>
  </si>
  <si>
    <r>
      <t>H22</t>
    </r>
    <r>
      <rPr>
        <sz val="11"/>
        <color theme="1"/>
        <rFont val="游ゴシック"/>
        <family val="2"/>
        <charset val="128"/>
        <scheme val="minor"/>
      </rPr>
      <t/>
    </r>
  </si>
  <si>
    <r>
      <t>36R</t>
    </r>
    <r>
      <rPr>
        <sz val="11"/>
        <color theme="1"/>
        <rFont val="游ゴシック"/>
        <family val="2"/>
        <charset val="128"/>
        <scheme val="minor"/>
      </rPr>
      <t/>
    </r>
  </si>
  <si>
    <t>36Rｼ</t>
    <phoneticPr fontId="4"/>
  </si>
  <si>
    <r>
      <t>H23</t>
    </r>
    <r>
      <rPr>
        <sz val="11"/>
        <color theme="1"/>
        <rFont val="游ゴシック"/>
        <family val="2"/>
        <charset val="128"/>
        <scheme val="minor"/>
      </rPr>
      <t/>
    </r>
  </si>
  <si>
    <r>
      <t>37R</t>
    </r>
    <r>
      <rPr>
        <sz val="11"/>
        <color theme="1"/>
        <rFont val="游ゴシック"/>
        <family val="2"/>
        <charset val="128"/>
        <scheme val="minor"/>
      </rPr>
      <t/>
    </r>
  </si>
  <si>
    <t>37Rｼ</t>
    <phoneticPr fontId="4"/>
  </si>
  <si>
    <r>
      <t>H24</t>
    </r>
    <r>
      <rPr>
        <sz val="11"/>
        <color theme="1"/>
        <rFont val="游ゴシック"/>
        <family val="2"/>
        <charset val="128"/>
        <scheme val="minor"/>
      </rPr>
      <t/>
    </r>
  </si>
  <si>
    <r>
      <t>38R</t>
    </r>
    <r>
      <rPr>
        <sz val="11"/>
        <color theme="1"/>
        <rFont val="游ゴシック"/>
        <family val="2"/>
        <charset val="128"/>
        <scheme val="minor"/>
      </rPr>
      <t/>
    </r>
  </si>
  <si>
    <t>38Rリ</t>
    <phoneticPr fontId="4"/>
  </si>
  <si>
    <t>38RB</t>
    <phoneticPr fontId="4"/>
  </si>
  <si>
    <t>38Rｼ</t>
    <phoneticPr fontId="4"/>
  </si>
  <si>
    <t>38HI</t>
    <phoneticPr fontId="4"/>
  </si>
  <si>
    <t>38G</t>
    <phoneticPr fontId="4"/>
  </si>
  <si>
    <t>H25</t>
  </si>
  <si>
    <r>
      <t>39R</t>
    </r>
    <r>
      <rPr>
        <sz val="11"/>
        <color theme="1"/>
        <rFont val="游ゴシック"/>
        <family val="2"/>
        <charset val="128"/>
        <scheme val="minor"/>
      </rPr>
      <t/>
    </r>
  </si>
  <si>
    <t>39Rﾘ</t>
    <phoneticPr fontId="4"/>
  </si>
  <si>
    <t>39Rｼ</t>
    <phoneticPr fontId="4"/>
  </si>
  <si>
    <t>H26</t>
  </si>
  <si>
    <r>
      <t>40R</t>
    </r>
    <r>
      <rPr>
        <sz val="11"/>
        <color theme="1"/>
        <rFont val="游ゴシック"/>
        <family val="2"/>
        <charset val="128"/>
        <scheme val="minor"/>
      </rPr>
      <t/>
    </r>
  </si>
  <si>
    <t>40Rﾘ(ｶﾘﾝ)</t>
    <phoneticPr fontId="4"/>
  </si>
  <si>
    <t>40Rｶﾘﾝ</t>
    <phoneticPr fontId="4"/>
  </si>
  <si>
    <t>40Rｸ</t>
    <phoneticPr fontId="4"/>
  </si>
  <si>
    <r>
      <t>H2</t>
    </r>
    <r>
      <rPr>
        <sz val="11"/>
        <color theme="1"/>
        <rFont val="游ゴシック"/>
        <family val="2"/>
        <charset val="128"/>
        <scheme val="minor"/>
      </rPr>
      <t>7</t>
    </r>
    <phoneticPr fontId="4"/>
  </si>
  <si>
    <t>41R</t>
    <phoneticPr fontId="4"/>
  </si>
  <si>
    <r>
      <t>H2</t>
    </r>
    <r>
      <rPr>
        <sz val="11"/>
        <color theme="1"/>
        <rFont val="游ゴシック"/>
        <family val="2"/>
        <charset val="128"/>
        <scheme val="minor"/>
      </rPr>
      <t>8</t>
    </r>
    <phoneticPr fontId="4"/>
  </si>
  <si>
    <t>42R</t>
    <phoneticPr fontId="4"/>
  </si>
  <si>
    <t>H28</t>
    <phoneticPr fontId="4"/>
  </si>
  <si>
    <r>
      <t>H29</t>
    </r>
    <r>
      <rPr>
        <sz val="11"/>
        <color theme="1"/>
        <rFont val="游ゴシック"/>
        <family val="2"/>
        <charset val="128"/>
        <scheme val="minor"/>
      </rPr>
      <t/>
    </r>
  </si>
  <si>
    <t>43R</t>
    <phoneticPr fontId="4"/>
  </si>
  <si>
    <r>
      <t>H30</t>
    </r>
    <r>
      <rPr>
        <sz val="11"/>
        <color theme="1"/>
        <rFont val="游ゴシック"/>
        <family val="2"/>
        <charset val="128"/>
        <scheme val="minor"/>
      </rPr>
      <t/>
    </r>
  </si>
  <si>
    <t>44R</t>
    <phoneticPr fontId="4"/>
  </si>
  <si>
    <t>R1</t>
    <phoneticPr fontId="4"/>
  </si>
  <si>
    <t>R2</t>
    <phoneticPr fontId="4"/>
  </si>
  <si>
    <t>46R</t>
    <phoneticPr fontId="4"/>
  </si>
  <si>
    <t>R3</t>
    <phoneticPr fontId="4"/>
  </si>
  <si>
    <t>R4</t>
    <phoneticPr fontId="4"/>
  </si>
  <si>
    <t>R5</t>
    <phoneticPr fontId="4"/>
  </si>
  <si>
    <t>R6</t>
    <phoneticPr fontId="4"/>
  </si>
  <si>
    <t>R7</t>
    <phoneticPr fontId="4"/>
  </si>
  <si>
    <t>植</t>
    <rPh sb="0" eb="1">
      <t>ウエ</t>
    </rPh>
    <phoneticPr fontId="4"/>
  </si>
  <si>
    <t>PEB</t>
    <phoneticPr fontId="4"/>
  </si>
  <si>
    <t>GB</t>
    <phoneticPr fontId="4"/>
  </si>
  <si>
    <t>RTB</t>
    <phoneticPr fontId="4"/>
  </si>
  <si>
    <t>RYB</t>
    <phoneticPr fontId="4"/>
  </si>
  <si>
    <t>YB</t>
    <phoneticPr fontId="4"/>
  </si>
  <si>
    <t>17RB</t>
    <phoneticPr fontId="4"/>
  </si>
  <si>
    <r>
      <t>(</t>
    </r>
    <r>
      <rPr>
        <sz val="11"/>
        <color theme="1"/>
        <rFont val="游ゴシック"/>
        <family val="2"/>
        <charset val="128"/>
        <scheme val="minor"/>
      </rPr>
      <t>29期)</t>
    </r>
    <r>
      <rPr>
        <sz val="11"/>
        <color theme="1"/>
        <rFont val="游ゴシック"/>
        <family val="2"/>
        <charset val="128"/>
        <scheme val="minor"/>
      </rPr>
      <t>期首在庫を割る形で算出</t>
    </r>
    <rPh sb="3" eb="4">
      <t>キ</t>
    </rPh>
    <phoneticPr fontId="4"/>
  </si>
  <si>
    <r>
      <t>2</t>
    </r>
    <r>
      <rPr>
        <sz val="11"/>
        <color theme="1"/>
        <rFont val="游ゴシック"/>
        <family val="2"/>
        <charset val="128"/>
        <scheme val="minor"/>
      </rPr>
      <t>8RB</t>
    </r>
    <phoneticPr fontId="4"/>
  </si>
  <si>
    <t>PLB</t>
    <phoneticPr fontId="4"/>
  </si>
  <si>
    <t>ﾊﾞｰﾄﾞ</t>
    <phoneticPr fontId="4"/>
  </si>
  <si>
    <t>ﾌｨｯｼｭ</t>
    <phoneticPr fontId="4"/>
  </si>
  <si>
    <t>ﾍﾟｯﾄ</t>
    <phoneticPr fontId="4"/>
  </si>
  <si>
    <t>BL</t>
    <phoneticPr fontId="4"/>
  </si>
  <si>
    <t>N</t>
    <phoneticPr fontId="4"/>
  </si>
  <si>
    <t>OA</t>
    <phoneticPr fontId="4"/>
  </si>
  <si>
    <t>OC</t>
    <phoneticPr fontId="4"/>
  </si>
  <si>
    <t>KP</t>
    <phoneticPr fontId="4"/>
  </si>
  <si>
    <t>PE</t>
    <phoneticPr fontId="4"/>
  </si>
  <si>
    <t>PXA</t>
    <phoneticPr fontId="4"/>
  </si>
  <si>
    <t>WA</t>
    <phoneticPr fontId="4"/>
  </si>
  <si>
    <t>YA</t>
    <phoneticPr fontId="4"/>
  </si>
  <si>
    <t>RX</t>
    <phoneticPr fontId="4"/>
  </si>
  <si>
    <t>5A</t>
    <phoneticPr fontId="4"/>
  </si>
  <si>
    <t>BA</t>
    <phoneticPr fontId="4"/>
  </si>
  <si>
    <t>BB</t>
    <phoneticPr fontId="4"/>
  </si>
  <si>
    <t>BC</t>
    <phoneticPr fontId="4"/>
  </si>
  <si>
    <t>BD</t>
    <phoneticPr fontId="4"/>
  </si>
  <si>
    <t>BE</t>
    <phoneticPr fontId="4"/>
  </si>
  <si>
    <t>BF</t>
    <phoneticPr fontId="4"/>
  </si>
  <si>
    <t>BG</t>
    <phoneticPr fontId="4"/>
  </si>
  <si>
    <r>
      <t>(</t>
    </r>
    <r>
      <rPr>
        <sz val="11"/>
        <color theme="1"/>
        <rFont val="游ゴシック"/>
        <family val="2"/>
        <charset val="128"/>
        <scheme val="minor"/>
      </rPr>
      <t>29期)</t>
    </r>
    <r>
      <rPr>
        <sz val="11"/>
        <color theme="1"/>
        <rFont val="游ゴシック"/>
        <family val="2"/>
        <charset val="128"/>
        <scheme val="minor"/>
      </rPr>
      <t>他の式だとおかしくなるため、前工程費の金額を数量で割って算出</t>
    </r>
    <rPh sb="3" eb="4">
      <t>キ</t>
    </rPh>
    <phoneticPr fontId="4"/>
  </si>
  <si>
    <t>BH</t>
    <phoneticPr fontId="4"/>
  </si>
  <si>
    <t>BHA</t>
    <phoneticPr fontId="4"/>
  </si>
  <si>
    <t>BK</t>
    <phoneticPr fontId="4"/>
  </si>
  <si>
    <t>BKN</t>
    <phoneticPr fontId="4"/>
  </si>
  <si>
    <t>BLK</t>
    <phoneticPr fontId="4"/>
  </si>
  <si>
    <t>BLKN</t>
    <phoneticPr fontId="4"/>
  </si>
  <si>
    <t>CA</t>
    <phoneticPr fontId="4"/>
  </si>
  <si>
    <t>CB</t>
    <phoneticPr fontId="4"/>
  </si>
  <si>
    <t>CC</t>
    <phoneticPr fontId="4"/>
  </si>
  <si>
    <t>CD</t>
    <phoneticPr fontId="4"/>
  </si>
  <si>
    <t>DA</t>
    <phoneticPr fontId="4"/>
  </si>
  <si>
    <t>DB</t>
    <phoneticPr fontId="4"/>
  </si>
  <si>
    <t>DC</t>
    <phoneticPr fontId="4"/>
  </si>
  <si>
    <t>EA</t>
    <phoneticPr fontId="4"/>
  </si>
  <si>
    <t>EB</t>
    <phoneticPr fontId="4"/>
  </si>
  <si>
    <t>EC</t>
    <phoneticPr fontId="4"/>
  </si>
  <si>
    <t>EPH</t>
    <phoneticPr fontId="4"/>
  </si>
  <si>
    <t>FA</t>
    <phoneticPr fontId="4"/>
  </si>
  <si>
    <t>FB</t>
    <phoneticPr fontId="4"/>
  </si>
  <si>
    <t>JA</t>
    <phoneticPr fontId="4"/>
  </si>
  <si>
    <t>JK</t>
    <phoneticPr fontId="4"/>
  </si>
  <si>
    <t>MF</t>
    <phoneticPr fontId="4"/>
  </si>
  <si>
    <t>MKA</t>
    <phoneticPr fontId="4"/>
  </si>
  <si>
    <t>MKB</t>
    <phoneticPr fontId="4"/>
  </si>
  <si>
    <t>MKC</t>
    <phoneticPr fontId="4"/>
  </si>
  <si>
    <t>MGA</t>
    <phoneticPr fontId="4"/>
  </si>
  <si>
    <t>MGB</t>
    <phoneticPr fontId="4"/>
  </si>
  <si>
    <t>OB</t>
    <phoneticPr fontId="4"/>
  </si>
  <si>
    <t>OD</t>
    <phoneticPr fontId="4"/>
  </si>
  <si>
    <t>OE</t>
    <phoneticPr fontId="4"/>
  </si>
  <si>
    <t>OF</t>
    <phoneticPr fontId="4"/>
  </si>
  <si>
    <t>OK</t>
    <phoneticPr fontId="4"/>
  </si>
  <si>
    <t>PC</t>
    <phoneticPr fontId="4"/>
  </si>
  <si>
    <t>PCK</t>
    <phoneticPr fontId="4"/>
  </si>
  <si>
    <t>PD</t>
    <phoneticPr fontId="4"/>
  </si>
  <si>
    <t>PEA</t>
    <phoneticPr fontId="4"/>
  </si>
  <si>
    <t>PF</t>
    <phoneticPr fontId="4"/>
  </si>
  <si>
    <t>PG</t>
    <phoneticPr fontId="4"/>
  </si>
  <si>
    <t>PH</t>
    <phoneticPr fontId="4"/>
  </si>
  <si>
    <t>PI</t>
    <phoneticPr fontId="4"/>
  </si>
  <si>
    <t>PJ</t>
    <phoneticPr fontId="4"/>
  </si>
  <si>
    <r>
      <t>P</t>
    </r>
    <r>
      <rPr>
        <sz val="11"/>
        <color theme="1"/>
        <rFont val="游ゴシック"/>
        <family val="2"/>
        <charset val="128"/>
        <scheme val="minor"/>
      </rPr>
      <t>M</t>
    </r>
    <phoneticPr fontId="4"/>
  </si>
  <si>
    <t>PN</t>
    <phoneticPr fontId="4"/>
  </si>
  <si>
    <t>PO</t>
    <phoneticPr fontId="4"/>
  </si>
  <si>
    <t>PP</t>
    <phoneticPr fontId="4"/>
  </si>
  <si>
    <t>PPH</t>
    <phoneticPr fontId="4"/>
  </si>
  <si>
    <t>PQ</t>
    <phoneticPr fontId="4"/>
  </si>
  <si>
    <t>PR</t>
    <phoneticPr fontId="4"/>
  </si>
  <si>
    <t>PS</t>
    <phoneticPr fontId="4"/>
  </si>
  <si>
    <r>
      <t>P</t>
    </r>
    <r>
      <rPr>
        <sz val="11"/>
        <color theme="1"/>
        <rFont val="游ゴシック"/>
        <family val="2"/>
        <charset val="128"/>
        <scheme val="minor"/>
      </rPr>
      <t>W</t>
    </r>
    <phoneticPr fontId="4"/>
  </si>
  <si>
    <t>PZ</t>
    <phoneticPr fontId="4"/>
  </si>
  <si>
    <t>QA</t>
    <phoneticPr fontId="4"/>
  </si>
  <si>
    <t>QB</t>
    <phoneticPr fontId="4"/>
  </si>
  <si>
    <t>R</t>
    <phoneticPr fontId="4"/>
  </si>
  <si>
    <t>SA</t>
    <phoneticPr fontId="4"/>
  </si>
  <si>
    <t>SB</t>
    <phoneticPr fontId="4"/>
  </si>
  <si>
    <t>SBA</t>
    <phoneticPr fontId="4"/>
  </si>
  <si>
    <t>WK</t>
    <phoneticPr fontId="4"/>
  </si>
  <si>
    <t>WK1</t>
    <phoneticPr fontId="4"/>
  </si>
  <si>
    <t>WKA</t>
    <phoneticPr fontId="4"/>
  </si>
  <si>
    <t>WKN</t>
    <phoneticPr fontId="4"/>
  </si>
  <si>
    <t>YC</t>
    <phoneticPr fontId="4"/>
  </si>
  <si>
    <t>YK</t>
    <phoneticPr fontId="4"/>
  </si>
  <si>
    <t>ZA</t>
    <phoneticPr fontId="4"/>
  </si>
  <si>
    <t>ZAK</t>
    <phoneticPr fontId="4"/>
  </si>
  <si>
    <t>ZAKN</t>
    <phoneticPr fontId="4"/>
  </si>
  <si>
    <t>KOA</t>
    <phoneticPr fontId="4"/>
  </si>
  <si>
    <t>KOC</t>
    <phoneticPr fontId="4"/>
  </si>
  <si>
    <t>KN</t>
    <phoneticPr fontId="4"/>
  </si>
  <si>
    <t>XA</t>
    <phoneticPr fontId="4"/>
  </si>
  <si>
    <t>L16B</t>
    <phoneticPr fontId="4"/>
  </si>
  <si>
    <t>L16BP</t>
    <phoneticPr fontId="4"/>
  </si>
  <si>
    <t>L17P</t>
    <phoneticPr fontId="4"/>
  </si>
  <si>
    <t>L18P</t>
    <phoneticPr fontId="4"/>
  </si>
  <si>
    <t>31LPA</t>
    <phoneticPr fontId="4"/>
  </si>
  <si>
    <t>RC</t>
    <phoneticPr fontId="4"/>
  </si>
  <si>
    <t>RE</t>
    <phoneticPr fontId="4"/>
  </si>
  <si>
    <t>RR</t>
    <phoneticPr fontId="4"/>
  </si>
  <si>
    <t>RTA</t>
    <phoneticPr fontId="4"/>
  </si>
  <si>
    <t>RTR</t>
    <phoneticPr fontId="4"/>
  </si>
  <si>
    <t>植物用ブレンド</t>
    <phoneticPr fontId="4"/>
  </si>
  <si>
    <t>植物用ﾌﾞﾚﾝﾄﾞ(海)</t>
    <phoneticPr fontId="4"/>
  </si>
  <si>
    <t>一途B</t>
    <phoneticPr fontId="4"/>
  </si>
  <si>
    <t>ｶﾘﾝ黒糖漬け</t>
    <rPh sb="3" eb="5">
      <t>コクトウ</t>
    </rPh>
    <rPh sb="5" eb="6">
      <t>ツ</t>
    </rPh>
    <phoneticPr fontId="4"/>
  </si>
  <si>
    <t>ﾋﾞﾜ黒糖漬け</t>
    <rPh sb="3" eb="5">
      <t>コクトウ</t>
    </rPh>
    <rPh sb="5" eb="6">
      <t>ツ</t>
    </rPh>
    <phoneticPr fontId="4"/>
  </si>
  <si>
    <t>山ﾌﾞﾄﾞｳ黒糖漬け</t>
    <rPh sb="0" eb="1">
      <t>ヤマ</t>
    </rPh>
    <rPh sb="6" eb="8">
      <t>コクトウ</t>
    </rPh>
    <rPh sb="8" eb="9">
      <t>ツ</t>
    </rPh>
    <phoneticPr fontId="4"/>
  </si>
  <si>
    <t>ｱｹﾋﾞ黒糖漬け</t>
    <rPh sb="4" eb="6">
      <t>コクトウ</t>
    </rPh>
    <rPh sb="6" eb="7">
      <t>ツ</t>
    </rPh>
    <phoneticPr fontId="4"/>
  </si>
  <si>
    <t>ﾕﾘ根黒糖漬け</t>
    <rPh sb="2" eb="3">
      <t>ネ</t>
    </rPh>
    <rPh sb="3" eb="5">
      <t>コクトウ</t>
    </rPh>
    <rPh sb="5" eb="6">
      <t>ツ</t>
    </rPh>
    <phoneticPr fontId="4"/>
  </si>
  <si>
    <t>ﾏﾀﾀﾋﾞ黒糖漬け</t>
    <rPh sb="5" eb="7">
      <t>コクトウ</t>
    </rPh>
    <rPh sb="7" eb="8">
      <t>ツ</t>
    </rPh>
    <phoneticPr fontId="4"/>
  </si>
  <si>
    <t>ﾋﾞﾜの種黒糖漬け</t>
    <rPh sb="4" eb="5">
      <t>タネ</t>
    </rPh>
    <rPh sb="5" eb="7">
      <t>コクトウ</t>
    </rPh>
    <rPh sb="7" eb="8">
      <t>ツ</t>
    </rPh>
    <phoneticPr fontId="4"/>
  </si>
  <si>
    <t>桑の実黒糖漬け</t>
    <rPh sb="0" eb="1">
      <t>クワ</t>
    </rPh>
    <rPh sb="2" eb="3">
      <t>ミ</t>
    </rPh>
    <rPh sb="3" eb="5">
      <t>コクトウ</t>
    </rPh>
    <rPh sb="5" eb="6">
      <t>ツ</t>
    </rPh>
    <phoneticPr fontId="4"/>
  </si>
  <si>
    <t>桑</t>
    <phoneticPr fontId="4"/>
  </si>
  <si>
    <t>14G返品</t>
    <rPh sb="3" eb="5">
      <t>ヘンピン</t>
    </rPh>
    <phoneticPr fontId="4"/>
  </si>
  <si>
    <t>HI</t>
    <phoneticPr fontId="4"/>
  </si>
  <si>
    <t>ﾊﾟﾊﾟｲﾔ圧搾</t>
    <rPh sb="6" eb="8">
      <t>アッサク</t>
    </rPh>
    <phoneticPr fontId="4"/>
  </si>
  <si>
    <t>廃棄樽</t>
    <rPh sb="0" eb="2">
      <t>ハイキ</t>
    </rPh>
    <rPh sb="2" eb="3">
      <t>タル</t>
    </rPh>
    <phoneticPr fontId="4"/>
  </si>
  <si>
    <t>品管廃棄樽</t>
    <phoneticPr fontId="4"/>
  </si>
  <si>
    <t>米ﾇｶ</t>
    <rPh sb="0" eb="1">
      <t>コメ</t>
    </rPh>
    <phoneticPr fontId="4"/>
  </si>
  <si>
    <t>返品③</t>
    <rPh sb="0" eb="2">
      <t>ヘンピン</t>
    </rPh>
    <phoneticPr fontId="4"/>
  </si>
  <si>
    <t>返品④</t>
    <rPh sb="0" eb="2">
      <t>ヘンピン</t>
    </rPh>
    <phoneticPr fontId="4"/>
  </si>
  <si>
    <t>返品⑤</t>
    <rPh sb="0" eb="2">
      <t>ヘンピン</t>
    </rPh>
    <phoneticPr fontId="4"/>
  </si>
  <si>
    <t>返品⑥</t>
    <rPh sb="0" eb="2">
      <t>ヘンピン</t>
    </rPh>
    <phoneticPr fontId="4"/>
  </si>
  <si>
    <t>ろ過ｶｽ廃棄ﾀﾞﾙ</t>
    <rPh sb="1" eb="2">
      <t>カ</t>
    </rPh>
    <phoneticPr fontId="4"/>
  </si>
  <si>
    <t>31LP圧搾ｶｽ</t>
    <rPh sb="4" eb="6">
      <t>アッサク</t>
    </rPh>
    <phoneticPr fontId="4"/>
  </si>
  <si>
    <t>S (試作）</t>
    <phoneticPr fontId="4"/>
  </si>
  <si>
    <t>カ</t>
    <phoneticPr fontId="4"/>
  </si>
  <si>
    <t>研究室用</t>
    <phoneticPr fontId="4"/>
  </si>
  <si>
    <t>検査用</t>
    <phoneticPr fontId="4"/>
  </si>
  <si>
    <t>ﾗﾍﾞﾙﾅｼ</t>
    <phoneticPr fontId="4"/>
  </si>
  <si>
    <t>抜き取り酵素</t>
  </si>
  <si>
    <t>13HI　検査用</t>
    <phoneticPr fontId="4"/>
  </si>
  <si>
    <t>試作品</t>
    <rPh sb="0" eb="2">
      <t>シサク</t>
    </rPh>
    <rPh sb="2" eb="3">
      <t>ヒン</t>
    </rPh>
    <phoneticPr fontId="4"/>
  </si>
  <si>
    <t>GIN</t>
    <phoneticPr fontId="4"/>
  </si>
  <si>
    <t>GIN30</t>
    <phoneticPr fontId="4"/>
  </si>
  <si>
    <t>GIN100</t>
    <phoneticPr fontId="4"/>
  </si>
  <si>
    <t>黒西</t>
    <rPh sb="0" eb="1">
      <t>クロ</t>
    </rPh>
    <rPh sb="1" eb="2">
      <t>ニシ</t>
    </rPh>
    <phoneticPr fontId="4"/>
  </si>
  <si>
    <t>Rﾘ</t>
    <phoneticPr fontId="4"/>
  </si>
  <si>
    <t>合計</t>
    <rPh sb="0" eb="2">
      <t>ゴウケイ</t>
    </rPh>
    <phoneticPr fontId="4"/>
  </si>
  <si>
    <t>※期末棚卸のカス、抜き取り酵素、再ろ過依頼品による差異</t>
    <rPh sb="1" eb="3">
      <t>キマツ</t>
    </rPh>
    <rPh sb="3" eb="5">
      <t>タナオロシ</t>
    </rPh>
    <rPh sb="9" eb="10">
      <t>ヌ</t>
    </rPh>
    <rPh sb="11" eb="12">
      <t>ト</t>
    </rPh>
    <rPh sb="13" eb="15">
      <t>コウソ</t>
    </rPh>
    <rPh sb="16" eb="17">
      <t>サイ</t>
    </rPh>
    <rPh sb="18" eb="19">
      <t>カ</t>
    </rPh>
    <rPh sb="19" eb="21">
      <t>イライ</t>
    </rPh>
    <rPh sb="21" eb="22">
      <t>ヒン</t>
    </rPh>
    <rPh sb="25" eb="27">
      <t>サイ</t>
    </rPh>
    <phoneticPr fontId="4"/>
  </si>
  <si>
    <t>循環参照回避用数値チェック</t>
  </si>
  <si>
    <t>原液コード</t>
  </si>
  <si>
    <t>原液名</t>
  </si>
  <si>
    <t>原料コード</t>
  </si>
  <si>
    <t>原料名</t>
  </si>
  <si>
    <t>原料量</t>
  </si>
  <si>
    <t>工程コード</t>
  </si>
  <si>
    <t>工程名</t>
  </si>
  <si>
    <t>1-00-09</t>
  </si>
  <si>
    <t>GIN</t>
  </si>
  <si>
    <t>055</t>
  </si>
  <si>
    <t>ｼｮｳｶﾞ</t>
  </si>
  <si>
    <t>002</t>
  </si>
  <si>
    <t>仕込工程</t>
  </si>
  <si>
    <t>製造使用分</t>
  </si>
  <si>
    <t>201</t>
  </si>
  <si>
    <t>黒糖</t>
  </si>
  <si>
    <t>1-41-1-01</t>
  </si>
  <si>
    <t>41Rﾘ</t>
  </si>
  <si>
    <t>001</t>
  </si>
  <si>
    <t>ﾘﾝｺﾞ</t>
  </si>
  <si>
    <t>006</t>
  </si>
  <si>
    <t>添加･混合工程</t>
  </si>
  <si>
    <t>1-42-1-01</t>
  </si>
  <si>
    <t>42Rﾘ</t>
  </si>
  <si>
    <t>1-49-1</t>
  </si>
  <si>
    <t>49R</t>
  </si>
  <si>
    <t>008</t>
  </si>
  <si>
    <t>ｲﾁｺﾞ</t>
  </si>
  <si>
    <t>025</t>
  </si>
  <si>
    <t>ﾆﾝｼﾞﾝ（西洋）</t>
  </si>
  <si>
    <t>027</t>
  </si>
  <si>
    <t>ﾆﾝﾆｸ</t>
  </si>
  <si>
    <t>030</t>
  </si>
  <si>
    <t>玄米</t>
  </si>
  <si>
    <t>039</t>
  </si>
  <si>
    <t>黒ｺﾞﾏ</t>
  </si>
  <si>
    <t>040</t>
  </si>
  <si>
    <t>白ｺﾞﾏ</t>
  </si>
  <si>
    <t>046</t>
  </si>
  <si>
    <t>ｷｭｳﾘ</t>
  </si>
  <si>
    <t>047</t>
  </si>
  <si>
    <t>ｼｿ</t>
  </si>
  <si>
    <t>048</t>
  </si>
  <si>
    <t>ｾﾛﾘ</t>
  </si>
  <si>
    <t>051</t>
  </si>
  <si>
    <t>干し柿</t>
  </si>
  <si>
    <t>057</t>
  </si>
  <si>
    <t>ｸﾙﾐ</t>
  </si>
  <si>
    <t>061</t>
  </si>
  <si>
    <t>ｵﾘｺﾞ糖</t>
  </si>
  <si>
    <t>202</t>
  </si>
  <si>
    <t>果糖</t>
  </si>
  <si>
    <t>203</t>
  </si>
  <si>
    <t>ﾌﾞﾄﾞｳ糖</t>
  </si>
  <si>
    <t>204</t>
  </si>
  <si>
    <t>はちみつ</t>
  </si>
  <si>
    <t>916</t>
  </si>
  <si>
    <t>コーン油</t>
  </si>
  <si>
    <t>917</t>
  </si>
  <si>
    <t>ベニ花油</t>
  </si>
  <si>
    <t>920</t>
  </si>
  <si>
    <t>ゴマ油</t>
  </si>
  <si>
    <t>921</t>
  </si>
  <si>
    <t>アボカド油</t>
  </si>
  <si>
    <t>922</t>
  </si>
  <si>
    <t>クルミ油</t>
  </si>
  <si>
    <t>1-50-1</t>
  </si>
  <si>
    <t>50R</t>
  </si>
  <si>
    <t>ｶｷ</t>
  </si>
  <si>
    <t>005</t>
  </si>
  <si>
    <t>ｱｹﾋﾞ</t>
  </si>
  <si>
    <t>ﾏﾀﾀﾋﾞ</t>
  </si>
  <si>
    <t>007</t>
  </si>
  <si>
    <t>ｲﾁｼﾞｸ</t>
  </si>
  <si>
    <t>009</t>
  </si>
  <si>
    <t>山ﾌﾞﾄﾞｳ</t>
  </si>
  <si>
    <t>010</t>
  </si>
  <si>
    <t>ﾌﾞﾄﾞｳ</t>
  </si>
  <si>
    <t>011</t>
  </si>
  <si>
    <t>山桃</t>
  </si>
  <si>
    <t>012</t>
  </si>
  <si>
    <t>梅</t>
  </si>
  <si>
    <t>024</t>
  </si>
  <si>
    <t>ｺﾞﾎﾞｳ</t>
  </si>
  <si>
    <t>026</t>
  </si>
  <si>
    <t>ﾆﾝｼﾞﾝ（金時）</t>
  </si>
  <si>
    <t>028</t>
  </si>
  <si>
    <t>ﾚﾝｺﾝ</t>
  </si>
  <si>
    <t>029</t>
  </si>
  <si>
    <t>ﾕﾘ根</t>
  </si>
  <si>
    <t>032</t>
  </si>
  <si>
    <t>白米</t>
  </si>
  <si>
    <t>033</t>
  </si>
  <si>
    <t>きび</t>
  </si>
  <si>
    <t>034</t>
  </si>
  <si>
    <t>とうもろこし</t>
  </si>
  <si>
    <t>035</t>
  </si>
  <si>
    <t>大麦</t>
  </si>
  <si>
    <t>036</t>
  </si>
  <si>
    <t>あわ</t>
  </si>
  <si>
    <t>037</t>
  </si>
  <si>
    <t>大豆</t>
  </si>
  <si>
    <t>038</t>
  </si>
  <si>
    <t>黒豆</t>
  </si>
  <si>
    <t>041</t>
  </si>
  <si>
    <t>ｺﾝﾌﾞ</t>
  </si>
  <si>
    <t>042</t>
  </si>
  <si>
    <t>ﾜｶﾒ</t>
  </si>
  <si>
    <t>043</t>
  </si>
  <si>
    <t>ﾋｼﾞｷ</t>
  </si>
  <si>
    <t>044</t>
  </si>
  <si>
    <t>ﾉﾘ</t>
  </si>
  <si>
    <t>045</t>
  </si>
  <si>
    <t>(川)ﾉﾘ(ｱｵﾉﾘ)</t>
  </si>
  <si>
    <t>200</t>
  </si>
  <si>
    <t>有機黒糖</t>
  </si>
  <si>
    <t>205</t>
  </si>
  <si>
    <t>澱粉</t>
  </si>
  <si>
    <t>206</t>
  </si>
  <si>
    <t>きなこ</t>
  </si>
  <si>
    <t>207</t>
  </si>
  <si>
    <t>種麹</t>
  </si>
  <si>
    <t>923</t>
  </si>
  <si>
    <t>インゲン豆</t>
  </si>
  <si>
    <t>924</t>
  </si>
  <si>
    <t>小豆</t>
  </si>
  <si>
    <t>925</t>
  </si>
  <si>
    <t>ひよこ豆</t>
  </si>
  <si>
    <t>926</t>
  </si>
  <si>
    <t>そら豆</t>
  </si>
  <si>
    <t>927</t>
  </si>
  <si>
    <t>えんどう豆</t>
  </si>
  <si>
    <t>1-51-1</t>
  </si>
  <si>
    <t>51R</t>
  </si>
  <si>
    <t>003</t>
  </si>
  <si>
    <t>ﾊﾞﾅﾅ</t>
  </si>
  <si>
    <t>004</t>
  </si>
  <si>
    <t>ﾊﾟｲﾝｱｯﾌﾟﾙ</t>
  </si>
  <si>
    <t>013</t>
  </si>
  <si>
    <t>ﾈｰﾌﾞﾙ</t>
  </si>
  <si>
    <t>014</t>
  </si>
  <si>
    <t>ﾊｯｻｸ</t>
  </si>
  <si>
    <t>015</t>
  </si>
  <si>
    <t>みかん</t>
  </si>
  <si>
    <t>016</t>
  </si>
  <si>
    <t>夏みかん</t>
  </si>
  <si>
    <t>017</t>
  </si>
  <si>
    <t>伊予柑</t>
  </si>
  <si>
    <t>018</t>
  </si>
  <si>
    <t>ｷﾝｶﾝ</t>
  </si>
  <si>
    <t>019</t>
  </si>
  <si>
    <t>ﾕｽﾞ</t>
  </si>
  <si>
    <t>020</t>
  </si>
  <si>
    <t>ｶﾎﾞｽ</t>
  </si>
  <si>
    <t>021</t>
  </si>
  <si>
    <t>ｻﾞﾎﾞﾝ</t>
  </si>
  <si>
    <t>022</t>
  </si>
  <si>
    <t>ﾎﾟﾝｶﾝ</t>
  </si>
  <si>
    <t>023</t>
  </si>
  <si>
    <t>ﾚﾓﾝ</t>
  </si>
  <si>
    <t>031</t>
  </si>
  <si>
    <t>もち米</t>
  </si>
  <si>
    <t>096</t>
  </si>
  <si>
    <t>ブルーベリー</t>
  </si>
  <si>
    <t>097</t>
  </si>
  <si>
    <t>ビーツ</t>
  </si>
  <si>
    <t>098</t>
  </si>
  <si>
    <t>じゃがいも</t>
  </si>
  <si>
    <t>099</t>
  </si>
  <si>
    <t>さつま芋</t>
  </si>
  <si>
    <t>4-00-01</t>
  </si>
  <si>
    <t>GPA</t>
  </si>
  <si>
    <t>333</t>
  </si>
  <si>
    <t>ﾍﾙﾊﾞｾﾙ</t>
  </si>
  <si>
    <t>4-02-07</t>
  </si>
  <si>
    <t>BG</t>
  </si>
  <si>
    <t>4-02-14</t>
  </si>
  <si>
    <t>BM</t>
  </si>
  <si>
    <t>352</t>
  </si>
  <si>
    <t>ﾏﾇｶﾊﾆｰ</t>
  </si>
  <si>
    <t>4-04-03</t>
  </si>
  <si>
    <t>DC</t>
  </si>
  <si>
    <t>302</t>
  </si>
  <si>
    <t>姫ﾏﾂﾀｹｴｷｽ顆粒末</t>
  </si>
  <si>
    <t>327</t>
  </si>
  <si>
    <t>乳酸菌</t>
  </si>
  <si>
    <t>353</t>
  </si>
  <si>
    <t>ｱｶﾞﾘｸｽ子実体ｴｷｽ末</t>
  </si>
  <si>
    <t>4-06-02</t>
  </si>
  <si>
    <t>FB</t>
  </si>
  <si>
    <t>301</t>
  </si>
  <si>
    <t>ｼｬﾝﾋﾟﾆｵﾝｴｷｽ濃縮液</t>
  </si>
  <si>
    <t>312</t>
  </si>
  <si>
    <t>ﾏｶ末</t>
  </si>
  <si>
    <t>317</t>
  </si>
  <si>
    <t>紫ﾄｳﾓﾛｺｼｴｷｽﾊﾟｳﾀﾞｰ</t>
  </si>
  <si>
    <t>4-07</t>
  </si>
  <si>
    <t>G</t>
  </si>
  <si>
    <t>4-15-06</t>
  </si>
  <si>
    <t>OF</t>
  </si>
  <si>
    <t>4-16-05-01</t>
  </si>
  <si>
    <t>PEA</t>
  </si>
  <si>
    <t>4-16-18</t>
  </si>
  <si>
    <t>PR</t>
  </si>
  <si>
    <t>336</t>
  </si>
  <si>
    <t>ﾌﾞﾙｰﾍﾞﾘｰ末</t>
  </si>
  <si>
    <t>4-16-19-01</t>
  </si>
  <si>
    <t>PSA</t>
  </si>
  <si>
    <t>338</t>
  </si>
  <si>
    <t>ﾉﾆﾋﾟｭｰﾚFD粉末</t>
  </si>
  <si>
    <t>345</t>
  </si>
  <si>
    <t>輸入はちみつ</t>
  </si>
  <si>
    <t>346</t>
  </si>
  <si>
    <t>ﾉﾆﾋﾟｭｰﾚ液</t>
  </si>
  <si>
    <t>4-16-24-01</t>
  </si>
  <si>
    <t>4-16-24-02</t>
  </si>
  <si>
    <t>PXM</t>
  </si>
  <si>
    <t>4-30-01</t>
  </si>
  <si>
    <t>MPA</t>
  </si>
  <si>
    <t>4-52-01</t>
  </si>
  <si>
    <t>5A</t>
  </si>
  <si>
    <t>318</t>
  </si>
  <si>
    <t>梅ｴｷｽ</t>
  </si>
  <si>
    <t>4-55-03</t>
  </si>
  <si>
    <t>325</t>
  </si>
  <si>
    <t>納豆菌</t>
  </si>
  <si>
    <t>7-10</t>
  </si>
  <si>
    <t>056</t>
  </si>
  <si>
    <t>桑の実</t>
  </si>
  <si>
    <t>7-11</t>
  </si>
  <si>
    <t>黒西</t>
  </si>
  <si>
    <t>受入原液コード</t>
  </si>
  <si>
    <t>受入原液名</t>
  </si>
  <si>
    <t>使用原液コード</t>
  </si>
  <si>
    <t>使用原液名</t>
  </si>
  <si>
    <t>使用原液量</t>
  </si>
  <si>
    <t>Q_受入記録.工程名</t>
  </si>
  <si>
    <t>Q_使用記録.工程名</t>
  </si>
  <si>
    <t>受入原液⇔使用原液</t>
    <rPh sb="0" eb="2">
      <t>ウケイレ</t>
    </rPh>
    <rPh sb="2" eb="4">
      <t>ゲンエキ</t>
    </rPh>
    <rPh sb="5" eb="7">
      <t>シヨウ</t>
    </rPh>
    <rPh sb="7" eb="9">
      <t>ゲンエキ</t>
    </rPh>
    <phoneticPr fontId="3"/>
  </si>
  <si>
    <t>10-07</t>
  </si>
  <si>
    <t>試作品</t>
  </si>
  <si>
    <t>1-41-1</t>
  </si>
  <si>
    <t>C工程</t>
  </si>
  <si>
    <t>1-19-2A</t>
  </si>
  <si>
    <t>19HIA</t>
  </si>
  <si>
    <t>1-16-2-02</t>
  </si>
  <si>
    <t>16HIｸ</t>
  </si>
  <si>
    <t>調合工程</t>
  </si>
  <si>
    <t>1-19-2</t>
  </si>
  <si>
    <t>19HI</t>
  </si>
  <si>
    <t>1-19-3A</t>
  </si>
  <si>
    <t>19GA</t>
  </si>
  <si>
    <t>1-19-3</t>
  </si>
  <si>
    <t>19G</t>
  </si>
  <si>
    <t>1-41-1-00</t>
  </si>
  <si>
    <t>41RG</t>
  </si>
  <si>
    <t>1-41-1-00-01</t>
  </si>
  <si>
    <t>41RGI</t>
  </si>
  <si>
    <t>I工程</t>
  </si>
  <si>
    <t>1-41-1-05</t>
  </si>
  <si>
    <t>41Rﾏ</t>
  </si>
  <si>
    <t>1-42-1</t>
  </si>
  <si>
    <t>2-01-22-03</t>
  </si>
  <si>
    <t>22RﾊﾟC</t>
  </si>
  <si>
    <t>1-22-1-01</t>
  </si>
  <si>
    <t>22Rﾊﾟ</t>
  </si>
  <si>
    <t>2-01-29-01</t>
  </si>
  <si>
    <t>1-29-1</t>
  </si>
  <si>
    <t>29R</t>
  </si>
  <si>
    <t>2-01-41</t>
  </si>
  <si>
    <t>41RB</t>
  </si>
  <si>
    <t>5-20-1A</t>
  </si>
  <si>
    <t>LPA</t>
  </si>
  <si>
    <t>2-02-19</t>
  </si>
  <si>
    <t>19HIB</t>
  </si>
  <si>
    <t>5-17-2A</t>
  </si>
  <si>
    <t>LBA</t>
  </si>
  <si>
    <t>2-03</t>
  </si>
  <si>
    <t>GB</t>
  </si>
  <si>
    <t>2-05</t>
  </si>
  <si>
    <t>231B</t>
  </si>
  <si>
    <t>1-17-2A</t>
  </si>
  <si>
    <t>17HIA</t>
  </si>
  <si>
    <t>2-12</t>
  </si>
  <si>
    <t>3-00</t>
  </si>
  <si>
    <t>GP</t>
  </si>
  <si>
    <t>ろ過工程</t>
  </si>
  <si>
    <t>3-02</t>
  </si>
  <si>
    <t>B</t>
  </si>
  <si>
    <t>3-03</t>
  </si>
  <si>
    <t>C</t>
  </si>
  <si>
    <t>3-04</t>
  </si>
  <si>
    <t>D</t>
  </si>
  <si>
    <t>3-16</t>
  </si>
  <si>
    <t>P</t>
  </si>
  <si>
    <t>3-05</t>
  </si>
  <si>
    <t>E</t>
  </si>
  <si>
    <t>2-07</t>
  </si>
  <si>
    <t>SPB</t>
  </si>
  <si>
    <t>3-15</t>
  </si>
  <si>
    <t>O</t>
  </si>
  <si>
    <t>3-30</t>
  </si>
  <si>
    <t>MP</t>
  </si>
  <si>
    <t>SC移動処理</t>
  </si>
  <si>
    <t>3-16-05</t>
  </si>
  <si>
    <t>PE</t>
  </si>
  <si>
    <t>1-41-1-04</t>
  </si>
  <si>
    <t>41Rｼ</t>
  </si>
  <si>
    <t>3-16-24</t>
  </si>
  <si>
    <t>3-17</t>
  </si>
  <si>
    <t>Q</t>
  </si>
  <si>
    <t>3-20</t>
  </si>
  <si>
    <t>T</t>
  </si>
  <si>
    <t>3-25</t>
  </si>
  <si>
    <t>Y</t>
  </si>
  <si>
    <t>2-08</t>
  </si>
  <si>
    <t>YB</t>
  </si>
  <si>
    <t>3-51</t>
  </si>
  <si>
    <t>X</t>
  </si>
  <si>
    <t>2-02-21-02</t>
  </si>
  <si>
    <t>21HIB海</t>
  </si>
  <si>
    <t>3-51-02</t>
  </si>
  <si>
    <t>RX</t>
  </si>
  <si>
    <t>1-39-1</t>
  </si>
  <si>
    <t>6-99-02</t>
  </si>
  <si>
    <t>返品</t>
  </si>
  <si>
    <t>3-56</t>
  </si>
  <si>
    <t>KOL</t>
  </si>
  <si>
    <t>4-05-02</t>
  </si>
  <si>
    <t>EB</t>
  </si>
  <si>
    <t>4-22</t>
  </si>
  <si>
    <t>V</t>
  </si>
  <si>
    <t>圧搾工程</t>
  </si>
  <si>
    <t>当期の原液入庫
①</t>
    <rPh sb="0" eb="2">
      <t>トウキ</t>
    </rPh>
    <rPh sb="3" eb="5">
      <t>ゲンエキ</t>
    </rPh>
    <rPh sb="5" eb="7">
      <t>ニュウコ</t>
    </rPh>
    <phoneticPr fontId="1"/>
  </si>
  <si>
    <t>うち同原液の混合による
入庫②</t>
    <rPh sb="2" eb="3">
      <t>ドウ</t>
    </rPh>
    <rPh sb="3" eb="5">
      <t>ゲンエキ</t>
    </rPh>
    <rPh sb="6" eb="8">
      <t>コンゴウ</t>
    </rPh>
    <rPh sb="12" eb="14">
      <t>ニュウコ</t>
    </rPh>
    <phoneticPr fontId="1"/>
  </si>
  <si>
    <t>原液工程のみで純増減となる
原液入庫(①－②)</t>
    <rPh sb="0" eb="2">
      <t>ゲンエキ</t>
    </rPh>
    <rPh sb="2" eb="4">
      <t>コウテイ</t>
    </rPh>
    <rPh sb="7" eb="9">
      <t>ジュンゾウ</t>
    </rPh>
    <rPh sb="9" eb="10">
      <t>ゲン</t>
    </rPh>
    <rPh sb="14" eb="16">
      <t>ゲンエキ</t>
    </rPh>
    <rPh sb="16" eb="18">
      <t>ニュウコ</t>
    </rPh>
    <phoneticPr fontId="1"/>
  </si>
  <si>
    <t>1-21-6</t>
  </si>
  <si>
    <t>21HI海</t>
  </si>
  <si>
    <t>1-44-1</t>
  </si>
  <si>
    <t>1-45-1</t>
  </si>
  <si>
    <t>45R</t>
  </si>
  <si>
    <t>8-01</t>
  </si>
  <si>
    <t>圧搾ｶｽ</t>
  </si>
  <si>
    <t>製造部DBより</t>
    <rPh sb="0" eb="3">
      <t>セイゾウブ</t>
    </rPh>
    <phoneticPr fontId="4"/>
  </si>
  <si>
    <t>合計 / 原液量</t>
  </si>
  <si>
    <t>検査･分析</t>
  </si>
  <si>
    <t>MKA</t>
  </si>
  <si>
    <t>MKB</t>
  </si>
  <si>
    <t>MKC</t>
  </si>
  <si>
    <t>MGA</t>
  </si>
  <si>
    <t>MGB</t>
  </si>
  <si>
    <t>SCより↓</t>
    <phoneticPr fontId="4"/>
  </si>
  <si>
    <t>No</t>
  </si>
  <si>
    <t>SOUCD</t>
  </si>
  <si>
    <t>HINCD</t>
  </si>
  <si>
    <t>HINNMA</t>
  </si>
  <si>
    <t>SUM(A."FURSU")</t>
  </si>
  <si>
    <t>LINCMA</t>
  </si>
  <si>
    <t>LINCMB</t>
  </si>
  <si>
    <t>0000000000003</t>
  </si>
  <si>
    <t>0120110900019</t>
  </si>
  <si>
    <t>無償出庫 品質保証部</t>
  </si>
  <si>
    <t>研究</t>
    <rPh sb="0" eb="2">
      <t>ケンキュウ</t>
    </rPh>
    <phoneticPr fontId="3"/>
  </si>
  <si>
    <t>0120110900030</t>
  </si>
  <si>
    <t>0120110900045</t>
  </si>
  <si>
    <t>無償出庫 研究開発部</t>
  </si>
  <si>
    <t>無償出庫 商品開発部</t>
  </si>
  <si>
    <t>0120110900048</t>
  </si>
  <si>
    <t>YA</t>
  </si>
  <si>
    <t>0120110900049</t>
  </si>
  <si>
    <t>YC</t>
  </si>
  <si>
    <t>0120170500055</t>
  </si>
  <si>
    <t>0120200900080</t>
  </si>
  <si>
    <t>ﾃｽﾄ充填</t>
  </si>
  <si>
    <t>HARVEST 0.5ml</t>
  </si>
  <si>
    <t>0120171100007</t>
  </si>
  <si>
    <t>ﾃｽﾄ生産 20g用</t>
  </si>
  <si>
    <t>MULBERRY2.5g</t>
  </si>
  <si>
    <t>0120110900027</t>
  </si>
  <si>
    <t>生産・作業依頼書</t>
  </si>
  <si>
    <t>P2.5g×2研究検討研開</t>
  </si>
  <si>
    <t>0120110900003</t>
  </si>
  <si>
    <t>商品開発部依頼分</t>
  </si>
  <si>
    <t>撮影用ｻﾝﾌﾟﾙ</t>
  </si>
  <si>
    <t>0120110900040</t>
  </si>
  <si>
    <t>ﾃｽﾄ生産 馬用万田酵素</t>
  </si>
  <si>
    <t>商品開発部依頼</t>
  </si>
  <si>
    <t>商品化想定保存試験用</t>
  </si>
  <si>
    <t>E-100白Sｷｬｯﾌﾟ篏合性</t>
  </si>
  <si>
    <t>生産管理依頼分</t>
  </si>
  <si>
    <t>ﾃｽﾄ生産 20g</t>
  </si>
  <si>
    <t>発酵しょうが2.5g</t>
  </si>
  <si>
    <t>ﾃｽﾄ生産</t>
  </si>
  <si>
    <t>発酵しょうが20g用</t>
  </si>
  <si>
    <t>0120230400008</t>
  </si>
  <si>
    <t>発酵しょうが5.0g</t>
  </si>
  <si>
    <t>ﾋﾞﾝ自動充填機内検査</t>
  </si>
  <si>
    <t>品質保証部依頼分</t>
  </si>
  <si>
    <t>テスト生産</t>
  </si>
  <si>
    <t>ｸﾞﾘｰﾝｷｰﾊﾟｰ新商品</t>
  </si>
  <si>
    <t>GINGER2.5g(20g用)</t>
  </si>
  <si>
    <t>ﾃｽﾄ生産2号ﾗｲﾝ</t>
  </si>
  <si>
    <t>試用</t>
  </si>
  <si>
    <t>LP</t>
  </si>
  <si>
    <t>0120110900024</t>
  </si>
  <si>
    <t>無償出庫 CX部</t>
  </si>
  <si>
    <t>販促</t>
    <rPh sb="0" eb="2">
      <t>ハンソク</t>
    </rPh>
    <phoneticPr fontId="3"/>
  </si>
  <si>
    <t>ﾃｽﾄﾏｰｹﾃｨﾝｸﾞ用</t>
  </si>
  <si>
    <t>国際部(商開部)依頼分</t>
  </si>
  <si>
    <t>商談時ｻﾝﾌﾟﾙ用</t>
  </si>
  <si>
    <t>ｸﾞﾘｰﾝｷｰﾊﾟｰ商開依頼分</t>
  </si>
  <si>
    <t>廃棄処分</t>
  </si>
  <si>
    <t>マタ</t>
  </si>
  <si>
    <t>ろ過ｶｽ</t>
  </si>
  <si>
    <t>SUM(B."FURSU")</t>
  </si>
  <si>
    <t>HINCLBID</t>
  </si>
  <si>
    <t>DENKB</t>
  </si>
  <si>
    <t>←SCより</t>
    <phoneticPr fontId="4"/>
  </si>
  <si>
    <t>0120110900002</t>
  </si>
  <si>
    <t>02</t>
  </si>
  <si>
    <t>S</t>
  </si>
  <si>
    <t>0120110900005</t>
  </si>
  <si>
    <t>BE</t>
  </si>
  <si>
    <t>0120110900011</t>
  </si>
  <si>
    <t>0120110900014</t>
  </si>
  <si>
    <t>0120110900015</t>
  </si>
  <si>
    <t>0120110900017</t>
  </si>
  <si>
    <t>0120110900020</t>
  </si>
  <si>
    <t>0120110900031</t>
  </si>
  <si>
    <t>PG</t>
  </si>
  <si>
    <t>0120110900035</t>
  </si>
  <si>
    <t>0120110900038</t>
  </si>
  <si>
    <t>0120110900041</t>
  </si>
  <si>
    <t>0120110900047</t>
  </si>
  <si>
    <t>0120110900050</t>
  </si>
  <si>
    <t>ZA</t>
  </si>
  <si>
    <t>0120111000017</t>
  </si>
  <si>
    <t>0120120600016</t>
  </si>
  <si>
    <t>0120160600001</t>
  </si>
  <si>
    <t>0120201100061</t>
  </si>
  <si>
    <t>0120210400012</t>
  </si>
  <si>
    <t>LPZ</t>
  </si>
  <si>
    <t>0120240100048</t>
  </si>
  <si>
    <t>↓製造部労務DBより(202505)</t>
    <rPh sb="1" eb="4">
      <t>セイゾウブ</t>
    </rPh>
    <rPh sb="4" eb="6">
      <t>ロウム</t>
    </rPh>
    <phoneticPr fontId="3"/>
  </si>
  <si>
    <t>作業時間</t>
    <rPh sb="0" eb="2">
      <t>サギョウ</t>
    </rPh>
    <rPh sb="2" eb="4">
      <t>ジカン</t>
    </rPh>
    <phoneticPr fontId="3"/>
  </si>
  <si>
    <t>バルク充填</t>
  </si>
  <si>
    <t>集計用</t>
    <rPh sb="0" eb="3">
      <t>シュウケイヨウ</t>
    </rPh>
    <phoneticPr fontId="3"/>
  </si>
  <si>
    <t>生産数</t>
    <rPh sb="0" eb="3">
      <t>セイサンスウ</t>
    </rPh>
    <phoneticPr fontId="3"/>
  </si>
  <si>
    <t>kg換算</t>
    <rPh sb="2" eb="4">
      <t>カンサン</t>
    </rPh>
    <phoneticPr fontId="3"/>
  </si>
  <si>
    <t>時間按分</t>
    <rPh sb="0" eb="2">
      <t>ジカン</t>
    </rPh>
    <rPh sb="2" eb="4">
      <t>アンブン</t>
    </rPh>
    <phoneticPr fontId="3"/>
  </si>
  <si>
    <t>原料 万田HI酵素(BG 混合品)</t>
  </si>
  <si>
    <r>
      <t>B</t>
    </r>
    <r>
      <rPr>
        <sz val="11"/>
        <color theme="1"/>
        <rFont val="游ゴシック"/>
        <family val="2"/>
        <charset val="128"/>
        <scheme val="minor"/>
      </rPr>
      <t>H</t>
    </r>
    <phoneticPr fontId="3"/>
  </si>
  <si>
    <t>BH</t>
  </si>
  <si>
    <t>原料 万田HI酵素BH</t>
  </si>
  <si>
    <t>BZ</t>
    <phoneticPr fontId="3"/>
  </si>
  <si>
    <t>BZ</t>
  </si>
  <si>
    <t>植物発酵ｴｷｽ ｱﾚﾙｷﾞｰ特定原材料</t>
  </si>
  <si>
    <t>PQ</t>
    <phoneticPr fontId="3"/>
  </si>
  <si>
    <t>PQ</t>
  </si>
  <si>
    <t>原料 万田酵素(PQ 混合品)</t>
  </si>
  <si>
    <t>H</t>
  </si>
  <si>
    <t>原料 万田酵素発酵しょうがGPA混合</t>
  </si>
  <si>
    <t>GPB</t>
  </si>
  <si>
    <t>原料 万田酵素発酵しょうがGPB混合</t>
  </si>
  <si>
    <t>犬猫向け植物発酵ｴｷｽ(ｱｰｽ技研)</t>
  </si>
  <si>
    <t>MKﾐｸｽﾁｬｰ(ﾘｷｯﾄﾞ)(kg)</t>
  </si>
  <si>
    <r>
      <t>L</t>
    </r>
    <r>
      <rPr>
        <sz val="11"/>
        <color theme="1"/>
        <rFont val="游ゴシック"/>
        <family val="2"/>
        <charset val="128"/>
        <scheme val="minor"/>
      </rPr>
      <t>PA</t>
    </r>
    <phoneticPr fontId="3"/>
  </si>
  <si>
    <t>低分子化万田酵素 1kg</t>
  </si>
  <si>
    <t>MKﾐｸｽﾁｬｰ(ﾌﾞﾛｯｸﾀｲﾌﾟ)(kg)</t>
  </si>
  <si>
    <t>P(ﾄﾞﾘﾝｸ用)</t>
  </si>
  <si>
    <t>原料 万田酵素 MULBERRY MPA(混合</t>
  </si>
  <si>
    <t>原料 万田酵素金印(OF 混合品)</t>
  </si>
  <si>
    <t>MKﾐｸｽﾁｬｰ(ﾍﾟｰｽﾄ) 20kg</t>
  </si>
  <si>
    <t>P</t>
    <phoneticPr fontId="3"/>
  </si>
  <si>
    <t>MKﾐｸｽﾁｬｰ(ﾍﾟｰｽﾄ)(kg)</t>
  </si>
  <si>
    <t>業務用酵素 万田酵素 1kg</t>
  </si>
  <si>
    <t>植物発酵ｴｷｽ 万田酵素 20kg</t>
  </si>
  <si>
    <t>原料 万田酵素</t>
    <phoneticPr fontId="3"/>
  </si>
  <si>
    <t>原料 万田酵素ﾌﾟﾗｽ温(PEA 混合品)</t>
  </si>
  <si>
    <t>原料 万田酵素 PXA (混合品)</t>
  </si>
  <si>
    <t>原料 万田酵素 X</t>
  </si>
  <si>
    <r>
      <t>R</t>
    </r>
    <r>
      <rPr>
        <sz val="11"/>
        <color theme="1"/>
        <rFont val="游ゴシック"/>
        <family val="2"/>
        <charset val="128"/>
        <scheme val="minor"/>
      </rPr>
      <t>X</t>
    </r>
    <phoneticPr fontId="3"/>
  </si>
  <si>
    <t>原料 万田酵素(植物用）</t>
  </si>
  <si>
    <t>X</t>
    <phoneticPr fontId="3"/>
  </si>
  <si>
    <t>MANDA HARVEST ｻﾝﾊﾞﾙｸ</t>
  </si>
  <si>
    <t>畜産用植物性発酵物(A飼料) バルク</t>
  </si>
  <si>
    <t>T</t>
    <phoneticPr fontId="3"/>
  </si>
  <si>
    <r>
      <t>G</t>
    </r>
    <r>
      <rPr>
        <sz val="11"/>
        <color theme="1"/>
        <rFont val="游ゴシック"/>
        <family val="2"/>
        <charset val="128"/>
        <scheme val="minor"/>
      </rPr>
      <t>IN</t>
    </r>
    <phoneticPr fontId="3"/>
  </si>
  <si>
    <t>※詰め替えのため、生産作業として使用されていない</t>
    <rPh sb="1" eb="2">
      <t>ツ</t>
    </rPh>
    <rPh sb="3" eb="4">
      <t>カ</t>
    </rPh>
    <rPh sb="9" eb="11">
      <t>セイサン</t>
    </rPh>
    <rPh sb="11" eb="13">
      <t>サギョウ</t>
    </rPh>
    <rPh sb="16" eb="18">
      <t>シヨウ</t>
    </rPh>
    <phoneticPr fontId="3"/>
  </si>
  <si>
    <t>(空白)</t>
  </si>
  <si>
    <t>原料 ひと粒のちから BHA(混合品)</t>
  </si>
  <si>
    <t>ﾏﾝﾀﾞFｷｭｰﾌﾞ 5ﾘｯﾄﾙ</t>
  </si>
  <si>
    <t>海苔養殖用｢おやじの海｣(ﾖﾓｷﾞ)</t>
  </si>
  <si>
    <t>合計</t>
    <rPh sb="0" eb="2">
      <t>ゴウケイ</t>
    </rPh>
    <phoneticPr fontId="3"/>
  </si>
  <si>
    <t>製造部製造品目合計</t>
    <rPh sb="0" eb="3">
      <t>セイゾウブ</t>
    </rPh>
    <rPh sb="3" eb="7">
      <t>セイゾウヒンモク</t>
    </rPh>
    <rPh sb="7" eb="9">
      <t>ゴウケイ</t>
    </rPh>
    <phoneticPr fontId="3"/>
  </si>
  <si>
    <t>チェック</t>
    <phoneticPr fontId="3"/>
  </si>
  <si>
    <t>原液量</t>
  </si>
  <si>
    <t>3-25-01</t>
  </si>
  <si>
    <t>番手</t>
  </si>
  <si>
    <t>種類</t>
  </si>
  <si>
    <t>備考</t>
  </si>
  <si>
    <t>受入数量</t>
  </si>
  <si>
    <t>使用数量</t>
  </si>
  <si>
    <t>在庫数量</t>
  </si>
  <si>
    <t>タル数</t>
    <rPh sb="2" eb="3">
      <t>カズ</t>
    </rPh>
    <phoneticPr fontId="3"/>
  </si>
  <si>
    <t>オレンジ</t>
    <phoneticPr fontId="3"/>
  </si>
  <si>
    <t>サンバルク</t>
    <phoneticPr fontId="3"/>
  </si>
  <si>
    <t>1-00-01</t>
  </si>
  <si>
    <t>GIN100</t>
  </si>
  <si>
    <t>1-00-02</t>
  </si>
  <si>
    <t>GIN30</t>
  </si>
  <si>
    <t>1-00-03</t>
  </si>
  <si>
    <t>GIN130</t>
  </si>
  <si>
    <t>10-01-01</t>
  </si>
  <si>
    <t>18HI：39Rﾘ＝4：1</t>
  </si>
  <si>
    <t>10-03</t>
  </si>
  <si>
    <t>研究室用</t>
  </si>
  <si>
    <t>10-6</t>
  </si>
  <si>
    <t>ﾐｬﾝﾏｰ用</t>
  </si>
  <si>
    <t>10-6-01</t>
  </si>
  <si>
    <t>海藻入り</t>
  </si>
  <si>
    <t>10-6-02</t>
  </si>
  <si>
    <t>植物用ﾌﾞﾚﾝﾄﾞB(海)</t>
  </si>
  <si>
    <t>1-100-01</t>
  </si>
  <si>
    <t>HIE</t>
  </si>
  <si>
    <t>ハイエンド</t>
  </si>
  <si>
    <t>1-101-01</t>
  </si>
  <si>
    <t>USA</t>
  </si>
  <si>
    <t>オーガニック</t>
  </si>
  <si>
    <t>1-13-1</t>
  </si>
  <si>
    <t>13R</t>
  </si>
  <si>
    <t>13番手</t>
  </si>
  <si>
    <t>ﾚｷﾞｭﾗｰ</t>
  </si>
  <si>
    <t>S62仕込み</t>
  </si>
  <si>
    <t>1-14-1</t>
  </si>
  <si>
    <t>14R</t>
  </si>
  <si>
    <t>14番手</t>
  </si>
  <si>
    <t>S63仕込み</t>
  </si>
  <si>
    <t>1-14-3</t>
  </si>
  <si>
    <t>14G</t>
  </si>
  <si>
    <t>ｺﾞｰﾙﾄﾞ</t>
  </si>
  <si>
    <t>1-15-1</t>
  </si>
  <si>
    <t>15R</t>
  </si>
  <si>
    <t>15番手</t>
  </si>
  <si>
    <t>H1仕込み</t>
  </si>
  <si>
    <t>1-15-1-01</t>
  </si>
  <si>
    <t>15R納</t>
  </si>
  <si>
    <t>ﾚｷﾞｭﾗｰ(納豆入り)</t>
  </si>
  <si>
    <t>1-15-1-02</t>
  </si>
  <si>
    <t>15R花</t>
  </si>
  <si>
    <t>ﾚｷﾞｭﾗｰ(花粉入り)</t>
  </si>
  <si>
    <t>H1仕込み　　</t>
  </si>
  <si>
    <t>1-15-1-03</t>
  </si>
  <si>
    <t>15Rｶ</t>
  </si>
  <si>
    <t>ﾚｷﾞｭﾗｰ(ｶﾘﾝ入り)</t>
  </si>
  <si>
    <t>1-15-1-04</t>
  </si>
  <si>
    <t>ﾚｷﾞｭﾗｰ(海藻入り)</t>
  </si>
  <si>
    <t>1-15-2</t>
  </si>
  <si>
    <t>15HI</t>
  </si>
  <si>
    <t>ﾊｲ</t>
  </si>
  <si>
    <t>1-15-2-02</t>
  </si>
  <si>
    <t>15HIﾆ</t>
  </si>
  <si>
    <t>ﾊｲ(ﾆﾝﾆｸ入り)</t>
  </si>
  <si>
    <t>1-15-3</t>
  </si>
  <si>
    <t>15G</t>
  </si>
  <si>
    <t>1-16-1</t>
  </si>
  <si>
    <t>16R</t>
  </si>
  <si>
    <t>16番手</t>
  </si>
  <si>
    <t>H2仕込み</t>
  </si>
  <si>
    <t>1-16-1-01</t>
  </si>
  <si>
    <t>16Rﾊﾟ</t>
  </si>
  <si>
    <t>ﾚｷﾞｭﾗｰ(ﾊﾟﾊﾟｲﾔ入り)</t>
  </si>
  <si>
    <t>1-16-2</t>
  </si>
  <si>
    <t>16HI</t>
  </si>
  <si>
    <t>ﾊｲ(桑の実入り)</t>
  </si>
  <si>
    <t>1-16-3</t>
  </si>
  <si>
    <t>1-17-1</t>
  </si>
  <si>
    <t>17R</t>
  </si>
  <si>
    <t>17番手</t>
  </si>
  <si>
    <t>H3仕込み</t>
  </si>
  <si>
    <t>1-17-1-01</t>
  </si>
  <si>
    <t>17Rﾊﾟ</t>
  </si>
  <si>
    <t>1-17-1-03</t>
  </si>
  <si>
    <t>17R納</t>
  </si>
  <si>
    <t>1-17-1-04</t>
  </si>
  <si>
    <t>17Rﾊﾟ海</t>
  </si>
  <si>
    <t>植物用</t>
  </si>
  <si>
    <t>1-17-2</t>
  </si>
  <si>
    <t>17HI</t>
  </si>
  <si>
    <t>1-17-2-01</t>
  </si>
  <si>
    <t>ﾊｲ(ﾊﾟﾊﾟｲﾔ入り)</t>
  </si>
  <si>
    <t>1-17-2-05</t>
  </si>
  <si>
    <t>17HI(231)</t>
  </si>
  <si>
    <t>231用</t>
  </si>
  <si>
    <t>ﾊｲ30R混合</t>
  </si>
  <si>
    <t>H3仕込み(30R5ℓ混合)</t>
  </si>
  <si>
    <t>1-17-2A-01</t>
  </si>
  <si>
    <t>17HIAｼ</t>
  </si>
  <si>
    <t>ﾊｲ30R混合(桑の実入り)</t>
  </si>
  <si>
    <t>1-17-4-01</t>
  </si>
  <si>
    <t>17R海</t>
  </si>
  <si>
    <t>植物用（海藻入り）</t>
  </si>
  <si>
    <t>1-17-6-01</t>
  </si>
  <si>
    <t>17HIﾊﾟ海</t>
  </si>
  <si>
    <t>ﾊｲ(ﾊﾟﾊﾟｲﾔ入り)　植物用　アルギット入り</t>
  </si>
  <si>
    <t>1-18-2</t>
  </si>
  <si>
    <t>18HI</t>
  </si>
  <si>
    <t>18番手</t>
  </si>
  <si>
    <t>H4仕込み</t>
  </si>
  <si>
    <t>1-18-2A</t>
  </si>
  <si>
    <t>18HIA</t>
  </si>
  <si>
    <t>H4仕込み(30R5ℓ混合)</t>
  </si>
  <si>
    <t>1-18-3</t>
  </si>
  <si>
    <t>ﾊｲ(ｱｲｷﾞｮｸｼ入り)</t>
  </si>
  <si>
    <t>1-18-3A</t>
  </si>
  <si>
    <t>ｺﾞｰﾙﾄﾞ30R混合</t>
  </si>
  <si>
    <t>1-18-6-01</t>
  </si>
  <si>
    <t>1-19-1</t>
  </si>
  <si>
    <t>19R</t>
  </si>
  <si>
    <t>19番手</t>
  </si>
  <si>
    <t>H5仕込み</t>
  </si>
  <si>
    <t>1-19-1-01</t>
  </si>
  <si>
    <t>19Rﾊﾟ</t>
  </si>
  <si>
    <t>1-20-2</t>
  </si>
  <si>
    <t>20HI</t>
  </si>
  <si>
    <t>20番手</t>
  </si>
  <si>
    <t>H6仕込み</t>
  </si>
  <si>
    <t>1-20-2-01</t>
  </si>
  <si>
    <t>20HIﾊﾟ</t>
  </si>
  <si>
    <t>1-20-2A</t>
  </si>
  <si>
    <t>20HIA</t>
  </si>
  <si>
    <t>1-20-6</t>
  </si>
  <si>
    <t>20HI海</t>
  </si>
  <si>
    <t>1-20-7</t>
  </si>
  <si>
    <t>20HIﾊﾟ海</t>
  </si>
  <si>
    <t>1-21-1-01</t>
  </si>
  <si>
    <t>21番手</t>
  </si>
  <si>
    <t>H7仕込み</t>
  </si>
  <si>
    <t>1-21-2</t>
  </si>
  <si>
    <t>1-21-2-01</t>
  </si>
  <si>
    <t>21HIﾊﾟ</t>
  </si>
  <si>
    <t>1-22-1</t>
  </si>
  <si>
    <t>22R</t>
  </si>
  <si>
    <t>22番手</t>
  </si>
  <si>
    <t>H8仕込み</t>
  </si>
  <si>
    <t>1-22-2</t>
  </si>
  <si>
    <t>22HI</t>
  </si>
  <si>
    <t>1-22-2-01</t>
  </si>
  <si>
    <t>22HIﾊﾟ</t>
  </si>
  <si>
    <t>1-22-3</t>
  </si>
  <si>
    <t>1-22-3-01</t>
  </si>
  <si>
    <t>22Gﾊﾟ</t>
  </si>
  <si>
    <t>ｺﾞｰﾙﾄﾞ(ﾊﾟﾊﾟｲﾔ入り)</t>
  </si>
  <si>
    <t>1-23-2</t>
  </si>
  <si>
    <t>23HI</t>
  </si>
  <si>
    <t>23番手</t>
  </si>
  <si>
    <t>H9仕込み</t>
  </si>
  <si>
    <t>1-23-2A</t>
  </si>
  <si>
    <t>ハイ30R混合</t>
  </si>
  <si>
    <t>H9仕込（30R5ℓ混合）</t>
  </si>
  <si>
    <t>1-23-3</t>
  </si>
  <si>
    <t>23G</t>
  </si>
  <si>
    <t>1-23-4</t>
  </si>
  <si>
    <t>23RX</t>
  </si>
  <si>
    <t>植物用ﾚｷﾞｭﾗｰ</t>
  </si>
  <si>
    <t>1-25-1</t>
  </si>
  <si>
    <t>25番手</t>
  </si>
  <si>
    <t>H11仕込み</t>
  </si>
  <si>
    <t>1-25-1-01</t>
  </si>
  <si>
    <t>25Rﾊﾟ</t>
  </si>
  <si>
    <t>1-25-1A-01</t>
  </si>
  <si>
    <t>25RAﾊﾟ</t>
  </si>
  <si>
    <t>1-26-1-02</t>
  </si>
  <si>
    <t>26Rｶ</t>
  </si>
  <si>
    <t>26番手</t>
  </si>
  <si>
    <t>ﾚｷﾞｭﾗｰ(ｶﾊﾞﾅｱﾅﾀｹ5kg入り)</t>
  </si>
  <si>
    <t>H12仕込み（会長依頼品）</t>
  </si>
  <si>
    <t>1-27-1</t>
  </si>
  <si>
    <t>27R</t>
  </si>
  <si>
    <t>27番手</t>
  </si>
  <si>
    <t>H13仕込み</t>
  </si>
  <si>
    <t>29番手</t>
  </si>
  <si>
    <t>H15仕込み</t>
  </si>
  <si>
    <t>1-29-1A</t>
  </si>
  <si>
    <t>29RA</t>
  </si>
  <si>
    <t>ﾚｷﾞｭﾗｰ30R混合</t>
  </si>
  <si>
    <t>H15仕込み(30R5ℓ混合)</t>
  </si>
  <si>
    <t>1-29-8</t>
  </si>
  <si>
    <t>畜産用</t>
  </si>
  <si>
    <t>1-31-1</t>
  </si>
  <si>
    <t>31R</t>
  </si>
  <si>
    <t>31番手</t>
  </si>
  <si>
    <t>H17仕込み</t>
  </si>
  <si>
    <t>1-32-1</t>
  </si>
  <si>
    <t>32R</t>
  </si>
  <si>
    <t>32番手</t>
  </si>
  <si>
    <t>H18仕込み</t>
  </si>
  <si>
    <t>1-33-1</t>
  </si>
  <si>
    <t>33番手</t>
  </si>
  <si>
    <t>H19仕込み</t>
  </si>
  <si>
    <t>1-34-1</t>
  </si>
  <si>
    <t>34番手</t>
  </si>
  <si>
    <t>H20仕込み</t>
  </si>
  <si>
    <t>1-34-1-04</t>
  </si>
  <si>
    <t>ﾚｷﾞｭﾗｰ(ｼｮｳｶﾞ入り)</t>
  </si>
  <si>
    <t>1-35-1</t>
  </si>
  <si>
    <t>35番手</t>
  </si>
  <si>
    <t>H21仕込み</t>
  </si>
  <si>
    <t>1-36-1</t>
  </si>
  <si>
    <t>36番手</t>
  </si>
  <si>
    <t>H22仕込み</t>
  </si>
  <si>
    <t>1-36-1-02</t>
  </si>
  <si>
    <t>36RB海</t>
  </si>
  <si>
    <t>1-37-1</t>
  </si>
  <si>
    <t>37番手</t>
  </si>
  <si>
    <t>H23仕込み</t>
  </si>
  <si>
    <t>1-37-1-02</t>
  </si>
  <si>
    <t>37RB海</t>
  </si>
  <si>
    <t>1-38-1</t>
  </si>
  <si>
    <t>38番手</t>
  </si>
  <si>
    <t>H24仕込み</t>
  </si>
  <si>
    <t>1-38-1-04</t>
  </si>
  <si>
    <t>1-38-2-01</t>
  </si>
  <si>
    <t>1-38-3-01</t>
  </si>
  <si>
    <t>39番手</t>
  </si>
  <si>
    <t>H25仕込み</t>
  </si>
  <si>
    <t>1-39-1-01</t>
  </si>
  <si>
    <t>ﾚｷﾞｭﾗｰ（粘度調整済）</t>
  </si>
  <si>
    <t>1-39-1-02</t>
  </si>
  <si>
    <t>39Rﾘ(ｶﾘﾝ)</t>
  </si>
  <si>
    <t>ﾚｷﾞｭﾗｰ（ｶﾘﾝ入り）</t>
  </si>
  <si>
    <t>1-39-1-04</t>
  </si>
  <si>
    <t>1-39-1-05</t>
  </si>
  <si>
    <t>桑の実入り</t>
  </si>
  <si>
    <t>1-40-1</t>
  </si>
  <si>
    <t>40番手</t>
  </si>
  <si>
    <t>H26仕込み</t>
  </si>
  <si>
    <t>1-40-1-01</t>
  </si>
  <si>
    <t>1-40-1-02</t>
  </si>
  <si>
    <t>1-40-1-04</t>
  </si>
  <si>
    <t>1-40-1-05</t>
  </si>
  <si>
    <t>40Rﾏ</t>
  </si>
  <si>
    <t>41番手</t>
  </si>
  <si>
    <t>H27仕込み</t>
  </si>
  <si>
    <t>41Rﾘ、GIN130調合品</t>
  </si>
  <si>
    <t>RG　I工程済品</t>
  </si>
  <si>
    <t>42番手</t>
  </si>
  <si>
    <t>H28仕込み</t>
  </si>
  <si>
    <t>1-43-1</t>
  </si>
  <si>
    <t>43番手</t>
  </si>
  <si>
    <t>H29仕込み</t>
  </si>
  <si>
    <t>44番手</t>
  </si>
  <si>
    <t>H30仕込み</t>
  </si>
  <si>
    <t>45番手</t>
  </si>
  <si>
    <t>H31仕込み</t>
  </si>
  <si>
    <t>1-46-1</t>
  </si>
  <si>
    <t>46R</t>
  </si>
  <si>
    <t>46番手</t>
  </si>
  <si>
    <t>R2仕込み</t>
  </si>
  <si>
    <t>1-47-1</t>
  </si>
  <si>
    <t>47R</t>
  </si>
  <si>
    <t>47番手</t>
  </si>
  <si>
    <t>R3仕込み</t>
  </si>
  <si>
    <t>1-48-1</t>
  </si>
  <si>
    <t>48R</t>
  </si>
  <si>
    <t>48番手　　</t>
  </si>
  <si>
    <t>R4仕込み</t>
  </si>
  <si>
    <t>49番手</t>
  </si>
  <si>
    <t>レギュラー</t>
  </si>
  <si>
    <t>R5仕込み</t>
  </si>
  <si>
    <t>50番手</t>
  </si>
  <si>
    <t>R6仕込み</t>
  </si>
  <si>
    <t>51番手</t>
  </si>
  <si>
    <t>R7仕込み</t>
  </si>
  <si>
    <t>2-01-00</t>
  </si>
  <si>
    <t>再ろ過依頼品</t>
  </si>
  <si>
    <t>定番</t>
  </si>
  <si>
    <t>熟成酵素70gの件</t>
  </si>
  <si>
    <t>2-01-16</t>
  </si>
  <si>
    <t>16RﾊﾟB</t>
  </si>
  <si>
    <t>定番(ﾊﾟﾊﾟｲﾔ入り)</t>
  </si>
  <si>
    <t>Z</t>
  </si>
  <si>
    <t>2-01-19-02</t>
  </si>
  <si>
    <t>19RBｶﾘﾝ</t>
  </si>
  <si>
    <t>定番(ｶﾘﾝ入り)</t>
  </si>
  <si>
    <t>22Rﾊﾟ×HI</t>
  </si>
  <si>
    <t>2-01-25-01</t>
  </si>
  <si>
    <t>25RﾊﾟB</t>
  </si>
  <si>
    <t>2-01-29</t>
  </si>
  <si>
    <t>29RB</t>
  </si>
  <si>
    <t>Ｔ</t>
  </si>
  <si>
    <t>2-01-39</t>
  </si>
  <si>
    <t>Ｐ</t>
  </si>
  <si>
    <t>2-01-40</t>
  </si>
  <si>
    <t>40RB</t>
  </si>
  <si>
    <t>2-02-18</t>
  </si>
  <si>
    <t>HI</t>
  </si>
  <si>
    <t>2-02-20</t>
  </si>
  <si>
    <t>20HIB</t>
  </si>
  <si>
    <t>2-02-20-1</t>
  </si>
  <si>
    <t>20HIB海</t>
  </si>
  <si>
    <t>金印</t>
  </si>
  <si>
    <t>231</t>
  </si>
  <si>
    <t>2-06-16</t>
  </si>
  <si>
    <t>16HIﾊﾟB</t>
  </si>
  <si>
    <t>ｽﾘﾑ</t>
  </si>
  <si>
    <t>J</t>
  </si>
  <si>
    <t>ｽｰﾊﾟｰ</t>
  </si>
  <si>
    <t>L5000</t>
  </si>
  <si>
    <t>2-100-01</t>
  </si>
  <si>
    <t>HIEA</t>
  </si>
  <si>
    <t>2-11-29</t>
  </si>
  <si>
    <t>29R田B</t>
  </si>
  <si>
    <t>29R田-68</t>
  </si>
  <si>
    <t>HI・R調合品</t>
  </si>
  <si>
    <t>ろ過後</t>
  </si>
  <si>
    <t>特選</t>
  </si>
  <si>
    <t>万典酵元</t>
  </si>
  <si>
    <t>3-08</t>
  </si>
  <si>
    <t>きゃどっく（ペット用）</t>
  </si>
  <si>
    <t>3-15-03</t>
  </si>
  <si>
    <t>OC</t>
  </si>
  <si>
    <t>金印秘伝</t>
  </si>
  <si>
    <t>3-15-04</t>
  </si>
  <si>
    <t>OWT</t>
  </si>
  <si>
    <t>ｴｺﾌﾟﾚﾐｱﾑｺﾞｰﾙﾄﾞ極</t>
  </si>
  <si>
    <t>r</t>
  </si>
  <si>
    <t>ﾌﾟﾗｽ温(ｼｮｳｶﾞ入り)</t>
  </si>
  <si>
    <t>スタンダード</t>
  </si>
  <si>
    <t>ﾊﾞｲｵG</t>
  </si>
  <si>
    <t>3-23</t>
  </si>
  <si>
    <t>W</t>
  </si>
  <si>
    <t>21</t>
  </si>
  <si>
    <t>圧液 L5000</t>
  </si>
  <si>
    <t>3-26</t>
  </si>
  <si>
    <t>マルベリー</t>
  </si>
  <si>
    <t>植物用（アミノアルファ用）</t>
  </si>
  <si>
    <t>3-51-03</t>
  </si>
  <si>
    <t>X（ﾐｬﾝﾏｰ）</t>
  </si>
  <si>
    <t>3-55</t>
  </si>
  <si>
    <t>XM</t>
  </si>
  <si>
    <t>植物用（ﾐｬﾝﾏｰ）</t>
  </si>
  <si>
    <t>大型ﾀﾝｸ</t>
  </si>
  <si>
    <t>3-57</t>
  </si>
  <si>
    <t>HI（ｸﾙﾐﾌﾘｰ）</t>
  </si>
  <si>
    <t>粒用　（I機処理品）</t>
  </si>
  <si>
    <t>添加混合後</t>
  </si>
  <si>
    <t>4-00-02</t>
  </si>
  <si>
    <t>粒用　（I機未処理品）</t>
  </si>
  <si>
    <t>4-02-05</t>
  </si>
  <si>
    <t>EH-KOSO(大豆ｲｿﾌﾗﾎﾞﾝ入り)</t>
  </si>
  <si>
    <t>食物繊維混合品</t>
  </si>
  <si>
    <t>4-02-09</t>
  </si>
  <si>
    <t>BHA</t>
  </si>
  <si>
    <t>4-02-13</t>
  </si>
  <si>
    <t>BW</t>
  </si>
  <si>
    <t>八年発酵　万田酵素</t>
  </si>
  <si>
    <t>スポット生産</t>
  </si>
  <si>
    <t>マヌカハニー</t>
  </si>
  <si>
    <t>4-03-03</t>
  </si>
  <si>
    <t>CC</t>
  </si>
  <si>
    <t>ｱｲﾒﾝ福寿</t>
  </si>
  <si>
    <t>4-03-04</t>
  </si>
  <si>
    <t>CD</t>
  </si>
  <si>
    <t>EH-KOSO</t>
  </si>
  <si>
    <t>特選EXﾌﾟﾗｽ</t>
  </si>
  <si>
    <t>ｽｰﾊﾟｰ赤箱</t>
  </si>
  <si>
    <t>ｴｺ万田ｺﾞｰﾙﾄﾞEX</t>
  </si>
  <si>
    <t>ﾌｧｰﾒﾝﾄⅡ</t>
  </si>
  <si>
    <t>4-11-01</t>
  </si>
  <si>
    <t>KOD</t>
  </si>
  <si>
    <t>4-15-02</t>
  </si>
  <si>
    <t>OB</t>
  </si>
  <si>
    <t>金印特選</t>
  </si>
  <si>
    <t>4-15-04</t>
  </si>
  <si>
    <t>OD</t>
  </si>
  <si>
    <t>醍醐</t>
  </si>
  <si>
    <t>4-15-05</t>
  </si>
  <si>
    <t>OE</t>
  </si>
  <si>
    <t>賜天酵素ｺﾞｰﾙﾄﾞ</t>
  </si>
  <si>
    <t>4-16-07</t>
  </si>
  <si>
    <t>ﾏﾝﾀﾞJ</t>
  </si>
  <si>
    <t>4-16-09</t>
  </si>
  <si>
    <t>PI</t>
  </si>
  <si>
    <t>ﾒｲﾜ薬粧向け</t>
  </si>
  <si>
    <t>4-16-13</t>
  </si>
  <si>
    <t>PM</t>
  </si>
  <si>
    <t>万田ｲﾝﾀｰﾅｼｮﾅﾙ向け</t>
  </si>
  <si>
    <t>4-16-17</t>
  </si>
  <si>
    <t>ﾅﾁｭﾗﾙ酵素ﾌﾞﾙｰﾍﾞﾘｰﾌﾟﾗｽ</t>
  </si>
  <si>
    <t>4-16-19</t>
  </si>
  <si>
    <t>PS</t>
  </si>
  <si>
    <t>ノニ・はちみつ入り</t>
  </si>
  <si>
    <t>ノニ（液・パウダー）・はちみつ入り</t>
  </si>
  <si>
    <t>4-16-22</t>
  </si>
  <si>
    <t>PV</t>
  </si>
  <si>
    <t>大地の彩</t>
  </si>
  <si>
    <t>4-16-24</t>
  </si>
  <si>
    <t>(新)ﾗｲﾌ酵素ﾌﾟﾗｽ</t>
  </si>
  <si>
    <t>11</t>
  </si>
  <si>
    <t>植物繊維混合品</t>
  </si>
  <si>
    <t>4-16-25</t>
  </si>
  <si>
    <t>PY</t>
  </si>
  <si>
    <t>ﾏﾝﾀﾞFｷｭｰﾌﾞ</t>
  </si>
  <si>
    <t>4-16-27</t>
  </si>
  <si>
    <t>PPH</t>
  </si>
  <si>
    <t>R+ハチミツ</t>
  </si>
  <si>
    <t>4-16-28</t>
  </si>
  <si>
    <t>EPH</t>
  </si>
  <si>
    <t>カリン＆ハニー</t>
  </si>
  <si>
    <t>4-16-29</t>
  </si>
  <si>
    <t>EG</t>
  </si>
  <si>
    <t>カリン＆ジンジャー&amp;ハニー</t>
  </si>
  <si>
    <t>4-17-02</t>
  </si>
  <si>
    <t>QB</t>
  </si>
  <si>
    <t>4-19-02-01</t>
  </si>
  <si>
    <t>SBA</t>
  </si>
  <si>
    <t>おやじの海(ﾖﾓｷﾞB 90kg入り)</t>
  </si>
  <si>
    <t>氣Ⅰ</t>
  </si>
  <si>
    <t>4-25-03</t>
  </si>
  <si>
    <t>MKF-Ⅱﾘｷｯﾄﾞ(圧搾液)</t>
  </si>
  <si>
    <t>4-26-01</t>
  </si>
  <si>
    <t>天才ﾏﾙ</t>
  </si>
  <si>
    <t>ｽﾎﾟｰﾂ選手用5A</t>
  </si>
  <si>
    <t>韓国向け植物用に納豆菌を添加したもの</t>
  </si>
  <si>
    <t>5-17-1</t>
  </si>
  <si>
    <t>L17P</t>
  </si>
  <si>
    <t>圧搾液</t>
  </si>
  <si>
    <t>圧搾液(30R混合品)</t>
  </si>
  <si>
    <t>5-17-2A-25</t>
  </si>
  <si>
    <t>LYA</t>
  </si>
  <si>
    <t>ﾊｲ30R混合(Y用)</t>
  </si>
  <si>
    <t>5-20-1</t>
  </si>
  <si>
    <t>5-20-2A</t>
  </si>
  <si>
    <t>31LPA</t>
  </si>
  <si>
    <t>圧搾液　31番手ﾃｽﾄ用として圧搾</t>
  </si>
  <si>
    <t>5-20-3</t>
  </si>
  <si>
    <t>HIR圧搾液</t>
  </si>
  <si>
    <t>6-99-99</t>
  </si>
  <si>
    <t>品管廃棄樽</t>
  </si>
  <si>
    <t>検体･ｻﾝﾌﾟﾙ･研究ﾃｽﾄ品ﾎｶ</t>
  </si>
  <si>
    <t>7-09</t>
  </si>
  <si>
    <t>ﾕｽﾞの種黒糖漬け</t>
  </si>
  <si>
    <t>黒糖漬け</t>
  </si>
  <si>
    <t>桑の実樽</t>
  </si>
  <si>
    <t>48番手</t>
  </si>
  <si>
    <t>西洋ﾆﾝｼﾞﾝ、黒糖</t>
  </si>
  <si>
    <t>7-12</t>
  </si>
  <si>
    <t>海外向け</t>
  </si>
  <si>
    <t>3種　西表黒糖漬け</t>
  </si>
  <si>
    <t>7-13</t>
  </si>
  <si>
    <t>3種　伊江黒糖漬け</t>
  </si>
  <si>
    <t>7-14</t>
  </si>
  <si>
    <t>3種　タイ黒糖漬け</t>
  </si>
  <si>
    <t>7-15</t>
  </si>
  <si>
    <t>2種　西表黒糖漬け</t>
  </si>
  <si>
    <t>7-16</t>
  </si>
  <si>
    <t>2種　伊江黒糖漬け</t>
  </si>
  <si>
    <t>7-17</t>
  </si>
  <si>
    <t>ﾏﾀﾀﾋﾞ単独発酵品</t>
  </si>
  <si>
    <t>圧搾機のｶｽ</t>
  </si>
  <si>
    <t>8-01-01</t>
  </si>
  <si>
    <t>8-02</t>
  </si>
  <si>
    <t>篩い機のｶｽ</t>
  </si>
  <si>
    <t>8-04</t>
  </si>
  <si>
    <t>31LP圧搾ｶｽ</t>
  </si>
  <si>
    <t>31番手圧搾ｶｽ(ﾃｽﾄの為)</t>
  </si>
  <si>
    <t>8-05</t>
  </si>
  <si>
    <t>経理にて追加</t>
  </si>
  <si>
    <t>8-07</t>
  </si>
  <si>
    <t>再利用</t>
  </si>
  <si>
    <t>製造倉庫</t>
  </si>
  <si>
    <t>PC</t>
  </si>
  <si>
    <t>製造倉庫（サブ）</t>
  </si>
  <si>
    <t>I</t>
  </si>
  <si>
    <t>PJ</t>
  </si>
  <si>
    <t>↓バルク充填、間接費および直接費の空白を除いた</t>
    <rPh sb="4" eb="6">
      <t>ジュウテン</t>
    </rPh>
    <rPh sb="7" eb="10">
      <t>カンセツヒ</t>
    </rPh>
    <rPh sb="13" eb="16">
      <t>チョクセツヒ</t>
    </rPh>
    <rPh sb="17" eb="19">
      <t>クウハク</t>
    </rPh>
    <rPh sb="20" eb="21">
      <t>ノゾ</t>
    </rPh>
    <phoneticPr fontId="1"/>
  </si>
  <si>
    <t>行ラベル</t>
  </si>
  <si>
    <t>合計 / 延時間(分)</t>
  </si>
  <si>
    <t>製造部労務費</t>
    <rPh sb="0" eb="3">
      <t>セイゾウブ</t>
    </rPh>
    <rPh sb="3" eb="6">
      <t>ロウムヒ</t>
    </rPh>
    <phoneticPr fontId="1"/>
  </si>
  <si>
    <t>直接費</t>
  </si>
  <si>
    <t>間接費</t>
  </si>
  <si>
    <t>総計</t>
  </si>
  <si>
    <t>↑バルク除き</t>
    <rPh sb="4" eb="5">
      <t>ノゾ</t>
    </rPh>
    <phoneticPr fontId="1"/>
  </si>
  <si>
    <t>Rﾘ</t>
  </si>
  <si>
    <t>次工程へ</t>
    <rPh sb="0" eb="3">
      <t>ジコウテイ</t>
    </rPh>
    <phoneticPr fontId="3"/>
  </si>
  <si>
    <t>在庫調整</t>
    <rPh sb="0" eb="2">
      <t>ザイコ</t>
    </rPh>
    <rPh sb="2" eb="4">
      <t>チョウセイ</t>
    </rPh>
    <phoneticPr fontId="4"/>
  </si>
  <si>
    <t>（マイナス＝貸方）</t>
    <rPh sb="6" eb="8">
      <t>カシカタ</t>
    </rPh>
    <phoneticPr fontId="4"/>
  </si>
  <si>
    <t>数量ベース</t>
    <rPh sb="0" eb="2">
      <t>スウリョウ</t>
    </rPh>
    <phoneticPr fontId="3"/>
  </si>
  <si>
    <t>期首</t>
    <rPh sb="0" eb="2">
      <t>キシュ</t>
    </rPh>
    <phoneticPr fontId="3"/>
  </si>
  <si>
    <t>原材料</t>
    <rPh sb="0" eb="3">
      <t>ゲンザイリョウ</t>
    </rPh>
    <phoneticPr fontId="3"/>
  </si>
  <si>
    <t>前工程から</t>
    <rPh sb="0" eb="3">
      <t>ゼンコウテイ</t>
    </rPh>
    <phoneticPr fontId="3"/>
  </si>
  <si>
    <t>半製品へ</t>
    <rPh sb="0" eb="3">
      <t>ハンセイヒン</t>
    </rPh>
    <phoneticPr fontId="3"/>
  </si>
  <si>
    <t>製造部生産分</t>
    <rPh sb="0" eb="3">
      <t>セイゾウブ</t>
    </rPh>
    <rPh sb="3" eb="6">
      <t>セイサンブン</t>
    </rPh>
    <phoneticPr fontId="3"/>
  </si>
  <si>
    <t>試験研究費</t>
    <rPh sb="0" eb="5">
      <t>シケンケンキュウヒ</t>
    </rPh>
    <phoneticPr fontId="3"/>
  </si>
  <si>
    <t>販促費</t>
    <rPh sb="0" eb="3">
      <t>ハンソクヒ</t>
    </rPh>
    <phoneticPr fontId="3"/>
  </si>
  <si>
    <t>廃棄処理</t>
    <rPh sb="0" eb="4">
      <t>ハイキショリ</t>
    </rPh>
    <phoneticPr fontId="3"/>
  </si>
  <si>
    <t>期末在庫</t>
    <rPh sb="0" eb="4">
      <t>キマツザイコ</t>
    </rPh>
    <phoneticPr fontId="3"/>
  </si>
  <si>
    <t>在庫調整</t>
    <rPh sb="0" eb="4">
      <t>ザイコチョウセイ</t>
    </rPh>
    <phoneticPr fontId="3"/>
  </si>
  <si>
    <t>金額ベース</t>
    <rPh sb="0" eb="2">
      <t>キンガク</t>
    </rPh>
    <phoneticPr fontId="3"/>
  </si>
  <si>
    <t>期首（AC）</t>
    <rPh sb="0" eb="2">
      <t>キシュ</t>
    </rPh>
    <phoneticPr fontId="3"/>
  </si>
  <si>
    <t>仕掛原液</t>
    <rPh sb="0" eb="2">
      <t>シカカリ</t>
    </rPh>
    <rPh sb="2" eb="4">
      <t>ゲンエキ</t>
    </rPh>
    <phoneticPr fontId="3"/>
  </si>
  <si>
    <t>前工程費</t>
    <rPh sb="0" eb="4">
      <t>ゼンコウテイヒ</t>
    </rPh>
    <phoneticPr fontId="3"/>
  </si>
  <si>
    <t>原材料費</t>
    <rPh sb="0" eb="4">
      <t>ゲンザイリョウヒ</t>
    </rPh>
    <phoneticPr fontId="3"/>
  </si>
  <si>
    <t>労務費</t>
    <rPh sb="0" eb="3">
      <t>ロウムヒ</t>
    </rPh>
    <phoneticPr fontId="3"/>
  </si>
  <si>
    <t>経費</t>
    <rPh sb="0" eb="2">
      <t>ケイヒ</t>
    </rPh>
    <phoneticPr fontId="3"/>
  </si>
  <si>
    <t>計</t>
    <rPh sb="0" eb="1">
      <t>ケイ</t>
    </rPh>
    <phoneticPr fontId="3"/>
  </si>
  <si>
    <t>R1</t>
    <phoneticPr fontId="3"/>
  </si>
  <si>
    <t>R2</t>
  </si>
  <si>
    <t>R3</t>
  </si>
  <si>
    <t>R</t>
    <phoneticPr fontId="3"/>
  </si>
  <si>
    <t>Rリ</t>
    <phoneticPr fontId="3"/>
  </si>
  <si>
    <t>RB</t>
    <phoneticPr fontId="3"/>
  </si>
  <si>
    <t>Rマ</t>
    <phoneticPr fontId="3"/>
  </si>
  <si>
    <t>MP</t>
    <phoneticPr fontId="3"/>
  </si>
  <si>
    <t>RG</t>
    <phoneticPr fontId="3"/>
  </si>
  <si>
    <t>RGI</t>
    <phoneticPr fontId="3"/>
  </si>
  <si>
    <t>GP</t>
    <phoneticPr fontId="3"/>
  </si>
  <si>
    <t>LPA</t>
    <phoneticPr fontId="3"/>
  </si>
  <si>
    <t>Rシ</t>
    <phoneticPr fontId="3"/>
  </si>
  <si>
    <t>PE</t>
    <phoneticPr fontId="3"/>
  </si>
  <si>
    <t>FEB</t>
    <phoneticPr fontId="3"/>
  </si>
  <si>
    <t>RX</t>
    <phoneticPr fontId="3"/>
  </si>
  <si>
    <t>HI</t>
    <phoneticPr fontId="3"/>
  </si>
  <si>
    <t>HIR</t>
    <phoneticPr fontId="3"/>
  </si>
  <si>
    <t>PX</t>
    <phoneticPr fontId="3"/>
  </si>
  <si>
    <t>PXA</t>
    <phoneticPr fontId="3"/>
  </si>
  <si>
    <t>HIA</t>
    <phoneticPr fontId="3"/>
  </si>
  <si>
    <t>HIB</t>
    <phoneticPr fontId="3"/>
  </si>
  <si>
    <t>HIパ</t>
    <phoneticPr fontId="3"/>
  </si>
  <si>
    <t>HIB海</t>
    <rPh sb="3" eb="4">
      <t>ウミ</t>
    </rPh>
    <phoneticPr fontId="3"/>
  </si>
  <si>
    <t>XC</t>
    <phoneticPr fontId="3"/>
  </si>
  <si>
    <t>B</t>
    <phoneticPr fontId="3"/>
  </si>
  <si>
    <t>BM</t>
    <phoneticPr fontId="3"/>
  </si>
  <si>
    <t>G</t>
    <phoneticPr fontId="3"/>
  </si>
  <si>
    <t>GA</t>
    <phoneticPr fontId="3"/>
  </si>
  <si>
    <t>GB</t>
    <phoneticPr fontId="3"/>
  </si>
  <si>
    <t>O</t>
    <phoneticPr fontId="3"/>
  </si>
  <si>
    <t>FB</t>
    <phoneticPr fontId="3"/>
  </si>
  <si>
    <t>植物用</t>
    <rPh sb="0" eb="3">
      <t>ショクブツヨウ</t>
    </rPh>
    <phoneticPr fontId="3"/>
  </si>
  <si>
    <t>LP</t>
    <phoneticPr fontId="3"/>
  </si>
  <si>
    <t>圧搾カス</t>
    <rPh sb="0" eb="2">
      <t>アッサク</t>
    </rPh>
    <phoneticPr fontId="3"/>
  </si>
  <si>
    <t>その他</t>
    <rPh sb="2" eb="3">
      <t>タ</t>
    </rPh>
    <phoneticPr fontId="3"/>
  </si>
  <si>
    <t>ー</t>
  </si>
  <si>
    <t>種類</t>
    <phoneticPr fontId="4"/>
  </si>
  <si>
    <t>15HI納</t>
    <phoneticPr fontId="4"/>
  </si>
  <si>
    <t>その他</t>
    <rPh sb="2" eb="3">
      <t>タ</t>
    </rPh>
    <phoneticPr fontId="4"/>
  </si>
  <si>
    <t>15R花</t>
    <phoneticPr fontId="4"/>
  </si>
  <si>
    <t>15R納</t>
    <phoneticPr fontId="4"/>
  </si>
  <si>
    <t>15HI海</t>
    <phoneticPr fontId="4"/>
  </si>
  <si>
    <t>15HI海ｸ</t>
    <phoneticPr fontId="4"/>
  </si>
  <si>
    <t>HIB海</t>
    <rPh sb="3" eb="4">
      <t>ウミ</t>
    </rPh>
    <phoneticPr fontId="4"/>
  </si>
  <si>
    <t>16RXP</t>
    <phoneticPr fontId="4"/>
  </si>
  <si>
    <t>16R海</t>
    <phoneticPr fontId="4"/>
  </si>
  <si>
    <t>HIパ</t>
    <phoneticPr fontId="4"/>
  </si>
  <si>
    <t>16HI海</t>
    <phoneticPr fontId="4"/>
  </si>
  <si>
    <t>GA</t>
    <phoneticPr fontId="4"/>
  </si>
  <si>
    <t>17Rﾊﾟ海</t>
    <phoneticPr fontId="4"/>
  </si>
  <si>
    <t>17R納</t>
    <phoneticPr fontId="4"/>
  </si>
  <si>
    <t>HIA</t>
    <phoneticPr fontId="4"/>
  </si>
  <si>
    <t>17HI(231)</t>
    <phoneticPr fontId="4"/>
  </si>
  <si>
    <t>17HIAｼ</t>
    <phoneticPr fontId="4"/>
  </si>
  <si>
    <t>17HIｸ生</t>
    <phoneticPr fontId="4"/>
  </si>
  <si>
    <t>17HIｼ</t>
    <phoneticPr fontId="4"/>
  </si>
  <si>
    <t>17HI(Y)</t>
    <phoneticPr fontId="4"/>
  </si>
  <si>
    <t>17HIﾊﾟ海</t>
    <phoneticPr fontId="4"/>
  </si>
  <si>
    <t>17R海</t>
    <phoneticPr fontId="4"/>
  </si>
  <si>
    <t>17RB海</t>
    <phoneticPr fontId="4"/>
  </si>
  <si>
    <t>HIB</t>
    <phoneticPr fontId="4"/>
  </si>
  <si>
    <t>18HIﾊﾟ海</t>
    <phoneticPr fontId="4"/>
  </si>
  <si>
    <t>19RBｶﾘﾝ</t>
    <phoneticPr fontId="4"/>
  </si>
  <si>
    <t>19R海</t>
    <phoneticPr fontId="4"/>
  </si>
  <si>
    <t>19RB海</t>
    <phoneticPr fontId="4"/>
  </si>
  <si>
    <t>19HIA</t>
    <phoneticPr fontId="4"/>
  </si>
  <si>
    <t>19HI海</t>
    <phoneticPr fontId="4"/>
  </si>
  <si>
    <t>20R海</t>
    <phoneticPr fontId="4"/>
  </si>
  <si>
    <t>20HI海</t>
    <phoneticPr fontId="4"/>
  </si>
  <si>
    <t>21HI海</t>
    <phoneticPr fontId="4"/>
  </si>
  <si>
    <t>22Rｶﾘﾝ</t>
    <phoneticPr fontId="4"/>
  </si>
  <si>
    <t>Rシ</t>
    <phoneticPr fontId="4"/>
  </si>
  <si>
    <t>23糖蜜</t>
    <phoneticPr fontId="4"/>
  </si>
  <si>
    <t>26R青ﾊﾟ</t>
    <phoneticPr fontId="4"/>
  </si>
  <si>
    <t>28RA</t>
    <phoneticPr fontId="4"/>
  </si>
  <si>
    <t>29R田</t>
    <phoneticPr fontId="4"/>
  </si>
  <si>
    <t>29畜</t>
    <phoneticPr fontId="4"/>
  </si>
  <si>
    <t>34Rｼ</t>
    <phoneticPr fontId="4"/>
  </si>
  <si>
    <t>36R海</t>
    <phoneticPr fontId="4"/>
  </si>
  <si>
    <t>36RB海</t>
    <phoneticPr fontId="4"/>
  </si>
  <si>
    <t>37R海</t>
    <phoneticPr fontId="4"/>
  </si>
  <si>
    <t>37RB海</t>
    <phoneticPr fontId="4"/>
  </si>
  <si>
    <t>Rリ</t>
    <phoneticPr fontId="4"/>
  </si>
  <si>
    <t>RB</t>
    <phoneticPr fontId="4"/>
  </si>
  <si>
    <t>Rマ</t>
    <phoneticPr fontId="4"/>
  </si>
  <si>
    <t>40R海</t>
    <phoneticPr fontId="4"/>
  </si>
  <si>
    <t>RG</t>
    <phoneticPr fontId="4"/>
  </si>
  <si>
    <t>RGI</t>
    <phoneticPr fontId="4"/>
  </si>
  <si>
    <t>植</t>
    <phoneticPr fontId="4"/>
  </si>
  <si>
    <t>赤No.18RB</t>
    <phoneticPr fontId="4"/>
  </si>
  <si>
    <t>20RB海</t>
    <phoneticPr fontId="4"/>
  </si>
  <si>
    <t>28RB</t>
    <phoneticPr fontId="4"/>
  </si>
  <si>
    <t>20畜産用</t>
    <phoneticPr fontId="4"/>
  </si>
  <si>
    <t>29R田B</t>
    <phoneticPr fontId="4"/>
  </si>
  <si>
    <t>FEB</t>
    <phoneticPr fontId="4"/>
  </si>
  <si>
    <t>HIR</t>
    <phoneticPr fontId="4"/>
  </si>
  <si>
    <t>PM</t>
    <phoneticPr fontId="4"/>
  </si>
  <si>
    <t>PV</t>
    <phoneticPr fontId="4"/>
  </si>
  <si>
    <t>PW</t>
    <phoneticPr fontId="4"/>
  </si>
  <si>
    <t>PX</t>
    <phoneticPr fontId="4"/>
  </si>
  <si>
    <t>XC</t>
    <phoneticPr fontId="4"/>
  </si>
  <si>
    <t>植物用</t>
    <rPh sb="0" eb="2">
      <t>ショクブツ</t>
    </rPh>
    <rPh sb="2" eb="3">
      <t>ヨウ</t>
    </rPh>
    <phoneticPr fontId="4"/>
  </si>
  <si>
    <t>ｶﾘﾝ黒糖漬け</t>
    <phoneticPr fontId="4"/>
  </si>
  <si>
    <t>ﾋﾞﾜ黒糖漬け</t>
    <phoneticPr fontId="4"/>
  </si>
  <si>
    <t>山ﾌﾞﾄﾞｳ黒糖漬け</t>
    <phoneticPr fontId="4"/>
  </si>
  <si>
    <t>ｱｹﾋﾞ黒糖漬け</t>
    <phoneticPr fontId="4"/>
  </si>
  <si>
    <t>ﾕﾘ根黒糖漬け</t>
    <phoneticPr fontId="4"/>
  </si>
  <si>
    <t>ﾏﾀﾀﾋﾞ黒糖漬け</t>
    <phoneticPr fontId="4"/>
  </si>
  <si>
    <t>ﾋﾞﾜの種黒糖漬け</t>
    <phoneticPr fontId="4"/>
  </si>
  <si>
    <t>桑の実黒糖漬け</t>
    <phoneticPr fontId="4"/>
  </si>
  <si>
    <t>ﾕｽﾞの種黒糖漬け</t>
    <phoneticPr fontId="4"/>
  </si>
  <si>
    <t>14G返品</t>
    <phoneticPr fontId="4"/>
  </si>
  <si>
    <t>ﾊﾟﾊﾟｲﾔ圧搾</t>
    <phoneticPr fontId="4"/>
  </si>
  <si>
    <t>廃棄樽</t>
    <phoneticPr fontId="4"/>
  </si>
  <si>
    <t>米ﾇｶ</t>
    <phoneticPr fontId="4"/>
  </si>
  <si>
    <t>返品</t>
    <phoneticPr fontId="4"/>
  </si>
  <si>
    <t>返品③</t>
    <phoneticPr fontId="4"/>
  </si>
  <si>
    <t>返品④</t>
    <phoneticPr fontId="4"/>
  </si>
  <si>
    <t>返品⑤</t>
    <phoneticPr fontId="4"/>
  </si>
  <si>
    <t>返品⑥</t>
    <phoneticPr fontId="4"/>
  </si>
  <si>
    <t>圧搾ｶｽ</t>
    <phoneticPr fontId="4"/>
  </si>
  <si>
    <t>圧搾カス</t>
    <rPh sb="0" eb="2">
      <t>アッサク</t>
    </rPh>
    <phoneticPr fontId="4"/>
  </si>
  <si>
    <t>ろ過ｶｽ</t>
    <phoneticPr fontId="4"/>
  </si>
  <si>
    <t>ろ過ｶｽ廃棄ﾀﾞﾙ</t>
    <phoneticPr fontId="4"/>
  </si>
  <si>
    <t>31LP圧搾ｶｽ</t>
    <phoneticPr fontId="4"/>
  </si>
  <si>
    <t>再ろ過依頼品</t>
    <phoneticPr fontId="4"/>
  </si>
  <si>
    <t>試作品</t>
    <phoneticPr fontId="4"/>
  </si>
  <si>
    <t>黒西</t>
    <phoneticPr fontId="4"/>
  </si>
  <si>
    <t>再利用</t>
    <phoneticPr fontId="4"/>
  </si>
  <si>
    <t>労務費・経費単価は38期実際より算出</t>
    <rPh sb="0" eb="3">
      <t>ロウムヒ</t>
    </rPh>
    <rPh sb="4" eb="8">
      <t>ケイヒタンカ</t>
    </rPh>
    <rPh sb="11" eb="12">
      <t>キ</t>
    </rPh>
    <rPh sb="12" eb="14">
      <t>ジッサイ</t>
    </rPh>
    <rPh sb="16" eb="18">
      <t>サンシュツ</t>
    </rPh>
    <phoneticPr fontId="3"/>
  </si>
  <si>
    <t>実際発生額</t>
    <rPh sb="0" eb="2">
      <t>ジッサイ</t>
    </rPh>
    <rPh sb="2" eb="4">
      <t>ハッセイ</t>
    </rPh>
    <rPh sb="4" eb="5">
      <t>ガク</t>
    </rPh>
    <phoneticPr fontId="3"/>
  </si>
  <si>
    <t>実際作業時間（分）</t>
    <rPh sb="0" eb="2">
      <t>ジッサイ</t>
    </rPh>
    <rPh sb="2" eb="6">
      <t>サギョウジカン</t>
    </rPh>
    <rPh sb="7" eb="8">
      <t>フン</t>
    </rPh>
    <phoneticPr fontId="3"/>
  </si>
  <si>
    <t>単価（分）</t>
    <rPh sb="0" eb="2">
      <t>タンカ</t>
    </rPh>
    <rPh sb="3" eb="4">
      <t>フン</t>
    </rPh>
    <phoneticPr fontId="3"/>
  </si>
  <si>
    <t>実際作業量（KG）</t>
    <rPh sb="0" eb="2">
      <t>ジッサイ</t>
    </rPh>
    <rPh sb="2" eb="4">
      <t>サギョウ</t>
    </rPh>
    <rPh sb="4" eb="5">
      <t>リョウ</t>
    </rPh>
    <phoneticPr fontId="3"/>
  </si>
  <si>
    <t>単価（KG）</t>
    <rPh sb="0" eb="2">
      <t>タンカ</t>
    </rPh>
    <phoneticPr fontId="3"/>
  </si>
  <si>
    <t>検討：</t>
    <rPh sb="0" eb="2">
      <t>ケントウ</t>
    </rPh>
    <phoneticPr fontId="3"/>
  </si>
  <si>
    <t>経費VER2</t>
    <rPh sb="0" eb="2">
      <t>ケイヒ</t>
    </rPh>
    <phoneticPr fontId="3"/>
  </si>
  <si>
    <t>数量チェック</t>
    <rPh sb="0" eb="2">
      <t>スウリョウ</t>
    </rPh>
    <phoneticPr fontId="3"/>
  </si>
  <si>
    <t>金額チェック</t>
    <rPh sb="0" eb="2">
      <t>キンガク</t>
    </rPh>
    <phoneticPr fontId="3"/>
  </si>
  <si>
    <t>名寄</t>
    <rPh sb="0" eb="2">
      <t>ナヨ</t>
    </rPh>
    <phoneticPr fontId="3"/>
  </si>
  <si>
    <t>SC単価</t>
    <rPh sb="2" eb="4">
      <t>タンカ</t>
    </rPh>
    <phoneticPr fontId="3"/>
  </si>
  <si>
    <t>歩減り</t>
    <rPh sb="0" eb="1">
      <t>ブ</t>
    </rPh>
    <rPh sb="1" eb="2">
      <t>ヘ</t>
    </rPh>
    <phoneticPr fontId="3"/>
  </si>
  <si>
    <t>原材料(原材料SCより）</t>
    <rPh sb="0" eb="3">
      <t>ゲンザイリョウ</t>
    </rPh>
    <rPh sb="4" eb="7">
      <t>ゲンザイリョウ</t>
    </rPh>
    <phoneticPr fontId="3"/>
  </si>
  <si>
    <t>原材料SCより貼り付け</t>
    <rPh sb="0" eb="3">
      <t>ゲンザイリョウ</t>
    </rPh>
    <rPh sb="7" eb="8">
      <t>ハ</t>
    </rPh>
    <rPh sb="9" eb="10">
      <t>ツ</t>
    </rPh>
    <phoneticPr fontId="3"/>
  </si>
  <si>
    <t>借方</t>
    <rPh sb="0" eb="2">
      <t>カリカタ</t>
    </rPh>
    <phoneticPr fontId="3"/>
  </si>
  <si>
    <t>貸方</t>
    <rPh sb="0" eb="2">
      <t>カシカタ</t>
    </rPh>
    <phoneticPr fontId="3"/>
  </si>
  <si>
    <t>科目</t>
    <rPh sb="0" eb="2">
      <t>カモク</t>
    </rPh>
    <phoneticPr fontId="3"/>
  </si>
  <si>
    <t>補助科目</t>
    <rPh sb="0" eb="4">
      <t>ホジョカモク</t>
    </rPh>
    <phoneticPr fontId="3"/>
  </si>
  <si>
    <t>金額</t>
    <rPh sb="0" eb="2">
      <t>キンガク</t>
    </rPh>
    <phoneticPr fontId="3"/>
  </si>
  <si>
    <t>科目番号</t>
    <rPh sb="0" eb="4">
      <t>カモクバンゴウ</t>
    </rPh>
    <phoneticPr fontId="3"/>
  </si>
  <si>
    <t>摘要</t>
    <rPh sb="0" eb="2">
      <t>テキヨウ</t>
    </rPh>
    <phoneticPr fontId="3"/>
  </si>
  <si>
    <t>原価計算仕訳</t>
    <rPh sb="0" eb="4">
      <t>ゲンカケイサン</t>
    </rPh>
    <rPh sb="4" eb="6">
      <t>シワケ</t>
    </rPh>
    <phoneticPr fontId="3"/>
  </si>
  <si>
    <t>期末材料棚卸高</t>
    <rPh sb="0" eb="7">
      <t>キマツザイリョウタナオロシダカ</t>
    </rPh>
    <phoneticPr fontId="3"/>
  </si>
  <si>
    <t>販売促進費</t>
    <rPh sb="0" eb="5">
      <t>ハンバイソクシンヒ</t>
    </rPh>
    <phoneticPr fontId="3"/>
  </si>
  <si>
    <t>雑損失</t>
    <rPh sb="0" eb="3">
      <t>ザツソンシツ</t>
    </rPh>
    <phoneticPr fontId="3"/>
  </si>
  <si>
    <t>＃5</t>
    <phoneticPr fontId="3"/>
  </si>
  <si>
    <t>期末仕掛品棚卸高</t>
    <rPh sb="0" eb="2">
      <t>キマツ</t>
    </rPh>
    <rPh sb="2" eb="4">
      <t>シカカリ</t>
    </rPh>
    <rPh sb="4" eb="5">
      <t>ヒン</t>
    </rPh>
    <rPh sb="5" eb="7">
      <t>タナオロシ</t>
    </rPh>
    <rPh sb="7" eb="8">
      <t>ダカ</t>
    </rPh>
    <phoneticPr fontId="3"/>
  </si>
  <si>
    <t>月末仕掛品棚卸高</t>
    <rPh sb="0" eb="5">
      <t>ゲツマツシカカリヒン</t>
    </rPh>
    <rPh sb="5" eb="8">
      <t>タナオロシダカ</t>
    </rPh>
    <phoneticPr fontId="3"/>
  </si>
  <si>
    <t>XXX</t>
    <phoneticPr fontId="3"/>
  </si>
  <si>
    <t>仕掛品</t>
    <rPh sb="0" eb="3">
      <t>シカカリヒン</t>
    </rPh>
    <phoneticPr fontId="3"/>
  </si>
  <si>
    <t>期末仕掛品振替　原液研究費</t>
    <rPh sb="0" eb="2">
      <t>キマツ</t>
    </rPh>
    <rPh sb="2" eb="4">
      <t>シカカリ</t>
    </rPh>
    <rPh sb="4" eb="5">
      <t>ヒン</t>
    </rPh>
    <rPh sb="5" eb="7">
      <t>フリカエ</t>
    </rPh>
    <rPh sb="8" eb="13">
      <t>ゲンエキケンキュウヒ</t>
    </rPh>
    <phoneticPr fontId="3"/>
  </si>
  <si>
    <t>期末仕掛品振替　原液販促費</t>
    <rPh sb="0" eb="2">
      <t>キマツ</t>
    </rPh>
    <rPh sb="2" eb="4">
      <t>シカカリ</t>
    </rPh>
    <rPh sb="4" eb="5">
      <t>ヒン</t>
    </rPh>
    <rPh sb="5" eb="7">
      <t>フリカエ</t>
    </rPh>
    <rPh sb="8" eb="10">
      <t>ゲンエキ</t>
    </rPh>
    <rPh sb="10" eb="13">
      <t>ハンソクヒ</t>
    </rPh>
    <phoneticPr fontId="3"/>
  </si>
  <si>
    <t>期末仕掛品振替　原液廃棄処分</t>
    <rPh sb="0" eb="2">
      <t>キマツ</t>
    </rPh>
    <rPh sb="2" eb="4">
      <t>シカカリ</t>
    </rPh>
    <rPh sb="4" eb="5">
      <t>ヒン</t>
    </rPh>
    <rPh sb="5" eb="7">
      <t>フリカエ</t>
    </rPh>
    <rPh sb="8" eb="10">
      <t>ゲンエキ</t>
    </rPh>
    <rPh sb="10" eb="12">
      <t>ハイキ</t>
    </rPh>
    <rPh sb="12" eb="14">
      <t>ショブン</t>
    </rPh>
    <phoneticPr fontId="3"/>
  </si>
  <si>
    <t>期末棚卸振替　原液</t>
    <rPh sb="0" eb="2">
      <t>キマツ</t>
    </rPh>
    <rPh sb="2" eb="6">
      <t>タナオロシフリカエ</t>
    </rPh>
    <rPh sb="7" eb="9">
      <t>ゲンエキ</t>
    </rPh>
    <phoneticPr fontId="3"/>
  </si>
  <si>
    <t>期末（前月末）棚卸振替　原液　</t>
    <rPh sb="0" eb="2">
      <t>キマツ</t>
    </rPh>
    <rPh sb="3" eb="4">
      <t>ゼン</t>
    </rPh>
    <rPh sb="4" eb="6">
      <t>ゲツマツ</t>
    </rPh>
    <rPh sb="7" eb="11">
      <t>タナオロシフリカエ</t>
    </rPh>
    <rPh sb="12" eb="14">
      <t>ゲンエキ</t>
    </rPh>
    <phoneticPr fontId="3"/>
  </si>
  <si>
    <t>1月までは毎月労務費経費をそのまま仕掛品に振り替えている（よってどんどん月末仕掛残高が増加する）が、2月からは製造部から期末見込み数量を入手し、当該予定数量に前期の単価をかけてより近い月末仕掛品残高を毎月振り替えている。</t>
    <rPh sb="7" eb="12">
      <t>ロウムヒケイヒ</t>
    </rPh>
    <rPh sb="17" eb="20">
      <t>シカカリヒン</t>
    </rPh>
    <rPh sb="21" eb="22">
      <t>フ</t>
    </rPh>
    <rPh sb="23" eb="24">
      <t>カ</t>
    </rPh>
    <rPh sb="36" eb="38">
      <t>ゲツマツ</t>
    </rPh>
    <rPh sb="38" eb="40">
      <t>シカカリ</t>
    </rPh>
    <rPh sb="40" eb="42">
      <t>ザンダカ</t>
    </rPh>
    <rPh sb="43" eb="45">
      <t>ゾウカ</t>
    </rPh>
    <rPh sb="55" eb="58">
      <t>セイゾウブ</t>
    </rPh>
    <rPh sb="60" eb="62">
      <t>キマツ</t>
    </rPh>
    <rPh sb="62" eb="64">
      <t>ミコ</t>
    </rPh>
    <rPh sb="65" eb="67">
      <t>スウリョウ</t>
    </rPh>
    <rPh sb="68" eb="70">
      <t>ニュウシュ</t>
    </rPh>
    <rPh sb="72" eb="74">
      <t>トウガイ</t>
    </rPh>
    <rPh sb="74" eb="78">
      <t>ヨテイスウリョウ</t>
    </rPh>
    <rPh sb="79" eb="81">
      <t>ゼンキ</t>
    </rPh>
    <rPh sb="82" eb="84">
      <t>タンカ</t>
    </rPh>
    <rPh sb="90" eb="91">
      <t>チカ</t>
    </rPh>
    <rPh sb="92" eb="94">
      <t>ゲツマツ</t>
    </rPh>
    <rPh sb="94" eb="97">
      <t>シカカリヒン</t>
    </rPh>
    <rPh sb="97" eb="99">
      <t>ザンダカ</t>
    </rPh>
    <rPh sb="100" eb="102">
      <t>マイツキ</t>
    </rPh>
    <rPh sb="102" eb="103">
      <t>フ</t>
    </rPh>
    <rPh sb="104" eb="105">
      <t>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</si>
</sst>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Red]\-#,##0.00000"/>
    <numFmt numFmtId="177" formatCode="#,##0.0;[Red]\-#,##0.0"/>
  </numFmts>
  <fonts count="24">
    <font>
      <sz val="11"/>
      <color theme="1"/>
      <name val="游ゴシック"/>
      <family val="2"/>
      <charset val="128"/>
      <scheme val="minor"/>
    </font>
    <font>
      <sz val="11"/>
      <color theme="1"/>
      <name val="游ゴシック"/>
      <family val="2"/>
      <charset val="128"/>
      <scheme val="minor"/>
    </font>
    <font>
      <u/>
      <sz val="18"/>
      <name val="ＭＳ Ｐゴシック"/>
      <family val="3"/>
      <charset val="128"/>
    </font>
    <font>
      <sz val="6"/>
      <name val="游ゴシック"/>
      <family val="2"/>
      <charset val="128"/>
      <scheme val="minor"/>
    </font>
    <font>
      <sz val="6"/>
      <name val="ＭＳ Ｐゴシック"/>
      <family val="3"/>
      <charset val="128"/>
    </font>
    <font>
      <sz val="11"/>
      <name val="ＭＳ Ｐゴシック"/>
      <family val="3"/>
      <charset val="128"/>
    </font>
    <font>
      <u/>
      <sz val="14"/>
      <name val="ＭＳ Ｐゴシック"/>
      <family val="3"/>
      <charset val="128"/>
    </font>
    <font>
      <sz val="14"/>
      <name val="ＭＳ Ｐゴシック"/>
      <family val="3"/>
      <charset val="128"/>
    </font>
    <font>
      <sz val="10"/>
      <name val="ＭＳ Ｐゴシック"/>
      <family val="3"/>
      <charset val="128"/>
    </font>
    <font>
      <sz val="9"/>
      <name val="ＭＳ Ｐゴシック"/>
      <family val="3"/>
      <charset val="128"/>
    </font>
    <font>
      <sz val="11"/>
      <color theme="1"/>
      <name val="游ゴシック"/>
      <family val="2"/>
      <scheme val="minor"/>
    </font>
    <font>
      <sz val="9"/>
      <name val="Arial Unicode MS"/>
      <family val="3"/>
      <charset val="128"/>
    </font>
    <font>
      <sz val="9"/>
      <color indexed="8"/>
      <name val="Arial Unicode MS"/>
      <family val="3"/>
      <charset val="128"/>
    </font>
    <font>
      <sz val="11"/>
      <color indexed="8"/>
      <name val="ＭＳ Ｐゴシック"/>
      <family val="3"/>
      <charset val="128"/>
    </font>
    <font>
      <sz val="9"/>
      <color indexed="81"/>
      <name val="ＭＳ Ｐゴシック"/>
      <family val="3"/>
      <charset val="128"/>
    </font>
    <font>
      <b/>
      <sz val="9"/>
      <color indexed="81"/>
      <name val="ＭＳ Ｐゴシック"/>
      <family val="3"/>
      <charset val="128"/>
    </font>
    <font>
      <sz val="11"/>
      <color rgb="FF000000"/>
      <name val="游ゴシック"/>
      <family val="3"/>
      <charset val="128"/>
      <scheme val="minor"/>
    </font>
    <font>
      <sz val="11"/>
      <color theme="1"/>
      <name val="游ゴシック"/>
      <family val="3"/>
      <charset val="128"/>
      <scheme val="minor"/>
    </font>
    <font>
      <b/>
      <i/>
      <u/>
      <sz val="11"/>
      <color theme="1"/>
      <name val="游ゴシック"/>
      <family val="3"/>
      <charset val="128"/>
      <scheme val="minor"/>
    </font>
    <font>
      <sz val="11"/>
      <name val="游ゴシック"/>
      <family val="3"/>
      <charset val="128"/>
    </font>
    <font>
      <sz val="9"/>
      <color theme="1"/>
      <name val="游ゴシック"/>
      <family val="3"/>
      <charset val="128"/>
      <scheme val="minor"/>
    </font>
    <font>
      <sz val="11"/>
      <color theme="1"/>
      <name val="Yu Gothic UI"/>
      <family val="3"/>
      <charset val="128"/>
    </font>
    <font>
      <sz val="11"/>
      <color theme="1"/>
      <name val="HGｺﾞｼｯｸM"/>
      <family val="3"/>
      <charset val="128"/>
    </font>
    <font>
      <sz val="9"/>
      <color theme="1"/>
      <name val="游ゴシック"/>
      <family val="2"/>
      <charset val="128"/>
      <scheme val="minor"/>
    </font>
  </fonts>
  <fills count="17">
    <fill>
      <patternFill patternType="none"/>
    </fill>
    <fill>
      <patternFill patternType="gray125"/>
    </fill>
    <fill>
      <patternFill patternType="solid">
        <fgColor theme="0" tint="-0.499984740745262"/>
        <bgColor indexed="64"/>
      </patternFill>
    </fill>
    <fill>
      <patternFill patternType="solid">
        <fgColor rgb="FFFFFF00"/>
        <bgColor indexed="64"/>
      </patternFill>
    </fill>
    <fill>
      <patternFill patternType="solid">
        <fgColor indexed="41"/>
        <bgColor indexed="64"/>
      </patternFill>
    </fill>
    <fill>
      <patternFill patternType="solid">
        <fgColor rgb="FFCCFFFF"/>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92D050"/>
        <bgColor indexed="64"/>
      </patternFill>
    </fill>
    <fill>
      <patternFill patternType="solid">
        <fgColor indexed="22"/>
        <bgColor indexed="0"/>
      </patternFill>
    </fill>
    <fill>
      <patternFill patternType="solid">
        <fgColor rgb="FFFFC000"/>
        <bgColor indexed="0"/>
      </patternFill>
    </fill>
    <fill>
      <patternFill patternType="solid">
        <fgColor rgb="FFDDDDFF"/>
        <bgColor indexed="64"/>
      </patternFill>
    </fill>
    <fill>
      <patternFill patternType="solid">
        <fgColor rgb="FFFFFFFF"/>
        <bgColor indexed="64"/>
      </patternFill>
    </fill>
    <fill>
      <patternFill patternType="solid">
        <fgColor rgb="FF00B0F0"/>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3" tint="0.749992370372631"/>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99CCFF"/>
      </left>
      <right style="thin">
        <color rgb="FF99CCFF"/>
      </right>
      <top style="thin">
        <color rgb="FF99CCFF"/>
      </top>
      <bottom style="thin">
        <color rgb="FF99CCFF"/>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9">
    <xf numFmtId="0" fontId="0" fillId="0" borderId="0">
      <alignment vertical="center"/>
    </xf>
    <xf numFmtId="38" fontId="1" fillId="0" borderId="0" applyFont="0" applyFill="0" applyBorder="0" applyAlignment="0" applyProtection="0">
      <alignment vertical="center"/>
    </xf>
    <xf numFmtId="0" fontId="10" fillId="0" borderId="0"/>
    <xf numFmtId="0" fontId="13" fillId="0" borderId="0"/>
    <xf numFmtId="0" fontId="13" fillId="0" borderId="0"/>
    <xf numFmtId="0" fontId="13" fillId="0" borderId="0"/>
    <xf numFmtId="0" fontId="13" fillId="0" borderId="0"/>
    <xf numFmtId="0" fontId="1" fillId="0" borderId="0">
      <alignment vertical="center"/>
    </xf>
    <xf numFmtId="0" fontId="1" fillId="0" borderId="0">
      <alignment vertical="center"/>
    </xf>
  </cellStyleXfs>
  <cellXfs count="226">
    <xf numFmtId="0" fontId="0" fillId="0" borderId="0" xfId="0">
      <alignment vertical="center"/>
    </xf>
    <xf numFmtId="38" fontId="6" fillId="0" borderId="0" xfId="1" applyFont="1" applyAlignment="1">
      <alignment vertical="center"/>
    </xf>
    <xf numFmtId="38" fontId="6" fillId="0" borderId="0" xfId="0" applyNumberFormat="1" applyFont="1">
      <alignment vertical="center"/>
    </xf>
    <xf numFmtId="38" fontId="5" fillId="0" borderId="0" xfId="0" applyNumberFormat="1" applyFont="1" applyAlignment="1">
      <alignment horizontal="center" vertical="center"/>
    </xf>
    <xf numFmtId="38" fontId="5" fillId="0" borderId="0" xfId="1" applyFont="1" applyAlignment="1">
      <alignment horizontal="center" vertical="center"/>
    </xf>
    <xf numFmtId="38" fontId="6" fillId="0" borderId="1" xfId="1" applyFont="1" applyBorder="1" applyAlignment="1">
      <alignment vertical="center"/>
    </xf>
    <xf numFmtId="38" fontId="6" fillId="0" borderId="1" xfId="0" applyNumberFormat="1" applyFont="1" applyBorder="1">
      <alignment vertical="center"/>
    </xf>
    <xf numFmtId="38" fontId="6" fillId="0" borderId="1" xfId="1" quotePrefix="1" applyFont="1" applyBorder="1" applyAlignment="1">
      <alignment vertical="center"/>
    </xf>
    <xf numFmtId="38" fontId="7" fillId="0" borderId="1" xfId="0" applyNumberFormat="1" applyFont="1" applyBorder="1">
      <alignment vertical="center"/>
    </xf>
    <xf numFmtId="38" fontId="7" fillId="0" borderId="0" xfId="0" applyNumberFormat="1" applyFont="1">
      <alignment vertical="center"/>
    </xf>
    <xf numFmtId="38" fontId="0" fillId="0" borderId="0" xfId="1" applyFont="1" applyAlignment="1">
      <alignment horizontal="center" vertical="center"/>
    </xf>
    <xf numFmtId="38" fontId="5" fillId="0" borderId="2" xfId="0" applyNumberFormat="1" applyFont="1" applyBorder="1" applyAlignment="1">
      <alignment horizontal="center" vertical="center"/>
    </xf>
    <xf numFmtId="38" fontId="5" fillId="4" borderId="2" xfId="0" applyNumberFormat="1" applyFont="1" applyFill="1" applyBorder="1" applyAlignment="1">
      <alignment horizontal="center"/>
    </xf>
    <xf numFmtId="38" fontId="11" fillId="4" borderId="2" xfId="1" applyFont="1" applyFill="1" applyBorder="1" applyAlignment="1">
      <alignment vertical="center"/>
    </xf>
    <xf numFmtId="38" fontId="11" fillId="4" borderId="6" xfId="1" applyFont="1" applyFill="1" applyBorder="1" applyAlignment="1">
      <alignment vertical="center"/>
    </xf>
    <xf numFmtId="38" fontId="12" fillId="4" borderId="6" xfId="1" applyFont="1" applyFill="1" applyBorder="1" applyAlignment="1">
      <alignment vertical="center"/>
    </xf>
    <xf numFmtId="38" fontId="5" fillId="0" borderId="0" xfId="0" applyNumberFormat="1" applyFont="1" applyAlignment="1">
      <alignment horizontal="center"/>
    </xf>
    <xf numFmtId="38" fontId="13" fillId="0" borderId="0" xfId="1" applyFont="1" applyFill="1" applyAlignment="1">
      <alignment horizontal="right" vertical="center"/>
    </xf>
    <xf numFmtId="40" fontId="9" fillId="0" borderId="0" xfId="0" applyNumberFormat="1" applyFont="1">
      <alignment vertical="center"/>
    </xf>
    <xf numFmtId="40" fontId="9" fillId="0" borderId="0" xfId="1" applyNumberFormat="1" applyFont="1" applyAlignment="1">
      <alignment vertical="center"/>
    </xf>
    <xf numFmtId="176" fontId="9" fillId="0" borderId="0" xfId="0" applyNumberFormat="1" applyFont="1">
      <alignment vertical="center"/>
    </xf>
    <xf numFmtId="38" fontId="5" fillId="0" borderId="2" xfId="0" applyNumberFormat="1" applyFont="1" applyBorder="1" applyAlignment="1">
      <alignment horizontal="center"/>
    </xf>
    <xf numFmtId="38" fontId="11" fillId="0" borderId="5" xfId="1" applyFont="1" applyBorder="1" applyAlignment="1">
      <alignment vertical="center"/>
    </xf>
    <xf numFmtId="38" fontId="11" fillId="0" borderId="2" xfId="1" applyFont="1" applyBorder="1" applyAlignment="1">
      <alignment vertical="center"/>
    </xf>
    <xf numFmtId="177" fontId="11" fillId="4" borderId="2" xfId="1" applyNumberFormat="1" applyFont="1" applyFill="1" applyBorder="1" applyAlignment="1">
      <alignment vertical="center"/>
    </xf>
    <xf numFmtId="38" fontId="5" fillId="0" borderId="7" xfId="0" applyNumberFormat="1" applyFont="1" applyBorder="1" applyAlignment="1">
      <alignment horizontal="center" vertical="center"/>
    </xf>
    <xf numFmtId="38" fontId="0" fillId="0" borderId="0" xfId="0" applyNumberFormat="1" applyAlignment="1">
      <alignment horizontal="left"/>
    </xf>
    <xf numFmtId="38" fontId="5" fillId="5" borderId="2" xfId="0" applyNumberFormat="1" applyFont="1" applyFill="1" applyBorder="1" applyAlignment="1">
      <alignment horizontal="center"/>
    </xf>
    <xf numFmtId="38" fontId="13" fillId="6" borderId="0" xfId="1" applyFont="1" applyFill="1" applyAlignment="1">
      <alignment horizontal="right" vertical="center"/>
    </xf>
    <xf numFmtId="40" fontId="9" fillId="0" borderId="0" xfId="0" applyNumberFormat="1" applyFont="1" applyAlignment="1"/>
    <xf numFmtId="176" fontId="9" fillId="0" borderId="0" xfId="0" applyNumberFormat="1" applyFont="1" applyAlignment="1"/>
    <xf numFmtId="40" fontId="9" fillId="0" borderId="0" xfId="1" applyNumberFormat="1" applyFont="1" applyAlignment="1"/>
    <xf numFmtId="0" fontId="5" fillId="0" borderId="0" xfId="0" applyFont="1" applyAlignment="1"/>
    <xf numFmtId="38" fontId="5" fillId="0" borderId="0" xfId="1" applyFont="1" applyAlignment="1">
      <alignment horizontal="center"/>
    </xf>
    <xf numFmtId="38" fontId="9" fillId="0" borderId="0" xfId="0" applyNumberFormat="1" applyFont="1" applyAlignment="1">
      <alignment horizontal="center"/>
    </xf>
    <xf numFmtId="38" fontId="2" fillId="0" borderId="0" xfId="0" applyNumberFormat="1" applyFont="1">
      <alignment vertical="center"/>
    </xf>
    <xf numFmtId="38" fontId="2" fillId="0" borderId="1" xfId="0" applyNumberFormat="1" applyFont="1" applyBorder="1">
      <alignment vertical="center"/>
    </xf>
    <xf numFmtId="0" fontId="13" fillId="9" borderId="8" xfId="3" applyFill="1" applyBorder="1" applyAlignment="1">
      <alignment horizontal="center"/>
    </xf>
    <xf numFmtId="0" fontId="13" fillId="0" borderId="9" xfId="4" applyBorder="1" applyAlignment="1">
      <alignment wrapText="1"/>
    </xf>
    <xf numFmtId="0" fontId="13" fillId="0" borderId="9" xfId="4" applyBorder="1" applyAlignment="1">
      <alignment horizontal="right" wrapText="1"/>
    </xf>
    <xf numFmtId="38" fontId="0" fillId="0" borderId="0" xfId="1" applyFont="1">
      <alignment vertical="center"/>
    </xf>
    <xf numFmtId="0" fontId="13" fillId="9" borderId="8" xfId="5" applyFill="1" applyBorder="1" applyAlignment="1">
      <alignment horizontal="center"/>
    </xf>
    <xf numFmtId="0" fontId="13" fillId="10" borderId="10" xfId="6" applyFill="1" applyBorder="1" applyAlignment="1">
      <alignment horizontal="center"/>
    </xf>
    <xf numFmtId="0" fontId="13" fillId="0" borderId="9" xfId="5" applyBorder="1" applyAlignment="1">
      <alignment wrapText="1"/>
    </xf>
    <xf numFmtId="0" fontId="13" fillId="0" borderId="9" xfId="5" applyBorder="1" applyAlignment="1">
      <alignment horizontal="right" wrapText="1"/>
    </xf>
    <xf numFmtId="0" fontId="13" fillId="9" borderId="2" xfId="6" applyFill="1" applyBorder="1" applyAlignment="1">
      <alignment horizontal="center"/>
    </xf>
    <xf numFmtId="40" fontId="13" fillId="10" borderId="2" xfId="6" applyNumberFormat="1" applyFill="1" applyBorder="1" applyAlignment="1">
      <alignment horizontal="center" wrapText="1"/>
    </xf>
    <xf numFmtId="0" fontId="13" fillId="0" borderId="2" xfId="6" applyBorder="1" applyAlignment="1">
      <alignment wrapText="1"/>
    </xf>
    <xf numFmtId="40" fontId="13" fillId="0" borderId="2" xfId="6" applyNumberFormat="1" applyBorder="1" applyAlignment="1">
      <alignment horizontal="right" wrapText="1"/>
    </xf>
    <xf numFmtId="40" fontId="0" fillId="0" borderId="2" xfId="0" applyNumberFormat="1" applyBorder="1">
      <alignment vertical="center"/>
    </xf>
    <xf numFmtId="0" fontId="0" fillId="0" borderId="2" xfId="0" applyBorder="1">
      <alignment vertical="center"/>
    </xf>
    <xf numFmtId="40" fontId="0" fillId="0" borderId="0" xfId="0" applyNumberFormat="1">
      <alignment vertical="center"/>
    </xf>
    <xf numFmtId="0" fontId="10" fillId="0" borderId="0" xfId="2"/>
    <xf numFmtId="0" fontId="16" fillId="11" borderId="11" xfId="0" applyFont="1" applyFill="1" applyBorder="1" applyAlignment="1">
      <alignment horizontal="center" vertical="center"/>
    </xf>
    <xf numFmtId="0" fontId="16" fillId="0" borderId="11" xfId="0" applyFont="1" applyBorder="1" applyAlignment="1">
      <alignment horizontal="right" vertical="center"/>
    </xf>
    <xf numFmtId="49" fontId="16" fillId="0" borderId="11" xfId="0" applyNumberFormat="1" applyFont="1" applyBorder="1" applyAlignment="1">
      <alignment horizontal="left" vertical="center"/>
    </xf>
    <xf numFmtId="49" fontId="16" fillId="0" borderId="12" xfId="0" applyNumberFormat="1" applyFont="1" applyBorder="1" applyAlignment="1">
      <alignment horizontal="left" vertical="center"/>
    </xf>
    <xf numFmtId="0" fontId="0" fillId="0" borderId="7" xfId="0" applyBorder="1">
      <alignment vertical="center"/>
    </xf>
    <xf numFmtId="0" fontId="0" fillId="0" borderId="6" xfId="0" applyBorder="1">
      <alignment vertical="center"/>
    </xf>
    <xf numFmtId="0" fontId="16" fillId="3" borderId="11" xfId="0" applyFont="1" applyFill="1" applyBorder="1" applyAlignment="1">
      <alignment horizontal="right" vertical="center"/>
    </xf>
    <xf numFmtId="49" fontId="16" fillId="3" borderId="11" xfId="0" applyNumberFormat="1" applyFont="1" applyFill="1" applyBorder="1" applyAlignment="1">
      <alignment horizontal="left" vertical="center"/>
    </xf>
    <xf numFmtId="49" fontId="16" fillId="3" borderId="12" xfId="0" applyNumberFormat="1" applyFont="1" applyFill="1" applyBorder="1" applyAlignment="1">
      <alignment horizontal="left" vertical="center"/>
    </xf>
    <xf numFmtId="0" fontId="0" fillId="0" borderId="3" xfId="0" applyBorder="1">
      <alignment vertical="center"/>
    </xf>
    <xf numFmtId="0" fontId="16" fillId="11" borderId="13" xfId="0" applyFont="1" applyFill="1" applyBorder="1" applyAlignment="1">
      <alignment horizontal="center" vertical="center"/>
    </xf>
    <xf numFmtId="0" fontId="16" fillId="12" borderId="11" xfId="0" applyFont="1" applyFill="1" applyBorder="1" applyAlignment="1">
      <alignment horizontal="right" vertical="center"/>
    </xf>
    <xf numFmtId="49" fontId="16" fillId="12" borderId="11" xfId="0" applyNumberFormat="1" applyFont="1" applyFill="1" applyBorder="1" applyAlignment="1">
      <alignment horizontal="left" vertical="center"/>
    </xf>
    <xf numFmtId="0" fontId="16" fillId="12" borderId="2" xfId="0" applyFont="1" applyFill="1" applyBorder="1" applyAlignment="1">
      <alignment horizontal="right" vertical="center"/>
    </xf>
    <xf numFmtId="49" fontId="16" fillId="12" borderId="2" xfId="0" applyNumberFormat="1" applyFont="1" applyFill="1" applyBorder="1" applyAlignment="1">
      <alignment horizontal="left" vertical="center"/>
    </xf>
    <xf numFmtId="0" fontId="1" fillId="0" borderId="0" xfId="7">
      <alignment vertical="center"/>
    </xf>
    <xf numFmtId="38" fontId="1" fillId="0" borderId="0" xfId="1">
      <alignment vertical="center"/>
    </xf>
    <xf numFmtId="0" fontId="0" fillId="0" borderId="0" xfId="7" applyFont="1">
      <alignment vertical="center"/>
    </xf>
    <xf numFmtId="0" fontId="1" fillId="0" borderId="2" xfId="7" applyBorder="1" applyAlignment="1">
      <alignment horizontal="left" vertical="center"/>
    </xf>
    <xf numFmtId="38" fontId="1" fillId="0" borderId="2" xfId="1" applyBorder="1">
      <alignment vertical="center"/>
    </xf>
    <xf numFmtId="0" fontId="1" fillId="0" borderId="2" xfId="7" applyBorder="1">
      <alignment vertical="center"/>
    </xf>
    <xf numFmtId="0" fontId="0" fillId="0" borderId="2" xfId="7" applyFont="1" applyBorder="1" applyAlignment="1">
      <alignment horizontal="left" vertical="center"/>
    </xf>
    <xf numFmtId="0" fontId="1" fillId="13" borderId="0" xfId="7" applyFill="1" applyAlignment="1">
      <alignment horizontal="left" vertical="center"/>
    </xf>
    <xf numFmtId="38" fontId="1" fillId="13" borderId="0" xfId="1" applyFill="1">
      <alignment vertical="center"/>
    </xf>
    <xf numFmtId="0" fontId="1" fillId="13" borderId="0" xfId="7" applyFill="1">
      <alignment vertical="center"/>
    </xf>
    <xf numFmtId="0" fontId="0" fillId="13" borderId="0" xfId="7" applyFont="1" applyFill="1">
      <alignment vertical="center"/>
    </xf>
    <xf numFmtId="0" fontId="17" fillId="0" borderId="2" xfId="7" applyFont="1" applyBorder="1">
      <alignment vertical="center"/>
    </xf>
    <xf numFmtId="38" fontId="17" fillId="0" borderId="2" xfId="1" applyFont="1" applyBorder="1">
      <alignment vertical="center"/>
    </xf>
    <xf numFmtId="0" fontId="1" fillId="6" borderId="0" xfId="7" applyFill="1" applyAlignment="1">
      <alignment horizontal="left" vertical="center"/>
    </xf>
    <xf numFmtId="38" fontId="1" fillId="6" borderId="0" xfId="1" applyFill="1">
      <alignment vertical="center"/>
    </xf>
    <xf numFmtId="0" fontId="1" fillId="6" borderId="0" xfId="7" applyFill="1">
      <alignment vertical="center"/>
    </xf>
    <xf numFmtId="38" fontId="18" fillId="6" borderId="0" xfId="1" applyFont="1" applyFill="1">
      <alignment vertical="center"/>
    </xf>
    <xf numFmtId="0" fontId="0" fillId="6" borderId="0" xfId="7" applyFont="1" applyFill="1">
      <alignment vertical="center"/>
    </xf>
    <xf numFmtId="0" fontId="1" fillId="8" borderId="0" xfId="7" applyFill="1" applyAlignment="1">
      <alignment horizontal="left" vertical="center"/>
    </xf>
    <xf numFmtId="38" fontId="1" fillId="8" borderId="0" xfId="1" applyFill="1">
      <alignment vertical="center"/>
    </xf>
    <xf numFmtId="0" fontId="1" fillId="8" borderId="0" xfId="7" applyFill="1">
      <alignment vertical="center"/>
    </xf>
    <xf numFmtId="0" fontId="0" fillId="8" borderId="0" xfId="7" applyFont="1" applyFill="1">
      <alignment vertical="center"/>
    </xf>
    <xf numFmtId="0" fontId="1" fillId="3" borderId="3" xfId="7" applyFill="1" applyBorder="1" applyAlignment="1">
      <alignment horizontal="left" vertical="center"/>
    </xf>
    <xf numFmtId="38" fontId="1" fillId="3" borderId="3" xfId="1" applyFill="1" applyBorder="1">
      <alignment vertical="center"/>
    </xf>
    <xf numFmtId="0" fontId="1" fillId="3" borderId="3" xfId="7" applyFill="1" applyBorder="1">
      <alignment vertical="center"/>
    </xf>
    <xf numFmtId="0" fontId="1" fillId="3" borderId="2" xfId="7" applyFill="1" applyBorder="1">
      <alignment vertical="center"/>
    </xf>
    <xf numFmtId="38" fontId="1" fillId="3" borderId="2" xfId="1" applyFill="1" applyBorder="1">
      <alignment vertical="center"/>
    </xf>
    <xf numFmtId="0" fontId="1" fillId="3" borderId="6" xfId="7" applyFill="1" applyBorder="1" applyAlignment="1">
      <alignment horizontal="left" vertical="center"/>
    </xf>
    <xf numFmtId="38" fontId="1" fillId="3" borderId="6" xfId="1" applyFill="1" applyBorder="1">
      <alignment vertical="center"/>
    </xf>
    <xf numFmtId="0" fontId="0" fillId="3" borderId="6" xfId="7" applyFont="1" applyFill="1" applyBorder="1">
      <alignment vertical="center"/>
    </xf>
    <xf numFmtId="0" fontId="1" fillId="3" borderId="6" xfId="7" applyFill="1" applyBorder="1">
      <alignment vertical="center"/>
    </xf>
    <xf numFmtId="0" fontId="0" fillId="2" borderId="2" xfId="7" applyFont="1" applyFill="1" applyBorder="1" applyAlignment="1">
      <alignment horizontal="left" vertical="center"/>
    </xf>
    <xf numFmtId="38" fontId="1" fillId="2" borderId="2" xfId="1" applyFill="1" applyBorder="1">
      <alignment vertical="center"/>
    </xf>
    <xf numFmtId="0" fontId="1" fillId="2" borderId="2" xfId="7" applyFill="1" applyBorder="1">
      <alignment vertical="center"/>
    </xf>
    <xf numFmtId="0" fontId="1" fillId="14" borderId="0" xfId="7" applyFill="1" applyAlignment="1">
      <alignment horizontal="left" vertical="center"/>
    </xf>
    <xf numFmtId="38" fontId="1" fillId="14" borderId="0" xfId="1" applyFill="1">
      <alignment vertical="center"/>
    </xf>
    <xf numFmtId="0" fontId="1" fillId="14" borderId="0" xfId="7" applyFill="1">
      <alignment vertical="center"/>
    </xf>
    <xf numFmtId="38" fontId="1" fillId="0" borderId="0" xfId="7" applyNumberFormat="1">
      <alignment vertical="center"/>
    </xf>
    <xf numFmtId="0" fontId="13" fillId="0" borderId="0" xfId="5"/>
    <xf numFmtId="0" fontId="13" fillId="9" borderId="8" xfId="6" applyFill="1" applyBorder="1" applyAlignment="1">
      <alignment horizontal="center"/>
    </xf>
    <xf numFmtId="0" fontId="13" fillId="9" borderId="10" xfId="6" applyFill="1" applyBorder="1" applyAlignment="1">
      <alignment horizontal="center"/>
    </xf>
    <xf numFmtId="0" fontId="13" fillId="0" borderId="9" xfId="6" applyBorder="1" applyAlignment="1">
      <alignment wrapText="1"/>
    </xf>
    <xf numFmtId="0" fontId="13" fillId="0" borderId="9" xfId="6" applyBorder="1" applyAlignment="1">
      <alignment horizontal="right" wrapText="1"/>
    </xf>
    <xf numFmtId="4" fontId="13" fillId="0" borderId="9" xfId="6" applyNumberFormat="1" applyBorder="1" applyAlignment="1">
      <alignment horizontal="right" wrapText="1"/>
    </xf>
    <xf numFmtId="0" fontId="13" fillId="0" borderId="0" xfId="6"/>
    <xf numFmtId="49" fontId="19" fillId="0" borderId="14" xfId="0" applyNumberFormat="1" applyFont="1" applyBorder="1" applyAlignment="1"/>
    <xf numFmtId="0" fontId="19" fillId="0" borderId="14" xfId="0" applyFont="1" applyBorder="1" applyAlignment="1"/>
    <xf numFmtId="0" fontId="0" fillId="3" borderId="0" xfId="0" applyFill="1">
      <alignment vertical="center"/>
    </xf>
    <xf numFmtId="38" fontId="0" fillId="0" borderId="2" xfId="1" applyFont="1" applyBorder="1">
      <alignment vertical="center"/>
    </xf>
    <xf numFmtId="0" fontId="0" fillId="0" borderId="2" xfId="0" applyBorder="1" applyAlignment="1">
      <alignment horizontal="left" vertical="center"/>
    </xf>
    <xf numFmtId="0" fontId="0" fillId="0" borderId="0" xfId="0" applyAlignment="1">
      <alignment horizontal="left" vertical="center"/>
    </xf>
    <xf numFmtId="0" fontId="0" fillId="0" borderId="2" xfId="0" applyBorder="1" applyAlignment="1">
      <alignment horizontal="left" vertical="center" indent="1"/>
    </xf>
    <xf numFmtId="38" fontId="0" fillId="3" borderId="0" xfId="1" applyFont="1" applyFill="1">
      <alignment vertical="center"/>
    </xf>
    <xf numFmtId="38" fontId="5" fillId="3" borderId="0" xfId="0" applyNumberFormat="1" applyFont="1" applyFill="1" applyAlignment="1">
      <alignment horizontal="center" vertical="center"/>
    </xf>
    <xf numFmtId="38" fontId="5" fillId="3" borderId="0" xfId="0" applyNumberFormat="1" applyFont="1" applyFill="1" applyAlignment="1">
      <alignment horizontal="center"/>
    </xf>
    <xf numFmtId="0" fontId="5" fillId="3" borderId="0" xfId="0" applyFont="1" applyFill="1" applyAlignment="1"/>
    <xf numFmtId="38" fontId="5" fillId="3" borderId="0" xfId="1" applyFont="1" applyFill="1" applyAlignment="1">
      <alignment horizontal="center"/>
    </xf>
    <xf numFmtId="38" fontId="9" fillId="3" borderId="0" xfId="0" applyNumberFormat="1" applyFont="1" applyFill="1" applyAlignment="1">
      <alignment horizontal="center"/>
    </xf>
    <xf numFmtId="40" fontId="9" fillId="3" borderId="0" xfId="0" applyNumberFormat="1" applyFont="1" applyFill="1" applyAlignment="1"/>
    <xf numFmtId="40" fontId="9" fillId="3" borderId="0" xfId="1" applyNumberFormat="1" applyFont="1" applyFill="1" applyAlignment="1"/>
    <xf numFmtId="176" fontId="9" fillId="3" borderId="0" xfId="0" applyNumberFormat="1" applyFont="1" applyFill="1" applyAlignment="1"/>
    <xf numFmtId="38" fontId="20" fillId="0" borderId="0" xfId="1" applyFont="1">
      <alignment vertical="center"/>
    </xf>
    <xf numFmtId="38" fontId="5" fillId="0" borderId="2" xfId="0" applyNumberFormat="1" applyFont="1" applyBorder="1" applyAlignment="1">
      <alignment horizontal="center" vertical="center" shrinkToFit="1"/>
    </xf>
    <xf numFmtId="38" fontId="0" fillId="0" borderId="3" xfId="0" applyNumberFormat="1" applyBorder="1" applyAlignment="1">
      <alignment horizontal="centerContinuous" vertical="center" shrinkToFit="1"/>
    </xf>
    <xf numFmtId="38" fontId="5" fillId="0" borderId="3" xfId="1" applyFont="1" applyFill="1" applyBorder="1" applyAlignment="1">
      <alignment horizontal="center" vertical="center" shrinkToFit="1"/>
    </xf>
    <xf numFmtId="38" fontId="5" fillId="0" borderId="0" xfId="0" applyNumberFormat="1" applyFont="1" applyAlignment="1">
      <alignment horizontal="center" vertical="center" shrinkToFit="1"/>
    </xf>
    <xf numFmtId="40" fontId="9" fillId="0" borderId="0" xfId="0" applyNumberFormat="1" applyFont="1" applyAlignment="1">
      <alignment horizontal="center" vertical="center" shrinkToFit="1"/>
    </xf>
    <xf numFmtId="40" fontId="9" fillId="0" borderId="0" xfId="1" applyNumberFormat="1" applyFont="1" applyFill="1" applyBorder="1" applyAlignment="1">
      <alignment horizontal="center" vertical="center" shrinkToFit="1"/>
    </xf>
    <xf numFmtId="176" fontId="9" fillId="0" borderId="0" xfId="0" applyNumberFormat="1" applyFont="1" applyAlignment="1">
      <alignment horizontal="center" vertical="center" shrinkToFit="1"/>
    </xf>
    <xf numFmtId="38" fontId="9" fillId="0" borderId="6" xfId="0" applyNumberFormat="1" applyFont="1" applyBorder="1" applyAlignment="1">
      <alignment horizontal="center" vertical="center" shrinkToFit="1"/>
    </xf>
    <xf numFmtId="38" fontId="5" fillId="0" borderId="6" xfId="1" applyFont="1" applyFill="1" applyBorder="1" applyAlignment="1">
      <alignment horizontal="center" vertical="center" shrinkToFit="1"/>
    </xf>
    <xf numFmtId="0" fontId="21" fillId="6" borderId="1" xfId="0" applyFont="1" applyFill="1" applyBorder="1" applyAlignment="1">
      <alignment horizontal="left" vertical="center"/>
    </xf>
    <xf numFmtId="0" fontId="21" fillId="6" borderId="0" xfId="0" applyFont="1" applyFill="1" applyAlignment="1">
      <alignment horizontal="center" vertical="center"/>
    </xf>
    <xf numFmtId="38" fontId="21" fillId="6" borderId="0" xfId="1" applyFont="1" applyFill="1" applyAlignment="1">
      <alignment horizontal="center" vertical="center"/>
    </xf>
    <xf numFmtId="0" fontId="21" fillId="0" borderId="0" xfId="0" applyFont="1">
      <alignment vertical="center"/>
    </xf>
    <xf numFmtId="0" fontId="21" fillId="0" borderId="0" xfId="0" applyFont="1" applyAlignment="1">
      <alignment horizontal="left" vertical="center"/>
    </xf>
    <xf numFmtId="38" fontId="21" fillId="0" borderId="0" xfId="0" applyNumberFormat="1" applyFont="1" applyAlignment="1">
      <alignment horizontal="left" vertical="center"/>
    </xf>
    <xf numFmtId="38" fontId="21" fillId="0" borderId="0" xfId="0" applyNumberFormat="1" applyFont="1">
      <alignment vertical="center"/>
    </xf>
    <xf numFmtId="0" fontId="21" fillId="0" borderId="2" xfId="0" applyFont="1" applyBorder="1" applyAlignment="1">
      <alignment horizontal="left" vertical="center"/>
    </xf>
    <xf numFmtId="38" fontId="2" fillId="0" borderId="0" xfId="8" applyNumberFormat="1" applyFont="1">
      <alignment vertical="center"/>
    </xf>
    <xf numFmtId="38" fontId="1" fillId="0" borderId="3" xfId="8" applyNumberFormat="1" applyBorder="1">
      <alignment vertical="center"/>
    </xf>
    <xf numFmtId="38" fontId="2" fillId="0" borderId="1" xfId="8" applyNumberFormat="1" applyFont="1" applyBorder="1">
      <alignment vertical="center"/>
    </xf>
    <xf numFmtId="38" fontId="5" fillId="0" borderId="2" xfId="8" applyNumberFormat="1" applyFont="1" applyBorder="1">
      <alignment vertical="center"/>
    </xf>
    <xf numFmtId="38" fontId="5" fillId="0" borderId="3" xfId="8" applyNumberFormat="1" applyFont="1" applyBorder="1">
      <alignment vertical="center"/>
    </xf>
    <xf numFmtId="0" fontId="1" fillId="0" borderId="3" xfId="8" applyBorder="1">
      <alignment vertical="center"/>
    </xf>
    <xf numFmtId="38" fontId="1" fillId="15" borderId="3" xfId="8" applyNumberFormat="1" applyFill="1" applyBorder="1">
      <alignment vertical="center"/>
    </xf>
    <xf numFmtId="38" fontId="1" fillId="3" borderId="3" xfId="8" applyNumberFormat="1" applyFill="1" applyBorder="1">
      <alignment vertical="center"/>
    </xf>
    <xf numFmtId="38" fontId="5" fillId="7" borderId="0" xfId="8" applyNumberFormat="1" applyFont="1" applyFill="1" applyAlignment="1">
      <alignment horizontal="right" vertical="center"/>
    </xf>
    <xf numFmtId="38" fontId="5" fillId="0" borderId="0" xfId="8" applyNumberFormat="1" applyFont="1" applyAlignment="1">
      <alignment horizontal="center" vertical="center"/>
    </xf>
    <xf numFmtId="38" fontId="5" fillId="0" borderId="2" xfId="0" applyNumberFormat="1" applyFont="1" applyBorder="1" applyAlignment="1">
      <alignment horizontal="center" shrinkToFit="1"/>
    </xf>
    <xf numFmtId="38" fontId="11" fillId="0" borderId="2" xfId="1" applyFont="1" applyBorder="1" applyAlignment="1">
      <alignment vertical="center" shrinkToFit="1"/>
    </xf>
    <xf numFmtId="38" fontId="11" fillId="0" borderId="2" xfId="1" applyFont="1" applyFill="1" applyBorder="1" applyAlignment="1">
      <alignment vertical="center" shrinkToFit="1"/>
    </xf>
    <xf numFmtId="38" fontId="5" fillId="0" borderId="0" xfId="0" applyNumberFormat="1" applyFont="1" applyAlignment="1">
      <alignment horizontal="center" shrinkToFit="1"/>
    </xf>
    <xf numFmtId="38" fontId="13" fillId="6" borderId="0" xfId="1" applyFont="1" applyFill="1" applyAlignment="1">
      <alignment horizontal="right" vertical="center" shrinkToFit="1"/>
    </xf>
    <xf numFmtId="40" fontId="9" fillId="0" borderId="0" xfId="0" applyNumberFormat="1" applyFont="1" applyAlignment="1">
      <alignment shrinkToFit="1"/>
    </xf>
    <xf numFmtId="40" fontId="9" fillId="0" borderId="0" xfId="1" applyNumberFormat="1" applyFont="1" applyAlignment="1">
      <alignment shrinkToFit="1"/>
    </xf>
    <xf numFmtId="176" fontId="9" fillId="0" borderId="0" xfId="0" applyNumberFormat="1" applyFont="1" applyAlignment="1">
      <alignment shrinkToFit="1"/>
    </xf>
    <xf numFmtId="0" fontId="22" fillId="0" borderId="0" xfId="0" applyFont="1">
      <alignment vertical="center"/>
    </xf>
    <xf numFmtId="38" fontId="22" fillId="0" borderId="0" xfId="1" applyFont="1">
      <alignment vertical="center"/>
    </xf>
    <xf numFmtId="38" fontId="5" fillId="16" borderId="0" xfId="0" applyNumberFormat="1" applyFont="1" applyFill="1" applyAlignment="1">
      <alignment horizontal="center" vertical="center"/>
    </xf>
    <xf numFmtId="38" fontId="5" fillId="16" borderId="0" xfId="0" applyNumberFormat="1" applyFont="1" applyFill="1" applyAlignment="1">
      <alignment horizontal="center"/>
    </xf>
    <xf numFmtId="0" fontId="5" fillId="16" borderId="0" xfId="0" applyFont="1" applyFill="1" applyAlignment="1"/>
    <xf numFmtId="38" fontId="5" fillId="16" borderId="0" xfId="1" applyFont="1" applyFill="1" applyAlignment="1">
      <alignment horizontal="center"/>
    </xf>
    <xf numFmtId="38" fontId="9" fillId="16" borderId="0" xfId="0" applyNumberFormat="1" applyFont="1" applyFill="1" applyAlignment="1">
      <alignment horizontal="center"/>
    </xf>
    <xf numFmtId="40" fontId="9" fillId="16" borderId="0" xfId="0" applyNumberFormat="1" applyFont="1" applyFill="1" applyAlignment="1"/>
    <xf numFmtId="40" fontId="9" fillId="16" borderId="0" xfId="1" applyNumberFormat="1" applyFont="1" applyFill="1" applyAlignment="1"/>
    <xf numFmtId="176" fontId="9" fillId="16" borderId="0" xfId="0" applyNumberFormat="1" applyFont="1" applyFill="1" applyAlignment="1"/>
    <xf numFmtId="38" fontId="5" fillId="0" borderId="2" xfId="0" applyNumberFormat="1" applyFont="1" applyBorder="1" applyAlignment="1">
      <alignment vertical="center" shrinkToFit="1"/>
    </xf>
    <xf numFmtId="38" fontId="20" fillId="3" borderId="0" xfId="1" applyFont="1" applyFill="1">
      <alignment vertical="center"/>
    </xf>
    <xf numFmtId="38" fontId="20" fillId="3" borderId="0" xfId="1" applyFont="1" applyFill="1" applyAlignment="1">
      <alignment horizontal="right" vertical="center"/>
    </xf>
    <xf numFmtId="38" fontId="20" fillId="0" borderId="1" xfId="1" applyFont="1" applyBorder="1">
      <alignment vertical="center"/>
    </xf>
    <xf numFmtId="38" fontId="20" fillId="0" borderId="15" xfId="1" applyFont="1" applyBorder="1">
      <alignment vertical="center"/>
    </xf>
    <xf numFmtId="38" fontId="20" fillId="0" borderId="16" xfId="1" applyFont="1" applyBorder="1">
      <alignment vertical="center"/>
    </xf>
    <xf numFmtId="38" fontId="20" fillId="0" borderId="17" xfId="1" applyFont="1" applyBorder="1">
      <alignment vertical="center"/>
    </xf>
    <xf numFmtId="38" fontId="11" fillId="6" borderId="2" xfId="1" applyFont="1" applyFill="1" applyBorder="1" applyAlignment="1">
      <alignment vertical="center" shrinkToFit="1"/>
    </xf>
    <xf numFmtId="38" fontId="5" fillId="6" borderId="0" xfId="1" applyFont="1" applyFill="1" applyAlignment="1">
      <alignment horizontal="center" shrinkToFit="1"/>
    </xf>
    <xf numFmtId="38" fontId="11" fillId="6" borderId="2" xfId="1" applyFont="1" applyFill="1" applyBorder="1" applyAlignment="1">
      <alignment vertical="center"/>
    </xf>
    <xf numFmtId="0" fontId="23" fillId="0" borderId="0" xfId="0" applyFont="1">
      <alignment vertical="center"/>
    </xf>
    <xf numFmtId="38" fontId="23" fillId="0" borderId="0" xfId="1" applyFont="1" applyBorder="1">
      <alignment vertical="center"/>
    </xf>
    <xf numFmtId="38" fontId="23" fillId="0" borderId="0" xfId="1" applyFont="1">
      <alignment vertical="center"/>
    </xf>
    <xf numFmtId="0" fontId="23" fillId="0" borderId="16" xfId="0" applyFont="1" applyBorder="1">
      <alignment vertical="center"/>
    </xf>
    <xf numFmtId="0" fontId="23" fillId="0" borderId="0" xfId="0" applyFont="1" applyAlignment="1">
      <alignment horizontal="center" vertical="center" shrinkToFit="1"/>
    </xf>
    <xf numFmtId="0" fontId="23" fillId="0" borderId="1" xfId="0" applyFont="1" applyBorder="1" applyAlignment="1">
      <alignment horizontal="center" vertical="center" shrinkToFit="1"/>
    </xf>
    <xf numFmtId="38" fontId="23" fillId="0" borderId="1" xfId="1" applyFont="1" applyBorder="1" applyAlignment="1">
      <alignment horizontal="center" vertical="center" shrinkToFit="1"/>
    </xf>
    <xf numFmtId="0" fontId="23" fillId="0" borderId="17" xfId="0" applyFont="1" applyBorder="1" applyAlignment="1">
      <alignment horizontal="center" vertical="center" shrinkToFit="1"/>
    </xf>
    <xf numFmtId="38" fontId="23" fillId="0" borderId="0" xfId="1" applyFont="1" applyFill="1">
      <alignment vertical="center"/>
    </xf>
    <xf numFmtId="0" fontId="23" fillId="0" borderId="0" xfId="0" applyFont="1" applyAlignment="1">
      <alignment vertical="center" wrapText="1"/>
    </xf>
    <xf numFmtId="0" fontId="23" fillId="0" borderId="1" xfId="0" applyFont="1" applyBorder="1" applyAlignment="1">
      <alignment horizontal="center" vertical="center" wrapText="1" shrinkToFit="1"/>
    </xf>
    <xf numFmtId="0" fontId="23" fillId="0" borderId="0" xfId="0" applyFont="1" applyAlignment="1">
      <alignment horizontal="center" vertical="center"/>
    </xf>
    <xf numFmtId="38" fontId="5" fillId="0" borderId="3" xfId="0" applyNumberFormat="1" applyFont="1" applyBorder="1" applyAlignment="1">
      <alignment horizontal="center" vertical="center" shrinkToFit="1"/>
    </xf>
    <xf numFmtId="38" fontId="5" fillId="0" borderId="6" xfId="0" applyNumberFormat="1" applyFont="1" applyBorder="1" applyAlignment="1">
      <alignment horizontal="center" vertical="center" shrinkToFit="1"/>
    </xf>
    <xf numFmtId="38" fontId="5" fillId="0" borderId="2" xfId="0" applyNumberFormat="1" applyFont="1" applyBorder="1" applyAlignment="1">
      <alignment horizontal="center" vertical="center"/>
    </xf>
    <xf numFmtId="38" fontId="0" fillId="0" borderId="3" xfId="0" applyNumberFormat="1" applyBorder="1" applyAlignment="1">
      <alignment horizontal="center" vertical="center"/>
    </xf>
    <xf numFmtId="38" fontId="5" fillId="0" borderId="6" xfId="0" applyNumberFormat="1" applyFont="1" applyBorder="1" applyAlignment="1">
      <alignment horizontal="center" vertical="center"/>
    </xf>
    <xf numFmtId="38" fontId="6" fillId="0" borderId="0" xfId="0" applyNumberFormat="1" applyFont="1" applyAlignment="1">
      <alignment horizontal="center" vertical="center"/>
    </xf>
    <xf numFmtId="38" fontId="5" fillId="0" borderId="2" xfId="0" applyNumberFormat="1" applyFont="1" applyBorder="1" applyAlignment="1">
      <alignment horizontal="center" vertical="center" shrinkToFit="1"/>
    </xf>
    <xf numFmtId="0" fontId="5" fillId="0" borderId="2" xfId="0" applyFont="1" applyBorder="1" applyAlignment="1">
      <alignment horizontal="center" vertical="center" shrinkToFit="1"/>
    </xf>
    <xf numFmtId="38" fontId="5" fillId="0" borderId="2" xfId="1" applyFont="1" applyFill="1" applyBorder="1" applyAlignment="1">
      <alignment horizontal="center" vertical="center" shrinkToFit="1"/>
    </xf>
    <xf numFmtId="38" fontId="0" fillId="0" borderId="2" xfId="0" applyNumberFormat="1" applyBorder="1" applyAlignment="1">
      <alignment horizontal="center" vertical="center"/>
    </xf>
    <xf numFmtId="38" fontId="0" fillId="0" borderId="6" xfId="0" applyNumberFormat="1" applyBorder="1" applyAlignment="1">
      <alignment horizontal="center" vertical="center"/>
    </xf>
    <xf numFmtId="38" fontId="9" fillId="0" borderId="0" xfId="0" applyNumberFormat="1" applyFont="1" applyAlignment="1">
      <alignment horizontal="center" vertical="center" shrinkToFit="1"/>
    </xf>
    <xf numFmtId="38" fontId="8" fillId="0" borderId="3" xfId="1" applyFont="1" applyFill="1" applyBorder="1" applyAlignment="1">
      <alignment horizontal="center" vertical="center" shrinkToFit="1"/>
    </xf>
    <xf numFmtId="38" fontId="8" fillId="0" borderId="6" xfId="1" applyFont="1" applyFill="1" applyBorder="1" applyAlignment="1">
      <alignment horizontal="center" vertical="center" shrinkToFit="1"/>
    </xf>
    <xf numFmtId="38" fontId="5" fillId="0" borderId="3" xfId="0" applyNumberFormat="1" applyFont="1" applyBorder="1" applyAlignment="1">
      <alignment horizontal="center" vertical="center"/>
    </xf>
    <xf numFmtId="38" fontId="5" fillId="0" borderId="7" xfId="0" applyNumberFormat="1" applyFont="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38" fontId="0" fillId="3" borderId="3" xfId="0" applyNumberFormat="1" applyFill="1" applyBorder="1" applyAlignment="1">
      <alignment horizontal="center" vertical="center"/>
    </xf>
    <xf numFmtId="38" fontId="5" fillId="3" borderId="7" xfId="0" applyNumberFormat="1" applyFont="1" applyFill="1" applyBorder="1" applyAlignment="1">
      <alignment horizontal="center" vertical="center"/>
    </xf>
    <xf numFmtId="38" fontId="5" fillId="3" borderId="3" xfId="0" applyNumberFormat="1" applyFont="1" applyFill="1" applyBorder="1" applyAlignment="1">
      <alignment horizontal="center" vertical="center"/>
    </xf>
    <xf numFmtId="38" fontId="5" fillId="3" borderId="6" xfId="0" applyNumberFormat="1" applyFont="1" applyFill="1" applyBorder="1" applyAlignment="1">
      <alignment horizontal="center" vertical="center"/>
    </xf>
    <xf numFmtId="0" fontId="0" fillId="0" borderId="3" xfId="0" applyBorder="1" applyAlignment="1">
      <alignment horizontal="left" vertical="center"/>
    </xf>
    <xf numFmtId="0" fontId="0" fillId="0" borderId="7"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23" fillId="3" borderId="0" xfId="0" applyFont="1" applyFill="1" applyAlignment="1">
      <alignment vertical="center" wrapText="1"/>
    </xf>
  </cellXfs>
  <cellStyles count="9">
    <cellStyle name="桁区切り" xfId="1" builtinId="6"/>
    <cellStyle name="標準" xfId="0" builtinId="0"/>
    <cellStyle name="標準 22" xfId="7" xr:uid="{00000000-0005-0000-0000-000002000000}"/>
    <cellStyle name="標準 3" xfId="2" xr:uid="{00000000-0005-0000-0000-000003000000}"/>
    <cellStyle name="標準 4 4" xfId="8" xr:uid="{00000000-0005-0000-0000-000004000000}"/>
    <cellStyle name="標準_Sheet1" xfId="6" xr:uid="{00000000-0005-0000-0000-000005000000}"/>
    <cellStyle name="標準_元データ" xfId="5" xr:uid="{00000000-0005-0000-0000-000006000000}"/>
    <cellStyle name="標準_元データ_1" xfId="3" xr:uid="{00000000-0005-0000-0000-000007000000}"/>
    <cellStyle name="標準_元データ_2" xfId="4"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482599</xdr:colOff>
      <xdr:row>2</xdr:row>
      <xdr:rowOff>9525</xdr:rowOff>
    </xdr:from>
    <xdr:to>
      <xdr:col>18</xdr:col>
      <xdr:colOff>403224</xdr:colOff>
      <xdr:row>36</xdr:row>
      <xdr:rowOff>25400</xdr:rowOff>
    </xdr:to>
    <xdr:sp macro="" textlink="">
      <xdr:nvSpPr>
        <xdr:cNvPr id="2" name="テキスト ボックス 1">
          <a:extLst>
            <a:ext uri="{FF2B5EF4-FFF2-40B4-BE49-F238E27FC236}">
              <a16:creationId xmlns:a16="http://schemas.microsoft.com/office/drawing/2014/main" id="{23E32986-5FE7-49A2-BB5C-9A2D1F6D2411}"/>
            </a:ext>
          </a:extLst>
        </xdr:cNvPr>
        <xdr:cNvSpPr txBox="1"/>
      </xdr:nvSpPr>
      <xdr:spPr>
        <a:xfrm>
          <a:off x="7111999" y="339725"/>
          <a:ext cx="6143625" cy="562927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kumimoji="1" lang="ja-JP" altLang="en-US" sz="1100"/>
            <a:t>製造原価②</a:t>
          </a:r>
          <a:r>
            <a:rPr kumimoji="1" lang="en-US" altLang="ja-JP" sz="1100"/>
            <a:t>-2</a:t>
          </a:r>
          <a:r>
            <a:rPr kumimoji="1" lang="ja-JP" altLang="en-US" sz="1100"/>
            <a:t>手順</a:t>
          </a:r>
          <a:endParaRPr kumimoji="1" lang="en-US" altLang="ja-JP" sz="1100"/>
        </a:p>
        <a:p>
          <a:endParaRPr kumimoji="1" lang="en-US" altLang="ja-JP" sz="1100"/>
        </a:p>
        <a:p>
          <a:r>
            <a:rPr kumimoji="1" lang="ja-JP" altLang="en-US" sz="1100"/>
            <a:t>ピボット作成作業</a:t>
          </a:r>
          <a:endParaRPr kumimoji="1" lang="en-US" altLang="ja-JP" sz="1100"/>
        </a:p>
        <a:p>
          <a:r>
            <a:rPr kumimoji="1" lang="ja-JP" altLang="ja-JP" sz="1100">
              <a:solidFill>
                <a:schemeClr val="dk1"/>
              </a:solidFill>
              <a:effectLst/>
              <a:latin typeface="+mn-lt"/>
              <a:ea typeface="+mn-ea"/>
              <a:cs typeface="+mn-cs"/>
            </a:rPr>
            <a:t>１、当期の製造原価②</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原料出荷</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の仕込工程と添加・混合工程の部分でピボットをかける。</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在庫調整分は元データから削除する</a:t>
          </a:r>
          <a:r>
            <a:rPr kumimoji="1" lang="en-US" altLang="ja-JP" sz="1100">
              <a:solidFill>
                <a:schemeClr val="dk1"/>
              </a:solidFill>
              <a:effectLst/>
              <a:latin typeface="+mn-lt"/>
              <a:ea typeface="+mn-ea"/>
              <a:cs typeface="+mn-cs"/>
            </a:rPr>
            <a:t>)</a:t>
          </a:r>
        </a:p>
        <a:p>
          <a:r>
            <a:rPr kumimoji="1" lang="ja-JP" altLang="en-US" sz="1100">
              <a:solidFill>
                <a:schemeClr val="dk1"/>
              </a:solidFill>
              <a:effectLst/>
              <a:latin typeface="+mn-lt"/>
              <a:ea typeface="+mn-ea"/>
              <a:cs typeface="+mn-cs"/>
            </a:rPr>
            <a:t>２、ピボットは、行に</a:t>
          </a:r>
          <a:r>
            <a:rPr kumimoji="1" lang="ja-JP" altLang="ja-JP" sz="1100">
              <a:solidFill>
                <a:schemeClr val="dk1"/>
              </a:solidFill>
              <a:effectLst/>
              <a:latin typeface="+mn-lt"/>
              <a:ea typeface="+mn-ea"/>
              <a:cs typeface="+mn-cs"/>
            </a:rPr>
            <a:t>原料コード</a:t>
          </a:r>
          <a:r>
            <a:rPr kumimoji="1" lang="ja-JP" altLang="en-US"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原料名、原液名</a:t>
          </a:r>
          <a:r>
            <a:rPr kumimoji="1" lang="ja-JP" altLang="en-US" sz="1100">
              <a:solidFill>
                <a:schemeClr val="dk1"/>
              </a:solidFill>
              <a:effectLst/>
              <a:latin typeface="+mn-lt"/>
              <a:ea typeface="+mn-ea"/>
              <a:cs typeface="+mn-cs"/>
            </a:rPr>
            <a:t>の順とし、値</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原料量とする</a:t>
          </a:r>
          <a:r>
            <a:rPr kumimoji="1" lang="ja-JP" altLang="ja-JP"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３、ピボット上で右クリック⇒ピボットテーブルオプション</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表示</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従来のピボットテーブルレイアウトを使用するをクリックして、</a:t>
          </a:r>
          <a:r>
            <a:rPr kumimoji="1" lang="ja-JP" altLang="ja-JP" sz="1100">
              <a:solidFill>
                <a:schemeClr val="dk1"/>
              </a:solidFill>
              <a:effectLst/>
              <a:latin typeface="+mn-lt"/>
              <a:ea typeface="+mn-ea"/>
              <a:cs typeface="+mn-cs"/>
            </a:rPr>
            <a:t>原料コード、原料名、原液名</a:t>
          </a:r>
          <a:r>
            <a:rPr kumimoji="1" lang="ja-JP" altLang="en-US" sz="1100">
              <a:solidFill>
                <a:schemeClr val="dk1"/>
              </a:solidFill>
              <a:effectLst/>
              <a:latin typeface="+mn-lt"/>
              <a:ea typeface="+mn-ea"/>
              <a:cs typeface="+mn-cs"/>
            </a:rPr>
            <a:t>を同じ行に表示させる。</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４、原料コードの各集計を非表示にするために、どこかの集計セルの上で右クリック</a:t>
          </a: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原料コード</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の小計のチェックをはずす</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５、</a:t>
          </a:r>
          <a:r>
            <a:rPr kumimoji="1" lang="ja-JP" altLang="ja-JP" sz="1100">
              <a:solidFill>
                <a:schemeClr val="dk1"/>
              </a:solidFill>
              <a:effectLst/>
              <a:latin typeface="+mn-lt"/>
              <a:ea typeface="+mn-ea"/>
              <a:cs typeface="+mn-cs"/>
            </a:rPr>
            <a:t>原料名の各集計を非表示にするために、どこかの集計セルの上で右クリック⇒</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原料</a:t>
          </a:r>
          <a:r>
            <a:rPr kumimoji="1" lang="ja-JP" altLang="en-US" sz="1100">
              <a:solidFill>
                <a:schemeClr val="dk1"/>
              </a:solidFill>
              <a:effectLst/>
              <a:latin typeface="+mn-lt"/>
              <a:ea typeface="+mn-ea"/>
              <a:cs typeface="+mn-cs"/>
            </a:rPr>
            <a:t>名</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の小計のチェックをはずす</a:t>
          </a: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ピボット加工作業</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６、</a:t>
          </a:r>
          <a:r>
            <a:rPr kumimoji="1" lang="ja-JP" altLang="ja-JP" sz="1100">
              <a:solidFill>
                <a:schemeClr val="dk1"/>
              </a:solidFill>
              <a:effectLst/>
              <a:latin typeface="+mn-lt"/>
              <a:ea typeface="+mn-ea"/>
              <a:cs typeface="+mn-cs"/>
            </a:rPr>
            <a:t>上記で作成したピボット全体を</a:t>
          </a:r>
          <a:r>
            <a:rPr kumimoji="1" lang="ja-JP" altLang="en-US" sz="1100">
              <a:solidFill>
                <a:schemeClr val="dk1"/>
              </a:solidFill>
              <a:effectLst/>
              <a:latin typeface="+mn-lt"/>
              <a:ea typeface="+mn-ea"/>
              <a:cs typeface="+mn-cs"/>
            </a:rPr>
            <a:t>別の</a:t>
          </a:r>
          <a:r>
            <a:rPr kumimoji="1" lang="ja-JP" altLang="ja-JP" sz="1100">
              <a:solidFill>
                <a:schemeClr val="dk1"/>
              </a:solidFill>
              <a:effectLst/>
              <a:latin typeface="+mn-lt"/>
              <a:ea typeface="+mn-ea"/>
              <a:cs typeface="+mn-cs"/>
            </a:rPr>
            <a:t>シートに値貼り付けする</a:t>
          </a:r>
          <a:endParaRPr lang="ja-JP" altLang="ja-JP">
            <a:effectLst/>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７、</a:t>
          </a:r>
          <a:r>
            <a:rPr kumimoji="1" lang="en-US" altLang="ja-JP" sz="1100">
              <a:solidFill>
                <a:schemeClr val="dk1"/>
              </a:solidFill>
              <a:effectLst/>
              <a:latin typeface="+mn-lt"/>
              <a:ea typeface="+mn-ea"/>
              <a:cs typeface="+mn-cs"/>
            </a:rPr>
            <a:t>1-3</a:t>
          </a:r>
          <a:r>
            <a:rPr kumimoji="1" lang="ja-JP" altLang="ja-JP" sz="1100">
              <a:solidFill>
                <a:schemeClr val="dk1"/>
              </a:solidFill>
              <a:effectLst/>
              <a:latin typeface="+mn-lt"/>
              <a:ea typeface="+mn-ea"/>
              <a:cs typeface="+mn-cs"/>
            </a:rPr>
            <a:t>行目を削除して</a:t>
          </a:r>
          <a:r>
            <a:rPr kumimoji="1" lang="en-US" altLang="ja-JP" sz="1100">
              <a:solidFill>
                <a:schemeClr val="dk1"/>
              </a:solidFill>
              <a:effectLst/>
              <a:latin typeface="+mn-lt"/>
              <a:ea typeface="+mn-ea"/>
              <a:cs typeface="+mn-cs"/>
            </a:rPr>
            <a:t>1</a:t>
          </a:r>
          <a:r>
            <a:rPr kumimoji="1" lang="ja-JP" altLang="ja-JP" sz="1100">
              <a:solidFill>
                <a:schemeClr val="dk1"/>
              </a:solidFill>
              <a:effectLst/>
              <a:latin typeface="+mn-lt"/>
              <a:ea typeface="+mn-ea"/>
              <a:cs typeface="+mn-cs"/>
            </a:rPr>
            <a:t>行目に原料コード、原料名、原液名、集計</a:t>
          </a:r>
          <a:r>
            <a:rPr kumimoji="1" lang="ja-JP" altLang="en-US" sz="1100">
              <a:solidFill>
                <a:schemeClr val="dk1"/>
              </a:solidFill>
              <a:effectLst/>
              <a:latin typeface="+mn-lt"/>
              <a:ea typeface="+mn-ea"/>
              <a:cs typeface="+mn-cs"/>
            </a:rPr>
            <a:t>の</a:t>
          </a:r>
          <a:r>
            <a:rPr kumimoji="1" lang="en-US" altLang="ja-JP" sz="1100">
              <a:solidFill>
                <a:schemeClr val="dk1"/>
              </a:solidFill>
              <a:effectLst/>
              <a:latin typeface="+mn-lt"/>
              <a:ea typeface="+mn-ea"/>
              <a:cs typeface="+mn-cs"/>
            </a:rPr>
            <a:t>4</a:t>
          </a:r>
          <a:r>
            <a:rPr kumimoji="1" lang="ja-JP" altLang="en-US" sz="1100">
              <a:solidFill>
                <a:schemeClr val="dk1"/>
              </a:solidFill>
              <a:effectLst/>
              <a:latin typeface="+mn-lt"/>
              <a:ea typeface="+mn-ea"/>
              <a:cs typeface="+mn-cs"/>
            </a:rPr>
            <a:t>つのタイトル</a:t>
          </a:r>
          <a:r>
            <a:rPr kumimoji="1" lang="ja-JP" altLang="ja-JP" sz="1100">
              <a:solidFill>
                <a:schemeClr val="dk1"/>
              </a:solidFill>
              <a:effectLst/>
              <a:latin typeface="+mn-lt"/>
              <a:ea typeface="+mn-ea"/>
              <a:cs typeface="+mn-cs"/>
            </a:rPr>
            <a:t>が並ぶようにする。</a:t>
          </a: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８、原料コード列と原料名列（</a:t>
          </a:r>
          <a:r>
            <a:rPr kumimoji="1" lang="en-US" altLang="ja-JP" sz="1100">
              <a:solidFill>
                <a:schemeClr val="dk1"/>
              </a:solidFill>
              <a:effectLst/>
              <a:latin typeface="+mn-lt"/>
              <a:ea typeface="+mn-ea"/>
              <a:cs typeface="+mn-cs"/>
            </a:rPr>
            <a:t>A</a:t>
          </a:r>
          <a:r>
            <a:rPr kumimoji="1" lang="ja-JP" altLang="ja-JP" sz="1100">
              <a:solidFill>
                <a:schemeClr val="dk1"/>
              </a:solidFill>
              <a:effectLst/>
              <a:latin typeface="+mn-lt"/>
              <a:ea typeface="+mn-ea"/>
              <a:cs typeface="+mn-cs"/>
            </a:rPr>
            <a:t>列と</a:t>
          </a:r>
          <a:r>
            <a:rPr kumimoji="1" lang="en-US" altLang="ja-JP" sz="1100">
              <a:solidFill>
                <a:schemeClr val="dk1"/>
              </a:solidFill>
              <a:effectLst/>
              <a:latin typeface="+mn-lt"/>
              <a:ea typeface="+mn-ea"/>
              <a:cs typeface="+mn-cs"/>
            </a:rPr>
            <a:t>B</a:t>
          </a:r>
          <a:r>
            <a:rPr kumimoji="1" lang="ja-JP" altLang="ja-JP" sz="1100">
              <a:solidFill>
                <a:schemeClr val="dk1"/>
              </a:solidFill>
              <a:effectLst/>
              <a:latin typeface="+mn-lt"/>
              <a:ea typeface="+mn-ea"/>
              <a:cs typeface="+mn-cs"/>
            </a:rPr>
            <a:t>列</a:t>
          </a:r>
          <a:r>
            <a:rPr kumimoji="1" lang="ja-JP" altLang="en-US" sz="1100">
              <a:solidFill>
                <a:schemeClr val="dk1"/>
              </a:solidFill>
              <a:effectLst/>
              <a:latin typeface="+mn-lt"/>
              <a:ea typeface="+mn-ea"/>
              <a:cs typeface="+mn-cs"/>
            </a:rPr>
            <a:t>とする）</a:t>
          </a:r>
          <a:r>
            <a:rPr kumimoji="1" lang="ja-JP" altLang="ja-JP" sz="1100">
              <a:solidFill>
                <a:schemeClr val="dk1"/>
              </a:solidFill>
              <a:effectLst/>
              <a:latin typeface="+mn-lt"/>
              <a:ea typeface="+mn-ea"/>
              <a:cs typeface="+mn-cs"/>
            </a:rPr>
            <a:t>を選択⇒</a:t>
          </a:r>
          <a:r>
            <a:rPr lang="en-US" altLang="ja-JP" sz="1100">
              <a:solidFill>
                <a:schemeClr val="dk1"/>
              </a:solidFill>
              <a:effectLst/>
              <a:latin typeface="+mn-lt"/>
              <a:ea typeface="+mn-ea"/>
              <a:cs typeface="+mn-cs"/>
            </a:rPr>
            <a:t>Ctrl+G</a:t>
          </a:r>
          <a:r>
            <a:rPr kumimoji="1" lang="ja-JP" altLang="ja-JP" sz="1100">
              <a:solidFill>
                <a:schemeClr val="dk1"/>
              </a:solidFill>
              <a:effectLst/>
              <a:latin typeface="+mn-lt"/>
              <a:ea typeface="+mn-ea"/>
              <a:cs typeface="+mn-cs"/>
            </a:rPr>
            <a:t>⇒セル選択⇒空白セル⇒</a:t>
          </a:r>
          <a:r>
            <a:rPr kumimoji="1" lang="en-US" altLang="ja-JP" sz="1100">
              <a:solidFill>
                <a:schemeClr val="dk1"/>
              </a:solidFill>
              <a:effectLst/>
              <a:latin typeface="+mn-lt"/>
              <a:ea typeface="+mn-ea"/>
              <a:cs typeface="+mn-cs"/>
            </a:rPr>
            <a:t>Enter</a:t>
          </a:r>
          <a:r>
            <a:rPr kumimoji="1" lang="ja-JP" altLang="ja-JP" sz="1100">
              <a:solidFill>
                <a:schemeClr val="dk1"/>
              </a:solidFill>
              <a:effectLst/>
              <a:latin typeface="+mn-lt"/>
              <a:ea typeface="+mn-ea"/>
              <a:cs typeface="+mn-cs"/>
            </a:rPr>
            <a:t>⇒これで</a:t>
          </a:r>
          <a:r>
            <a:rPr kumimoji="1" lang="en-US" altLang="ja-JP" sz="1100">
              <a:solidFill>
                <a:schemeClr val="dk1"/>
              </a:solidFill>
              <a:effectLst/>
              <a:latin typeface="+mn-lt"/>
              <a:ea typeface="+mn-ea"/>
              <a:cs typeface="+mn-cs"/>
            </a:rPr>
            <a:t>A</a:t>
          </a:r>
          <a:r>
            <a:rPr kumimoji="1" lang="ja-JP" altLang="ja-JP" sz="1100">
              <a:solidFill>
                <a:schemeClr val="dk1"/>
              </a:solidFill>
              <a:effectLst/>
              <a:latin typeface="+mn-lt"/>
              <a:ea typeface="+mn-ea"/>
              <a:cs typeface="+mn-cs"/>
            </a:rPr>
            <a:t>列と</a:t>
          </a:r>
          <a:r>
            <a:rPr kumimoji="1" lang="en-US" altLang="ja-JP" sz="1100">
              <a:solidFill>
                <a:schemeClr val="dk1"/>
              </a:solidFill>
              <a:effectLst/>
              <a:latin typeface="+mn-lt"/>
              <a:ea typeface="+mn-ea"/>
              <a:cs typeface="+mn-cs"/>
            </a:rPr>
            <a:t>B</a:t>
          </a:r>
          <a:r>
            <a:rPr kumimoji="1" lang="ja-JP" altLang="ja-JP" sz="1100">
              <a:solidFill>
                <a:schemeClr val="dk1"/>
              </a:solidFill>
              <a:effectLst/>
              <a:latin typeface="+mn-lt"/>
              <a:ea typeface="+mn-ea"/>
              <a:cs typeface="+mn-cs"/>
            </a:rPr>
            <a:t>列の空白セルのみが選択される</a:t>
          </a: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９、</a:t>
          </a:r>
          <a:r>
            <a:rPr kumimoji="1" lang="ja-JP" altLang="ja-JP" sz="1100">
              <a:solidFill>
                <a:schemeClr val="dk1"/>
              </a:solidFill>
              <a:effectLst/>
              <a:latin typeface="+mn-lt"/>
              <a:ea typeface="+mn-ea"/>
              <a:cs typeface="+mn-cs"/>
            </a:rPr>
            <a:t>その状態で</a:t>
          </a:r>
          <a:r>
            <a:rPr kumimoji="1" lang="ja-JP" altLang="en-US" sz="1100">
              <a:solidFill>
                <a:schemeClr val="dk1"/>
              </a:solidFill>
              <a:effectLst/>
              <a:latin typeface="+mn-lt"/>
              <a:ea typeface="+mn-ea"/>
              <a:cs typeface="+mn-cs"/>
            </a:rPr>
            <a:t>何か文字を</a:t>
          </a:r>
          <a:r>
            <a:rPr kumimoji="1" lang="ja-JP" altLang="ja-JP" sz="1100">
              <a:solidFill>
                <a:schemeClr val="dk1"/>
              </a:solidFill>
              <a:effectLst/>
              <a:latin typeface="+mn-lt"/>
              <a:ea typeface="+mn-ea"/>
              <a:cs typeface="+mn-cs"/>
            </a:rPr>
            <a:t>入力をすると</a:t>
          </a:r>
          <a:r>
            <a:rPr kumimoji="1" lang="en-US" altLang="ja-JP" sz="1100">
              <a:solidFill>
                <a:schemeClr val="dk1"/>
              </a:solidFill>
              <a:effectLst/>
              <a:latin typeface="+mn-lt"/>
              <a:ea typeface="+mn-ea"/>
              <a:cs typeface="+mn-cs"/>
            </a:rPr>
            <a:t>A2</a:t>
          </a:r>
          <a:r>
            <a:rPr kumimoji="1" lang="ja-JP" altLang="ja-JP" sz="1100">
              <a:solidFill>
                <a:schemeClr val="dk1"/>
              </a:solidFill>
              <a:effectLst/>
              <a:latin typeface="+mn-lt"/>
              <a:ea typeface="+mn-ea"/>
              <a:cs typeface="+mn-cs"/>
            </a:rPr>
            <a:t>に入力されるが、</a:t>
          </a:r>
          <a:r>
            <a:rPr kumimoji="1" lang="ja-JP" altLang="en-US" sz="1100">
              <a:solidFill>
                <a:schemeClr val="dk1"/>
              </a:solidFill>
              <a:effectLst/>
              <a:latin typeface="+mn-lt"/>
              <a:ea typeface="+mn-ea"/>
              <a:cs typeface="+mn-cs"/>
            </a:rPr>
            <a:t>その状態のまま</a:t>
          </a:r>
          <a:r>
            <a:rPr kumimoji="1" lang="en-US" altLang="ja-JP" sz="1100">
              <a:solidFill>
                <a:schemeClr val="dk1"/>
              </a:solidFill>
              <a:effectLst/>
              <a:latin typeface="+mn-lt"/>
              <a:ea typeface="+mn-ea"/>
              <a:cs typeface="+mn-cs"/>
            </a:rPr>
            <a:t>A2</a:t>
          </a:r>
          <a:r>
            <a:rPr kumimoji="1" lang="ja-JP" altLang="ja-JP" sz="1100">
              <a:solidFill>
                <a:schemeClr val="dk1"/>
              </a:solidFill>
              <a:effectLst/>
              <a:latin typeface="+mn-lt"/>
              <a:ea typeface="+mn-ea"/>
              <a:cs typeface="+mn-cs"/>
            </a:rPr>
            <a:t>に</a:t>
          </a:r>
          <a:r>
            <a:rPr kumimoji="1" lang="en-US" altLang="ja-JP" sz="1100">
              <a:solidFill>
                <a:schemeClr val="dk1"/>
              </a:solidFill>
              <a:effectLst/>
              <a:latin typeface="+mn-lt"/>
              <a:ea typeface="+mn-ea"/>
              <a:cs typeface="+mn-cs"/>
            </a:rPr>
            <a:t>=A1</a:t>
          </a:r>
          <a:r>
            <a:rPr kumimoji="1" lang="ja-JP" altLang="en-US" sz="1100">
              <a:solidFill>
                <a:schemeClr val="dk1"/>
              </a:solidFill>
              <a:effectLst/>
              <a:latin typeface="+mn-lt"/>
              <a:ea typeface="+mn-ea"/>
              <a:cs typeface="+mn-cs"/>
            </a:rPr>
            <a:t>（一つ上のセルを参照する式）と</a:t>
          </a:r>
          <a:r>
            <a:rPr kumimoji="1" lang="ja-JP" altLang="ja-JP" sz="1100">
              <a:solidFill>
                <a:schemeClr val="dk1"/>
              </a:solidFill>
              <a:effectLst/>
              <a:latin typeface="+mn-lt"/>
              <a:ea typeface="+mn-ea"/>
              <a:cs typeface="+mn-cs"/>
            </a:rPr>
            <a:t>入力⇒</a:t>
          </a:r>
          <a:r>
            <a:rPr lang="en-US" altLang="ja-JP" sz="1100">
              <a:solidFill>
                <a:schemeClr val="dk1"/>
              </a:solidFill>
              <a:effectLst/>
              <a:latin typeface="+mn-lt"/>
              <a:ea typeface="+mn-ea"/>
              <a:cs typeface="+mn-cs"/>
            </a:rPr>
            <a:t>Ctrl+Enter</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これ</a:t>
          </a:r>
          <a:r>
            <a:rPr kumimoji="1" lang="ja-JP" altLang="ja-JP" sz="1100">
              <a:solidFill>
                <a:schemeClr val="dk1"/>
              </a:solidFill>
              <a:effectLst/>
              <a:latin typeface="+mn-lt"/>
              <a:ea typeface="+mn-ea"/>
              <a:cs typeface="+mn-cs"/>
            </a:rPr>
            <a:t>で選択されているすべてのセルに一つ上のセルを参照する</a:t>
          </a:r>
          <a:r>
            <a:rPr kumimoji="1" lang="ja-JP" altLang="en-US" sz="1100">
              <a:solidFill>
                <a:schemeClr val="dk1"/>
              </a:solidFill>
              <a:effectLst/>
              <a:latin typeface="+mn-lt"/>
              <a:ea typeface="+mn-ea"/>
              <a:cs typeface="+mn-cs"/>
            </a:rPr>
            <a:t>式</a:t>
          </a:r>
          <a:r>
            <a:rPr kumimoji="1" lang="ja-JP" altLang="ja-JP" sz="1100">
              <a:solidFill>
                <a:schemeClr val="dk1"/>
              </a:solidFill>
              <a:effectLst/>
              <a:latin typeface="+mn-lt"/>
              <a:ea typeface="+mn-ea"/>
              <a:cs typeface="+mn-cs"/>
            </a:rPr>
            <a:t>が入力される</a:t>
          </a: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１０、９の関数を値にするために、</a:t>
          </a:r>
          <a:r>
            <a:rPr kumimoji="1" lang="en-US" altLang="ja-JP" sz="1100">
              <a:solidFill>
                <a:schemeClr val="dk1"/>
              </a:solidFill>
              <a:effectLst/>
              <a:latin typeface="+mn-lt"/>
              <a:ea typeface="+mn-ea"/>
              <a:cs typeface="+mn-cs"/>
            </a:rPr>
            <a:t>A</a:t>
          </a:r>
          <a:r>
            <a:rPr kumimoji="1" lang="ja-JP" altLang="ja-JP" sz="1100">
              <a:solidFill>
                <a:schemeClr val="dk1"/>
              </a:solidFill>
              <a:effectLst/>
              <a:latin typeface="+mn-lt"/>
              <a:ea typeface="+mn-ea"/>
              <a:cs typeface="+mn-cs"/>
            </a:rPr>
            <a:t>列と</a:t>
          </a:r>
          <a:r>
            <a:rPr kumimoji="1" lang="en-US" altLang="ja-JP" sz="1100">
              <a:solidFill>
                <a:schemeClr val="dk1"/>
              </a:solidFill>
              <a:effectLst/>
              <a:latin typeface="+mn-lt"/>
              <a:ea typeface="+mn-ea"/>
              <a:cs typeface="+mn-cs"/>
            </a:rPr>
            <a:t>B</a:t>
          </a:r>
          <a:r>
            <a:rPr kumimoji="1" lang="ja-JP" altLang="ja-JP" sz="1100">
              <a:solidFill>
                <a:schemeClr val="dk1"/>
              </a:solidFill>
              <a:effectLst/>
              <a:latin typeface="+mn-lt"/>
              <a:ea typeface="+mn-ea"/>
              <a:cs typeface="+mn-cs"/>
            </a:rPr>
            <a:t>列</a:t>
          </a:r>
          <a:r>
            <a:rPr kumimoji="1" lang="ja-JP" altLang="en-US" sz="1100">
              <a:solidFill>
                <a:schemeClr val="dk1"/>
              </a:solidFill>
              <a:effectLst/>
              <a:latin typeface="+mn-lt"/>
              <a:ea typeface="+mn-ea"/>
              <a:cs typeface="+mn-cs"/>
            </a:rPr>
            <a:t>をコピーしそのまま値貼り付けを行う。</a:t>
          </a:r>
          <a:endParaRPr lang="ja-JP" altLang="ja-JP">
            <a:effectLst/>
          </a:endParaRPr>
        </a:p>
        <a:p>
          <a:endParaRPr lang="en-US" altLang="ja-JP">
            <a:effectLst/>
          </a:endParaRPr>
        </a:p>
        <a:p>
          <a:r>
            <a:rPr lang="ja-JP" altLang="en-US">
              <a:effectLst/>
            </a:rPr>
            <a:t>数値飛ばし作業</a:t>
          </a:r>
          <a:endParaRPr lang="ja-JP" altLang="ja-JP">
            <a:effectLst/>
          </a:endParaRPr>
        </a:p>
        <a:p>
          <a:r>
            <a:rPr kumimoji="1" lang="ja-JP" altLang="en-US" sz="1100">
              <a:solidFill>
                <a:schemeClr val="dk1"/>
              </a:solidFill>
              <a:effectLst/>
              <a:latin typeface="+mn-lt"/>
              <a:ea typeface="+mn-ea"/>
              <a:cs typeface="+mn-cs"/>
            </a:rPr>
            <a:t>１１</a:t>
          </a:r>
          <a:r>
            <a:rPr kumimoji="1" lang="ja-JP" altLang="ja-JP" sz="1100">
              <a:solidFill>
                <a:schemeClr val="dk1"/>
              </a:solidFill>
              <a:effectLst/>
              <a:latin typeface="+mn-lt"/>
              <a:ea typeface="+mn-ea"/>
              <a:cs typeface="+mn-cs"/>
            </a:rPr>
            <a:t>、上記で</a:t>
          </a:r>
          <a:r>
            <a:rPr kumimoji="1" lang="ja-JP" altLang="en-US" sz="1100">
              <a:solidFill>
                <a:schemeClr val="dk1"/>
              </a:solidFill>
              <a:effectLst/>
              <a:latin typeface="+mn-lt"/>
              <a:ea typeface="+mn-ea"/>
              <a:cs typeface="+mn-cs"/>
            </a:rPr>
            <a:t>別シートで</a:t>
          </a:r>
          <a:r>
            <a:rPr kumimoji="1" lang="ja-JP" altLang="ja-JP" sz="1100">
              <a:solidFill>
                <a:schemeClr val="dk1"/>
              </a:solidFill>
              <a:effectLst/>
              <a:latin typeface="+mn-lt"/>
              <a:ea typeface="+mn-ea"/>
              <a:cs typeface="+mn-cs"/>
            </a:rPr>
            <a:t>作成した</a:t>
          </a:r>
          <a:r>
            <a:rPr kumimoji="1" lang="ja-JP" altLang="en-US" sz="1100">
              <a:solidFill>
                <a:schemeClr val="dk1"/>
              </a:solidFill>
              <a:effectLst/>
              <a:latin typeface="+mn-lt"/>
              <a:ea typeface="+mn-ea"/>
              <a:cs typeface="+mn-cs"/>
            </a:rPr>
            <a:t>表のタイトル行から総計より前の行</a:t>
          </a:r>
          <a:r>
            <a:rPr kumimoji="1" lang="ja-JP" altLang="ja-JP" sz="1100">
              <a:solidFill>
                <a:schemeClr val="dk1"/>
              </a:solidFill>
              <a:effectLst/>
              <a:latin typeface="+mn-lt"/>
              <a:ea typeface="+mn-ea"/>
              <a:cs typeface="+mn-cs"/>
            </a:rPr>
            <a:t>をこのシートに値貼り付けする</a:t>
          </a:r>
          <a:endParaRPr lang="ja-JP" altLang="ja-JP">
            <a:effectLst/>
          </a:endParaRPr>
        </a:p>
        <a:p>
          <a:r>
            <a:rPr kumimoji="1" lang="ja-JP" altLang="en-US" sz="1100">
              <a:solidFill>
                <a:schemeClr val="dk1"/>
              </a:solidFill>
              <a:effectLst/>
              <a:latin typeface="+mn-lt"/>
              <a:ea typeface="+mn-ea"/>
              <a:cs typeface="+mn-cs"/>
            </a:rPr>
            <a:t>１２、</a:t>
          </a:r>
          <a:r>
            <a:rPr kumimoji="1" lang="en-US" altLang="ja-JP" sz="1100">
              <a:solidFill>
                <a:schemeClr val="dk1"/>
              </a:solidFill>
              <a:effectLst/>
              <a:latin typeface="+mn-lt"/>
              <a:ea typeface="+mn-ea"/>
              <a:cs typeface="+mn-cs"/>
            </a:rPr>
            <a:t>sumif</a:t>
          </a:r>
          <a:r>
            <a:rPr kumimoji="1" lang="ja-JP" altLang="en-US" sz="1100">
              <a:solidFill>
                <a:schemeClr val="dk1"/>
              </a:solidFill>
              <a:effectLst/>
              <a:latin typeface="+mn-lt"/>
              <a:ea typeface="+mn-ea"/>
              <a:cs typeface="+mn-cs"/>
            </a:rPr>
            <a:t>関数が原材料シートに設定されているため、自動で数値が原材料シート（当期投入高）に飛ぶが、当期投入高に含まれていない原液の場合は、新規原液を追加しておく</a:t>
          </a:r>
          <a:endParaRPr kumimoji="0" lang="en-US" altLang="ja-JP" sz="1100" b="0" i="0" u="none" strike="noStrike">
            <a:solidFill>
              <a:schemeClr val="dk1"/>
            </a:solidFill>
            <a:effectLst/>
            <a:latin typeface="+mn-lt"/>
            <a:ea typeface="+mn-ea"/>
            <a:cs typeface="+mn-cs"/>
          </a:endParaRPr>
        </a:p>
        <a:p>
          <a:r>
            <a:rPr kumimoji="0" lang="ja-JP" altLang="en-US" sz="1100" b="0" i="0" u="none" strike="noStrike">
              <a:solidFill>
                <a:schemeClr val="dk1"/>
              </a:solidFill>
              <a:effectLst/>
              <a:latin typeface="+mn-lt"/>
              <a:ea typeface="+mn-ea"/>
              <a:cs typeface="+mn-cs"/>
            </a:rPr>
            <a:t>１３、</a:t>
          </a:r>
          <a:r>
            <a:rPr kumimoji="1" lang="ja-JP" altLang="ja-JP" sz="1100">
              <a:solidFill>
                <a:schemeClr val="dk1"/>
              </a:solidFill>
              <a:effectLst/>
              <a:latin typeface="+mn-lt"/>
              <a:ea typeface="+mn-ea"/>
              <a:cs typeface="+mn-cs"/>
            </a:rPr>
            <a:t>原材料シート</a:t>
          </a:r>
          <a:r>
            <a:rPr kumimoji="1" lang="ja-JP" altLang="en-US" sz="1100">
              <a:solidFill>
                <a:schemeClr val="dk1"/>
              </a:solidFill>
              <a:effectLst/>
              <a:latin typeface="+mn-lt"/>
              <a:ea typeface="+mn-ea"/>
              <a:cs typeface="+mn-cs"/>
            </a:rPr>
            <a:t>の</a:t>
          </a:r>
          <a:r>
            <a:rPr kumimoji="0" lang="ja-JP" altLang="en-US" sz="1100" b="0" i="0" u="none" strike="noStrike">
              <a:solidFill>
                <a:schemeClr val="dk1"/>
              </a:solidFill>
              <a:effectLst/>
              <a:latin typeface="+mn-lt"/>
              <a:ea typeface="+mn-ea"/>
              <a:cs typeface="+mn-cs"/>
            </a:rPr>
            <a:t>製造原価②</a:t>
          </a:r>
          <a:r>
            <a:rPr kumimoji="0" lang="en-US" altLang="ja-JP" sz="1100" b="0" i="0" u="none" strike="noStrike">
              <a:solidFill>
                <a:schemeClr val="dk1"/>
              </a:solidFill>
              <a:effectLst/>
              <a:latin typeface="+mn-lt"/>
              <a:ea typeface="+mn-ea"/>
              <a:cs typeface="+mn-cs"/>
            </a:rPr>
            <a:t>-2</a:t>
          </a:r>
          <a:r>
            <a:rPr kumimoji="0" lang="ja-JP" altLang="en-US" sz="1100" b="0" i="0" u="none" strike="noStrike">
              <a:solidFill>
                <a:schemeClr val="dk1"/>
              </a:solidFill>
              <a:effectLst/>
              <a:latin typeface="+mn-lt"/>
              <a:ea typeface="+mn-ea"/>
              <a:cs typeface="+mn-cs"/>
            </a:rPr>
            <a:t>チェックが</a:t>
          </a:r>
          <a:r>
            <a:rPr kumimoji="0" lang="en-US" altLang="ja-JP" sz="1100" b="0" i="0" u="none" strike="noStrike">
              <a:solidFill>
                <a:schemeClr val="dk1"/>
              </a:solidFill>
              <a:effectLst/>
              <a:latin typeface="+mn-lt"/>
              <a:ea typeface="+mn-ea"/>
              <a:cs typeface="+mn-cs"/>
            </a:rPr>
            <a:t>ok</a:t>
          </a:r>
          <a:r>
            <a:rPr kumimoji="0" lang="ja-JP" altLang="en-US" sz="1100" b="0" i="0" u="none" strike="noStrike">
              <a:solidFill>
                <a:schemeClr val="dk1"/>
              </a:solidFill>
              <a:effectLst/>
              <a:latin typeface="+mn-lt"/>
              <a:ea typeface="+mn-ea"/>
              <a:cs typeface="+mn-cs"/>
            </a:rPr>
            <a:t>となっていることを確認して作業完了</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338138</xdr:colOff>
      <xdr:row>8</xdr:row>
      <xdr:rowOff>100013</xdr:rowOff>
    </xdr:from>
    <xdr:to>
      <xdr:col>4</xdr:col>
      <xdr:colOff>757238</xdr:colOff>
      <xdr:row>11</xdr:row>
      <xdr:rowOff>52388</xdr:rowOff>
    </xdr:to>
    <xdr:sp macro="" textlink="">
      <xdr:nvSpPr>
        <xdr:cNvPr id="2" name="右矢印 1">
          <a:extLst>
            <a:ext uri="{FF2B5EF4-FFF2-40B4-BE49-F238E27FC236}">
              <a16:creationId xmlns:a16="http://schemas.microsoft.com/office/drawing/2014/main" id="{9A5C4FFF-71C4-4DE9-B9DC-8CC2236A44C1}"/>
            </a:ext>
          </a:extLst>
        </xdr:cNvPr>
        <xdr:cNvSpPr/>
      </xdr:nvSpPr>
      <xdr:spPr>
        <a:xfrm rot="5400000">
          <a:off x="4184650" y="1435101"/>
          <a:ext cx="447675" cy="4191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338138</xdr:colOff>
      <xdr:row>8</xdr:row>
      <xdr:rowOff>100013</xdr:rowOff>
    </xdr:from>
    <xdr:to>
      <xdr:col>4</xdr:col>
      <xdr:colOff>757238</xdr:colOff>
      <xdr:row>11</xdr:row>
      <xdr:rowOff>52388</xdr:rowOff>
    </xdr:to>
    <xdr:sp macro="" textlink="">
      <xdr:nvSpPr>
        <xdr:cNvPr id="3" name="右矢印 2">
          <a:extLst>
            <a:ext uri="{FF2B5EF4-FFF2-40B4-BE49-F238E27FC236}">
              <a16:creationId xmlns:a16="http://schemas.microsoft.com/office/drawing/2014/main" id="{EFF84468-131C-4CD2-A537-C52A4EDCB71D}"/>
            </a:ext>
          </a:extLst>
        </xdr:cNvPr>
        <xdr:cNvSpPr/>
      </xdr:nvSpPr>
      <xdr:spPr>
        <a:xfrm rot="5400000">
          <a:off x="4184650" y="1435101"/>
          <a:ext cx="447675" cy="4191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523875</xdr:colOff>
      <xdr:row>3</xdr:row>
      <xdr:rowOff>28575</xdr:rowOff>
    </xdr:from>
    <xdr:to>
      <xdr:col>20</xdr:col>
      <xdr:colOff>66675</xdr:colOff>
      <xdr:row>28</xdr:row>
      <xdr:rowOff>85725</xdr:rowOff>
    </xdr:to>
    <xdr:sp macro="" textlink="">
      <xdr:nvSpPr>
        <xdr:cNvPr id="2" name="テキスト ボックス 1">
          <a:extLst>
            <a:ext uri="{FF2B5EF4-FFF2-40B4-BE49-F238E27FC236}">
              <a16:creationId xmlns:a16="http://schemas.microsoft.com/office/drawing/2014/main" id="{7CD4E71E-2687-4C9A-8469-DB370A8B4EFF}"/>
            </a:ext>
          </a:extLst>
        </xdr:cNvPr>
        <xdr:cNvSpPr txBox="1"/>
      </xdr:nvSpPr>
      <xdr:spPr>
        <a:xfrm>
          <a:off x="7540625" y="523875"/>
          <a:ext cx="7086600" cy="4298950"/>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kumimoji="1" lang="ja-JP" altLang="en-US" sz="1100"/>
            <a:t>製造原価⑦手順</a:t>
          </a:r>
          <a:endParaRPr kumimoji="1" lang="en-US" altLang="ja-JP" sz="1100"/>
        </a:p>
        <a:p>
          <a:endParaRPr kumimoji="1" lang="en-US" altLang="ja-JP" sz="1100"/>
        </a:p>
        <a:p>
          <a:r>
            <a:rPr kumimoji="1" lang="ja-JP" altLang="en-US" sz="1100"/>
            <a:t>データ統合作業</a:t>
          </a:r>
          <a:endParaRPr kumimoji="1" lang="en-US" altLang="ja-JP" sz="1100"/>
        </a:p>
        <a:p>
          <a:r>
            <a:rPr kumimoji="1" lang="ja-JP" altLang="en-US" sz="1100"/>
            <a:t>１、製造原価⑦（試験研究）データと製造課（研究・販促費）データを統合する</a:t>
          </a:r>
          <a:endParaRPr kumimoji="1" lang="en-US" altLang="ja-JP" sz="1100"/>
        </a:p>
        <a:p>
          <a:r>
            <a:rPr kumimoji="1" lang="ja-JP" altLang="en-US" sz="1100"/>
            <a:t>２、重複削除機能および</a:t>
          </a:r>
          <a:r>
            <a:rPr kumimoji="1" lang="en-US" altLang="ja-JP" sz="1100"/>
            <a:t>sumif</a:t>
          </a:r>
          <a:r>
            <a:rPr kumimoji="1" lang="ja-JP" altLang="en-US" sz="1100"/>
            <a:t>関数を使い集約作業を行う</a:t>
          </a:r>
          <a:endParaRPr kumimoji="1" lang="en-US" altLang="ja-JP" sz="1100"/>
        </a:p>
        <a:p>
          <a:endParaRPr kumimoji="1" lang="en-US" altLang="ja-JP" sz="1100"/>
        </a:p>
        <a:p>
          <a:pPr marL="0" marR="0" indent="0" defTabSz="914400" eaLnBrk="1" fontAlgn="auto" latinLnBrk="0" hangingPunct="1">
            <a:lnSpc>
              <a:spcPct val="100000"/>
            </a:lnSpc>
            <a:spcBef>
              <a:spcPts val="0"/>
            </a:spcBef>
            <a:spcAft>
              <a:spcPts val="0"/>
            </a:spcAft>
            <a:buClrTx/>
            <a:buSzTx/>
            <a:buFontTx/>
            <a:buNone/>
            <a:tabLst/>
            <a:defRPr/>
          </a:pPr>
          <a:r>
            <a:rPr lang="ja-JP" altLang="ja-JP" sz="1100">
              <a:solidFill>
                <a:schemeClr val="dk1"/>
              </a:solidFill>
              <a:effectLst/>
              <a:latin typeface="+mn-lt"/>
              <a:ea typeface="+mn-ea"/>
              <a:cs typeface="+mn-cs"/>
            </a:rPr>
            <a:t>数値飛ばし作業</a:t>
          </a:r>
          <a:endParaRPr lang="ja-JP" altLang="ja-JP">
            <a:effectLst/>
          </a:endParaRPr>
        </a:p>
        <a:p>
          <a:r>
            <a:rPr kumimoji="1" lang="ja-JP" altLang="en-US" sz="1100">
              <a:solidFill>
                <a:schemeClr val="dk1"/>
              </a:solidFill>
              <a:effectLst/>
              <a:latin typeface="+mn-lt"/>
              <a:ea typeface="+mn-ea"/>
              <a:cs typeface="+mn-cs"/>
            </a:rPr>
            <a:t>３</a:t>
          </a: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上記で作成したデータ</a:t>
          </a:r>
          <a:r>
            <a:rPr kumimoji="1" lang="ja-JP" altLang="ja-JP" sz="1100">
              <a:solidFill>
                <a:schemeClr val="dk1"/>
              </a:solidFill>
              <a:effectLst/>
              <a:latin typeface="+mn-lt"/>
              <a:ea typeface="+mn-ea"/>
              <a:cs typeface="+mn-cs"/>
            </a:rPr>
            <a:t>をこのシートに値貼り付けする</a:t>
          </a:r>
          <a:endParaRPr lang="ja-JP" altLang="ja-JP">
            <a:effectLst/>
          </a:endParaRPr>
        </a:p>
        <a:p>
          <a:r>
            <a:rPr kumimoji="1" lang="ja-JP" altLang="en-US" sz="1100">
              <a:solidFill>
                <a:schemeClr val="dk1"/>
              </a:solidFill>
              <a:effectLst/>
              <a:latin typeface="+mn-lt"/>
              <a:ea typeface="+mn-ea"/>
              <a:cs typeface="+mn-cs"/>
            </a:rPr>
            <a:t>２、</a:t>
          </a:r>
          <a:r>
            <a:rPr kumimoji="1" lang="en-US" altLang="ja-JP" sz="1100">
              <a:solidFill>
                <a:schemeClr val="dk1"/>
              </a:solidFill>
              <a:effectLst/>
              <a:latin typeface="+mn-lt"/>
              <a:ea typeface="+mn-ea"/>
              <a:cs typeface="+mn-cs"/>
            </a:rPr>
            <a:t>sumif</a:t>
          </a:r>
          <a:r>
            <a:rPr kumimoji="1" lang="ja-JP" altLang="en-US" sz="1100">
              <a:solidFill>
                <a:schemeClr val="dk1"/>
              </a:solidFill>
              <a:effectLst/>
              <a:latin typeface="+mn-lt"/>
              <a:ea typeface="+mn-ea"/>
              <a:cs typeface="+mn-cs"/>
            </a:rPr>
            <a:t>関数が仕掛品（製造課）シートに設定されているため、自動で数値が</a:t>
          </a:r>
          <a:r>
            <a:rPr kumimoji="1" lang="ja-JP" altLang="ja-JP" sz="1100">
              <a:solidFill>
                <a:schemeClr val="dk1"/>
              </a:solidFill>
              <a:effectLst/>
              <a:latin typeface="+mn-lt"/>
              <a:ea typeface="+mn-ea"/>
              <a:cs typeface="+mn-cs"/>
            </a:rPr>
            <a:t>仕掛品（製造課）</a:t>
          </a:r>
          <a:r>
            <a:rPr kumimoji="1" lang="ja-JP" altLang="en-US" sz="1100">
              <a:solidFill>
                <a:schemeClr val="dk1"/>
              </a:solidFill>
              <a:effectLst/>
              <a:latin typeface="+mn-lt"/>
              <a:ea typeface="+mn-ea"/>
              <a:cs typeface="+mn-cs"/>
            </a:rPr>
            <a:t>シート（研究費）に飛ぶが、新規の原液の場合は、新規原液を追加しておく</a:t>
          </a:r>
          <a:endParaRPr kumimoji="1" lang="en-US" altLang="ja-JP" sz="1100">
            <a:solidFill>
              <a:schemeClr val="dk1"/>
            </a:solidFill>
            <a:effectLst/>
            <a:latin typeface="+mn-lt"/>
            <a:ea typeface="+mn-ea"/>
            <a:cs typeface="+mn-cs"/>
          </a:endParaRPr>
        </a:p>
        <a:p>
          <a:r>
            <a:rPr kumimoji="0" lang="ja-JP" altLang="en-US" sz="1100" b="0" i="0" u="none" strike="noStrike">
              <a:solidFill>
                <a:schemeClr val="dk1"/>
              </a:solidFill>
              <a:effectLst/>
              <a:latin typeface="+mn-lt"/>
              <a:ea typeface="+mn-ea"/>
              <a:cs typeface="+mn-cs"/>
            </a:rPr>
            <a:t>３、</a:t>
          </a:r>
          <a:r>
            <a:rPr kumimoji="1" lang="ja-JP" altLang="ja-JP" sz="1100">
              <a:solidFill>
                <a:schemeClr val="dk1"/>
              </a:solidFill>
              <a:effectLst/>
              <a:latin typeface="+mn-lt"/>
              <a:ea typeface="+mn-ea"/>
              <a:cs typeface="+mn-cs"/>
            </a:rPr>
            <a:t>仕掛品（製造課）シート</a:t>
          </a:r>
          <a:r>
            <a:rPr kumimoji="1" lang="ja-JP" altLang="en-US" sz="1100">
              <a:solidFill>
                <a:schemeClr val="dk1"/>
              </a:solidFill>
              <a:effectLst/>
              <a:latin typeface="+mn-lt"/>
              <a:ea typeface="+mn-ea"/>
              <a:cs typeface="+mn-cs"/>
            </a:rPr>
            <a:t>の</a:t>
          </a:r>
          <a:r>
            <a:rPr kumimoji="0" lang="ja-JP" altLang="en-US" sz="1100" b="0" i="0" u="none" strike="noStrike">
              <a:solidFill>
                <a:schemeClr val="dk1"/>
              </a:solidFill>
              <a:effectLst/>
              <a:latin typeface="+mn-lt"/>
              <a:ea typeface="+mn-ea"/>
              <a:cs typeface="+mn-cs"/>
            </a:rPr>
            <a:t>製造原価⑦チェックが</a:t>
          </a:r>
          <a:r>
            <a:rPr kumimoji="0" lang="en-US" altLang="ja-JP" sz="1100" b="0" i="0" u="none" strike="noStrike">
              <a:solidFill>
                <a:schemeClr val="dk1"/>
              </a:solidFill>
              <a:effectLst/>
              <a:latin typeface="+mn-lt"/>
              <a:ea typeface="+mn-ea"/>
              <a:cs typeface="+mn-cs"/>
            </a:rPr>
            <a:t>ok</a:t>
          </a:r>
          <a:r>
            <a:rPr kumimoji="0" lang="ja-JP" altLang="en-US" sz="1100" b="0" i="0" u="none" strike="noStrike">
              <a:solidFill>
                <a:schemeClr val="dk1"/>
              </a:solidFill>
              <a:effectLst/>
              <a:latin typeface="+mn-lt"/>
              <a:ea typeface="+mn-ea"/>
              <a:cs typeface="+mn-cs"/>
            </a:rPr>
            <a:t>となっていることを確認して作業完了</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r>
            <a:rPr kumimoji="1" lang="ja-JP" altLang="en-US" sz="1100">
              <a:solidFill>
                <a:srgbClr val="FF0000"/>
              </a:solidFill>
              <a:effectLst/>
              <a:latin typeface="+mn-lt"/>
              <a:ea typeface="+mn-ea"/>
              <a:cs typeface="+mn-cs"/>
            </a:rPr>
            <a:t>→変更のため修正予定</a:t>
          </a:r>
          <a:endParaRPr kumimoji="1" lang="en-US" altLang="ja-JP" sz="1100">
            <a:solidFill>
              <a:srgbClr val="FF0000"/>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209550</xdr:colOff>
      <xdr:row>3</xdr:row>
      <xdr:rowOff>47625</xdr:rowOff>
    </xdr:from>
    <xdr:to>
      <xdr:col>21</xdr:col>
      <xdr:colOff>552450</xdr:colOff>
      <xdr:row>29</xdr:row>
      <xdr:rowOff>114300</xdr:rowOff>
    </xdr:to>
    <xdr:sp macro="" textlink="">
      <xdr:nvSpPr>
        <xdr:cNvPr id="2" name="テキスト ボックス 1">
          <a:extLst>
            <a:ext uri="{FF2B5EF4-FFF2-40B4-BE49-F238E27FC236}">
              <a16:creationId xmlns:a16="http://schemas.microsoft.com/office/drawing/2014/main" id="{E184FEDB-5EC9-4804-8C19-8E39EBE4847C}"/>
            </a:ext>
          </a:extLst>
        </xdr:cNvPr>
        <xdr:cNvSpPr txBox="1"/>
      </xdr:nvSpPr>
      <xdr:spPr>
        <a:xfrm>
          <a:off x="6350000" y="542925"/>
          <a:ext cx="7886700" cy="440372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kumimoji="1" lang="ja-JP" altLang="en-US" sz="1100"/>
            <a:t>製造原価⑧手順</a:t>
          </a:r>
          <a:endParaRPr kumimoji="1" lang="en-US" altLang="ja-JP" sz="1100"/>
        </a:p>
        <a:p>
          <a:endParaRPr kumimoji="1" lang="en-US" altLang="ja-JP" sz="1100"/>
        </a:p>
        <a:p>
          <a:r>
            <a:rPr kumimoji="1" lang="ja-JP" altLang="ja-JP" sz="1100">
              <a:solidFill>
                <a:schemeClr val="dk1"/>
              </a:solidFill>
              <a:effectLst/>
              <a:latin typeface="+mn-lt"/>
              <a:ea typeface="+mn-ea"/>
              <a:cs typeface="+mn-cs"/>
            </a:rPr>
            <a:t>１、、当期の</a:t>
          </a:r>
          <a:r>
            <a:rPr kumimoji="1" lang="ja-JP" altLang="en-US" sz="1100">
              <a:solidFill>
                <a:schemeClr val="dk1"/>
              </a:solidFill>
              <a:effectLst/>
              <a:latin typeface="+mn-lt"/>
              <a:ea typeface="+mn-ea"/>
              <a:cs typeface="+mn-cs"/>
            </a:rPr>
            <a:t>販促費データ</a:t>
          </a:r>
          <a:r>
            <a:rPr kumimoji="1" lang="ja-JP" altLang="ja-JP" sz="1100">
              <a:solidFill>
                <a:schemeClr val="dk1"/>
              </a:solidFill>
              <a:effectLst/>
              <a:latin typeface="+mn-lt"/>
              <a:ea typeface="+mn-ea"/>
              <a:cs typeface="+mn-cs"/>
            </a:rPr>
            <a:t>をこのシートに値貼り付けする</a:t>
          </a:r>
          <a:endParaRPr lang="ja-JP" altLang="ja-JP">
            <a:effectLst/>
          </a:endParaRPr>
        </a:p>
        <a:p>
          <a:r>
            <a:rPr kumimoji="1" lang="ja-JP" altLang="en-US" sz="1100">
              <a:solidFill>
                <a:schemeClr val="dk1"/>
              </a:solidFill>
              <a:effectLst/>
              <a:latin typeface="+mn-lt"/>
              <a:ea typeface="+mn-ea"/>
              <a:cs typeface="+mn-cs"/>
            </a:rPr>
            <a:t>２、</a:t>
          </a:r>
          <a:r>
            <a:rPr kumimoji="1" lang="en-US" altLang="ja-JP" sz="1100">
              <a:solidFill>
                <a:schemeClr val="dk1"/>
              </a:solidFill>
              <a:effectLst/>
              <a:latin typeface="+mn-lt"/>
              <a:ea typeface="+mn-ea"/>
              <a:cs typeface="+mn-cs"/>
            </a:rPr>
            <a:t>sumif</a:t>
          </a:r>
          <a:r>
            <a:rPr kumimoji="1" lang="ja-JP" altLang="en-US" sz="1100">
              <a:solidFill>
                <a:schemeClr val="dk1"/>
              </a:solidFill>
              <a:effectLst/>
              <a:latin typeface="+mn-lt"/>
              <a:ea typeface="+mn-ea"/>
              <a:cs typeface="+mn-cs"/>
            </a:rPr>
            <a:t>関数が仕掛品（製造課）シートに設定されているため、自動で数値が</a:t>
          </a:r>
          <a:r>
            <a:rPr kumimoji="1" lang="ja-JP" altLang="ja-JP" sz="1100">
              <a:solidFill>
                <a:schemeClr val="dk1"/>
              </a:solidFill>
              <a:effectLst/>
              <a:latin typeface="+mn-lt"/>
              <a:ea typeface="+mn-ea"/>
              <a:cs typeface="+mn-cs"/>
            </a:rPr>
            <a:t>仕掛品（製造課）</a:t>
          </a:r>
          <a:r>
            <a:rPr kumimoji="1" lang="ja-JP" altLang="en-US" sz="1100">
              <a:solidFill>
                <a:schemeClr val="dk1"/>
              </a:solidFill>
              <a:effectLst/>
              <a:latin typeface="+mn-lt"/>
              <a:ea typeface="+mn-ea"/>
              <a:cs typeface="+mn-cs"/>
            </a:rPr>
            <a:t>シート（販促費）に飛ぶが、新規の原液の場合は、新規原液を追加しておく</a:t>
          </a:r>
          <a:endParaRPr kumimoji="1" lang="en-US" altLang="ja-JP" sz="1100">
            <a:solidFill>
              <a:schemeClr val="dk1"/>
            </a:solidFill>
            <a:effectLst/>
            <a:latin typeface="+mn-lt"/>
            <a:ea typeface="+mn-ea"/>
            <a:cs typeface="+mn-cs"/>
          </a:endParaRPr>
        </a:p>
        <a:p>
          <a:r>
            <a:rPr kumimoji="0" lang="ja-JP" altLang="en-US" sz="1100" b="0" i="0" u="none" strike="noStrike">
              <a:solidFill>
                <a:schemeClr val="dk1"/>
              </a:solidFill>
              <a:effectLst/>
              <a:latin typeface="+mn-lt"/>
              <a:ea typeface="+mn-ea"/>
              <a:cs typeface="+mn-cs"/>
            </a:rPr>
            <a:t>３、</a:t>
          </a:r>
          <a:r>
            <a:rPr kumimoji="1" lang="ja-JP" altLang="ja-JP" sz="1100">
              <a:solidFill>
                <a:schemeClr val="dk1"/>
              </a:solidFill>
              <a:effectLst/>
              <a:latin typeface="+mn-lt"/>
              <a:ea typeface="+mn-ea"/>
              <a:cs typeface="+mn-cs"/>
            </a:rPr>
            <a:t>仕掛品（製造課）シート</a:t>
          </a:r>
          <a:r>
            <a:rPr kumimoji="1" lang="ja-JP" altLang="en-US" sz="1100">
              <a:solidFill>
                <a:schemeClr val="dk1"/>
              </a:solidFill>
              <a:effectLst/>
              <a:latin typeface="+mn-lt"/>
              <a:ea typeface="+mn-ea"/>
              <a:cs typeface="+mn-cs"/>
            </a:rPr>
            <a:t>の</a:t>
          </a:r>
          <a:r>
            <a:rPr kumimoji="0" lang="ja-JP" altLang="en-US" sz="1100" b="0" i="0" u="none" strike="noStrike">
              <a:solidFill>
                <a:schemeClr val="dk1"/>
              </a:solidFill>
              <a:effectLst/>
              <a:latin typeface="+mn-lt"/>
              <a:ea typeface="+mn-ea"/>
              <a:cs typeface="+mn-cs"/>
            </a:rPr>
            <a:t>製造原価⑧チェックが</a:t>
          </a:r>
          <a:r>
            <a:rPr kumimoji="0" lang="en-US" altLang="ja-JP" sz="1100" b="0" i="0" u="none" strike="noStrike">
              <a:solidFill>
                <a:schemeClr val="dk1"/>
              </a:solidFill>
              <a:effectLst/>
              <a:latin typeface="+mn-lt"/>
              <a:ea typeface="+mn-ea"/>
              <a:cs typeface="+mn-cs"/>
            </a:rPr>
            <a:t>ok</a:t>
          </a:r>
          <a:r>
            <a:rPr kumimoji="0" lang="ja-JP" altLang="en-US" sz="1100" b="0" i="0" u="none" strike="noStrike">
              <a:solidFill>
                <a:schemeClr val="dk1"/>
              </a:solidFill>
              <a:effectLst/>
              <a:latin typeface="+mn-lt"/>
              <a:ea typeface="+mn-ea"/>
              <a:cs typeface="+mn-cs"/>
            </a:rPr>
            <a:t>となっていることを確認して作業完了</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変更のため修正予定</a:t>
          </a:r>
          <a:endParaRPr kumimoji="1" lang="en-US" altLang="ja-JP" sz="1100">
            <a:solidFill>
              <a:schemeClr val="dk1"/>
            </a:solidFill>
            <a:effectLst/>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142875</xdr:colOff>
      <xdr:row>7</xdr:row>
      <xdr:rowOff>114300</xdr:rowOff>
    </xdr:from>
    <xdr:to>
      <xdr:col>18</xdr:col>
      <xdr:colOff>485775</xdr:colOff>
      <xdr:row>34</xdr:row>
      <xdr:rowOff>9525</xdr:rowOff>
    </xdr:to>
    <xdr:sp macro="" textlink="">
      <xdr:nvSpPr>
        <xdr:cNvPr id="2" name="テキスト ボックス 1">
          <a:extLst>
            <a:ext uri="{FF2B5EF4-FFF2-40B4-BE49-F238E27FC236}">
              <a16:creationId xmlns:a16="http://schemas.microsoft.com/office/drawing/2014/main" id="{8751A331-18C7-4179-9C94-F3B569FF35BB}"/>
            </a:ext>
          </a:extLst>
        </xdr:cNvPr>
        <xdr:cNvSpPr txBox="1"/>
      </xdr:nvSpPr>
      <xdr:spPr>
        <a:xfrm>
          <a:off x="3876675" y="1314450"/>
          <a:ext cx="7810500" cy="451802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kumimoji="1" lang="ja-JP" altLang="en-US" sz="1100"/>
            <a:t>製造課（完成品）手順</a:t>
          </a:r>
          <a:endParaRPr kumimoji="1" lang="en-US" altLang="ja-JP" sz="1100"/>
        </a:p>
        <a:p>
          <a:endParaRPr kumimoji="1" lang="en-US" altLang="ja-JP" sz="1100"/>
        </a:p>
        <a:p>
          <a:r>
            <a:rPr kumimoji="1" lang="ja-JP" altLang="ja-JP" sz="1100">
              <a:solidFill>
                <a:schemeClr val="dk1"/>
              </a:solidFill>
              <a:effectLst/>
              <a:latin typeface="+mn-lt"/>
              <a:ea typeface="+mn-ea"/>
              <a:cs typeface="+mn-cs"/>
            </a:rPr>
            <a:t>１、、当期の</a:t>
          </a:r>
          <a:r>
            <a:rPr kumimoji="1" lang="ja-JP" altLang="en-US" sz="1100">
              <a:solidFill>
                <a:schemeClr val="dk1"/>
              </a:solidFill>
              <a:effectLst/>
              <a:latin typeface="+mn-lt"/>
              <a:ea typeface="+mn-ea"/>
              <a:cs typeface="+mn-cs"/>
            </a:rPr>
            <a:t>完成品データ</a:t>
          </a:r>
          <a:r>
            <a:rPr kumimoji="1" lang="ja-JP" altLang="ja-JP" sz="1100">
              <a:solidFill>
                <a:schemeClr val="dk1"/>
              </a:solidFill>
              <a:effectLst/>
              <a:latin typeface="+mn-lt"/>
              <a:ea typeface="+mn-ea"/>
              <a:cs typeface="+mn-cs"/>
            </a:rPr>
            <a:t>をこのシートに値貼り付けする</a:t>
          </a:r>
          <a:endParaRPr lang="ja-JP" altLang="ja-JP">
            <a:effectLst/>
          </a:endParaRPr>
        </a:p>
        <a:p>
          <a:r>
            <a:rPr kumimoji="1" lang="ja-JP" altLang="en-US" sz="1100">
              <a:solidFill>
                <a:schemeClr val="dk1"/>
              </a:solidFill>
              <a:effectLst/>
              <a:latin typeface="+mn-lt"/>
              <a:ea typeface="+mn-ea"/>
              <a:cs typeface="+mn-cs"/>
            </a:rPr>
            <a:t>２、</a:t>
          </a:r>
          <a:r>
            <a:rPr kumimoji="1" lang="en-US" altLang="ja-JP" sz="1100">
              <a:solidFill>
                <a:schemeClr val="dk1"/>
              </a:solidFill>
              <a:effectLst/>
              <a:latin typeface="+mn-lt"/>
              <a:ea typeface="+mn-ea"/>
              <a:cs typeface="+mn-cs"/>
            </a:rPr>
            <a:t>sumif</a:t>
          </a:r>
          <a:r>
            <a:rPr kumimoji="1" lang="ja-JP" altLang="en-US" sz="1100">
              <a:solidFill>
                <a:schemeClr val="dk1"/>
              </a:solidFill>
              <a:effectLst/>
              <a:latin typeface="+mn-lt"/>
              <a:ea typeface="+mn-ea"/>
              <a:cs typeface="+mn-cs"/>
            </a:rPr>
            <a:t>関数が仕掛品（製造課）シートに設定されているため、自動で数値が</a:t>
          </a:r>
          <a:r>
            <a:rPr kumimoji="1" lang="ja-JP" altLang="ja-JP" sz="1100">
              <a:solidFill>
                <a:schemeClr val="dk1"/>
              </a:solidFill>
              <a:effectLst/>
              <a:latin typeface="+mn-lt"/>
              <a:ea typeface="+mn-ea"/>
              <a:cs typeface="+mn-cs"/>
            </a:rPr>
            <a:t>仕掛品（製造課）</a:t>
          </a:r>
          <a:r>
            <a:rPr kumimoji="1" lang="ja-JP" altLang="en-US" sz="1100">
              <a:solidFill>
                <a:schemeClr val="dk1"/>
              </a:solidFill>
              <a:effectLst/>
              <a:latin typeface="+mn-lt"/>
              <a:ea typeface="+mn-ea"/>
              <a:cs typeface="+mn-cs"/>
            </a:rPr>
            <a:t>シート（完成品）に飛ぶが、新規の原液の場合は、新規原液を追加しておく</a:t>
          </a:r>
          <a:endParaRPr kumimoji="1" lang="en-US" altLang="ja-JP" sz="1100">
            <a:solidFill>
              <a:schemeClr val="dk1"/>
            </a:solidFill>
            <a:effectLst/>
            <a:latin typeface="+mn-lt"/>
            <a:ea typeface="+mn-ea"/>
            <a:cs typeface="+mn-cs"/>
          </a:endParaRPr>
        </a:p>
        <a:p>
          <a:r>
            <a:rPr kumimoji="0" lang="ja-JP" altLang="en-US" sz="1100" b="0" i="0" u="none" strike="noStrike">
              <a:solidFill>
                <a:schemeClr val="dk1"/>
              </a:solidFill>
              <a:effectLst/>
              <a:latin typeface="+mn-lt"/>
              <a:ea typeface="+mn-ea"/>
              <a:cs typeface="+mn-cs"/>
            </a:rPr>
            <a:t>３、</a:t>
          </a:r>
          <a:r>
            <a:rPr kumimoji="1" lang="ja-JP" altLang="ja-JP" sz="1100">
              <a:solidFill>
                <a:schemeClr val="dk1"/>
              </a:solidFill>
              <a:effectLst/>
              <a:latin typeface="+mn-lt"/>
              <a:ea typeface="+mn-ea"/>
              <a:cs typeface="+mn-cs"/>
            </a:rPr>
            <a:t>仕掛品（製造課）シート</a:t>
          </a:r>
          <a:r>
            <a:rPr kumimoji="1" lang="ja-JP" altLang="en-US" sz="1100">
              <a:solidFill>
                <a:schemeClr val="dk1"/>
              </a:solidFill>
              <a:effectLst/>
              <a:latin typeface="+mn-lt"/>
              <a:ea typeface="+mn-ea"/>
              <a:cs typeface="+mn-cs"/>
            </a:rPr>
            <a:t>の完成品</a:t>
          </a:r>
          <a:r>
            <a:rPr kumimoji="0" lang="ja-JP" altLang="en-US" sz="1100" b="0" i="0" u="none" strike="noStrike">
              <a:solidFill>
                <a:schemeClr val="dk1"/>
              </a:solidFill>
              <a:effectLst/>
              <a:latin typeface="+mn-lt"/>
              <a:ea typeface="+mn-ea"/>
              <a:cs typeface="+mn-cs"/>
            </a:rPr>
            <a:t>チェックが</a:t>
          </a:r>
          <a:r>
            <a:rPr kumimoji="0" lang="en-US" altLang="ja-JP" sz="1100" b="0" i="0" u="none" strike="noStrike">
              <a:solidFill>
                <a:schemeClr val="dk1"/>
              </a:solidFill>
              <a:effectLst/>
              <a:latin typeface="+mn-lt"/>
              <a:ea typeface="+mn-ea"/>
              <a:cs typeface="+mn-cs"/>
            </a:rPr>
            <a:t>ok</a:t>
          </a:r>
          <a:r>
            <a:rPr kumimoji="0" lang="ja-JP" altLang="en-US" sz="1100" b="0" i="0" u="none" strike="noStrike">
              <a:solidFill>
                <a:schemeClr val="dk1"/>
              </a:solidFill>
              <a:effectLst/>
              <a:latin typeface="+mn-lt"/>
              <a:ea typeface="+mn-ea"/>
              <a:cs typeface="+mn-cs"/>
            </a:rPr>
            <a:t>となっていることを確認して作業完了</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4</xdr:row>
      <xdr:rowOff>0</xdr:rowOff>
    </xdr:from>
    <xdr:to>
      <xdr:col>20</xdr:col>
      <xdr:colOff>369794</xdr:colOff>
      <xdr:row>30</xdr:row>
      <xdr:rowOff>154081</xdr:rowOff>
    </xdr:to>
    <xdr:sp macro="" textlink="">
      <xdr:nvSpPr>
        <xdr:cNvPr id="2" name="テキスト ボックス 1">
          <a:extLst>
            <a:ext uri="{FF2B5EF4-FFF2-40B4-BE49-F238E27FC236}">
              <a16:creationId xmlns:a16="http://schemas.microsoft.com/office/drawing/2014/main" id="{1408DE8B-451F-46EF-8A17-1726B2B4AE52}"/>
            </a:ext>
          </a:extLst>
        </xdr:cNvPr>
        <xdr:cNvSpPr txBox="1"/>
      </xdr:nvSpPr>
      <xdr:spPr>
        <a:xfrm>
          <a:off x="5029200" y="660400"/>
          <a:ext cx="7837394" cy="4446681"/>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kumimoji="1" lang="ja-JP" altLang="en-US" sz="1100">
              <a:solidFill>
                <a:schemeClr val="dk1"/>
              </a:solidFill>
              <a:effectLst/>
              <a:latin typeface="+mn-lt"/>
              <a:ea typeface="+mn-ea"/>
              <a:cs typeface="+mn-cs"/>
            </a:rPr>
            <a:t>アクセス</a:t>
          </a:r>
          <a:r>
            <a:rPr kumimoji="1" lang="en-US" altLang="ja-JP" sz="1100">
              <a:solidFill>
                <a:schemeClr val="dk1"/>
              </a:solidFill>
              <a:effectLst/>
              <a:latin typeface="+mn-lt"/>
              <a:ea typeface="+mn-ea"/>
              <a:cs typeface="+mn-cs"/>
            </a:rPr>
            <a:t>DB</a:t>
          </a:r>
          <a:r>
            <a:rPr kumimoji="1" lang="ja-JP" altLang="en-US" sz="1100">
              <a:solidFill>
                <a:schemeClr val="dk1"/>
              </a:solidFill>
              <a:effectLst/>
              <a:latin typeface="+mn-lt"/>
              <a:ea typeface="+mn-ea"/>
              <a:cs typeface="+mn-cs"/>
            </a:rPr>
            <a:t>クエリ全受入れのうち、</a:t>
          </a:r>
          <a:r>
            <a:rPr kumimoji="1" lang="en-US" altLang="ja-JP" sz="1100">
              <a:solidFill>
                <a:schemeClr val="dk1"/>
              </a:solidFill>
              <a:effectLst/>
              <a:latin typeface="+mn-lt"/>
              <a:ea typeface="+mn-ea"/>
              <a:cs typeface="+mn-cs"/>
            </a:rPr>
            <a:t>SC</a:t>
          </a:r>
          <a:r>
            <a:rPr kumimoji="1" lang="ja-JP" altLang="en-US" sz="1100">
              <a:solidFill>
                <a:schemeClr val="dk1"/>
              </a:solidFill>
              <a:effectLst/>
              <a:latin typeface="+mn-lt"/>
              <a:ea typeface="+mn-ea"/>
              <a:cs typeface="+mn-cs"/>
            </a:rPr>
            <a:t>移動処理を抜き出して貼り付ける</a:t>
          </a:r>
          <a:endParaRPr kumimoji="1" lang="en-US" altLang="ja-JP" sz="1100">
            <a:solidFill>
              <a:schemeClr val="dk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kana0300/Desktop/&#27161;&#28310;&#21407;&#20385;_&#21407;&#26448;&#12539;&#20181;&#25499;&#21697;_2603v5&#12540;3.xlsx" TargetMode="External"/><Relationship Id="rId1" Type="http://schemas.openxmlformats.org/officeDocument/2006/relationships/externalLinkPath" Target="/Users/kana0300/Desktop/&#27161;&#28310;&#21407;&#20385;_&#21407;&#26448;&#12539;&#20181;&#25499;&#21697;_2603v5&#1254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仕掛品標準単価一覧表"/>
      <sheetName val="BOM&amp;原価標準 一覧"/>
      <sheetName val="フロー"/>
      <sheetName val="仕掛品（製造課）"/>
      <sheetName val="原液推移"/>
      <sheetName val="仕掛品（製造課） (原料SC単価計算用)"/>
      <sheetName val="原料 標準使用量"/>
      <sheetName val="労務費経費単価SC"/>
      <sheetName val="原料 標準価格"/>
      <sheetName val="38期 1.2①原材料受入"/>
      <sheetName val="38期 原料使用量"/>
      <sheetName val="(ココでは未使用)38期 原料在庫数量"/>
      <sheetName val="仕掛品標準原価カード→"/>
      <sheetName val="LP"/>
      <sheetName val="FB"/>
      <sheetName val="O"/>
      <sheetName val="GB"/>
      <sheetName val="GA"/>
      <sheetName val="G"/>
      <sheetName val="BM"/>
      <sheetName val="XC"/>
      <sheetName val="X"/>
      <sheetName val="B"/>
      <sheetName val="HIB海"/>
      <sheetName val="HIパ"/>
      <sheetName val="HIB"/>
      <sheetName val="HIA"/>
      <sheetName val="PXA"/>
      <sheetName val="PX"/>
      <sheetName val="HIR"/>
      <sheetName val="HI"/>
      <sheetName val="RX"/>
      <sheetName val="T"/>
      <sheetName val="FEB"/>
      <sheetName val="PE"/>
      <sheetName val="Rシ"/>
      <sheetName val="LPA"/>
      <sheetName val="MP"/>
      <sheetName val="GP"/>
      <sheetName val="RGI"/>
      <sheetName val="RG"/>
      <sheetName val="GP標準原価(原料)山田シート"/>
      <sheetName val="Rマ"/>
      <sheetName val="マルベリー"/>
      <sheetName val="34期"/>
      <sheetName val="33期"/>
      <sheetName val="R"/>
      <sheetName val="R(仕込中)"/>
      <sheetName val="R仕掛原材料費（貼付）"/>
      <sheetName val="R仕掛品　労務費（貼付）"/>
      <sheetName val="R仕込原料単価（山田作成）"/>
      <sheetName val="Rリ"/>
      <sheetName val="RB"/>
      <sheetName val="P"/>
      <sheetName val="植物用ブレンド"/>
    </sheetNames>
    <sheetDataSet>
      <sheetData sheetId="0"/>
      <sheetData sheetId="1"/>
      <sheetData sheetId="2"/>
      <sheetData sheetId="3">
        <row r="946">
          <cell r="H946">
            <v>246945</v>
          </cell>
          <cell r="I946">
            <v>6057785.3159999717</v>
          </cell>
        </row>
        <row r="947">
          <cell r="H947">
            <v>113608993.69890645</v>
          </cell>
          <cell r="I947">
            <v>178875254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3"/>
  <sheetViews>
    <sheetView tabSelected="1" workbookViewId="0">
      <selection activeCell="F6" sqref="F6"/>
    </sheetView>
  </sheetViews>
  <sheetFormatPr defaultRowHeight="15"/>
  <cols>
    <col min="1" max="1" width="3.08203125" style="185" customWidth="1"/>
    <col min="2" max="2" width="4.5" style="185" customWidth="1"/>
    <col min="3" max="3" width="3.75" style="185" customWidth="1"/>
    <col min="4" max="4" width="6.4140625" style="185" customWidth="1"/>
    <col min="5" max="5" width="13.4140625" style="185" bestFit="1" customWidth="1"/>
    <col min="6" max="6" width="5.4140625" style="185" customWidth="1"/>
    <col min="7" max="7" width="10.83203125" style="187" bestFit="1" customWidth="1"/>
    <col min="8" max="8" width="6.58203125" style="188" customWidth="1"/>
    <col min="9" max="9" width="13.4140625" style="185" bestFit="1" customWidth="1"/>
    <col min="10" max="10" width="5.75" style="185" customWidth="1"/>
    <col min="11" max="11" width="10.83203125" style="187" bestFit="1" customWidth="1"/>
    <col min="12" max="12" width="22.9140625" style="194" customWidth="1"/>
    <col min="13" max="13" width="30.6640625" style="185" customWidth="1"/>
    <col min="14" max="16384" width="8.6640625" style="185"/>
  </cols>
  <sheetData>
    <row r="1" spans="2:13">
      <c r="G1" s="185"/>
      <c r="H1" s="185"/>
      <c r="K1" s="186"/>
    </row>
    <row r="2" spans="2:13">
      <c r="D2" s="196" t="s">
        <v>1724</v>
      </c>
      <c r="E2" s="196"/>
      <c r="F2" s="196"/>
      <c r="G2" s="196"/>
      <c r="H2" s="196" t="s">
        <v>1725</v>
      </c>
      <c r="I2" s="196"/>
      <c r="J2" s="196"/>
      <c r="K2" s="196"/>
    </row>
    <row r="3" spans="2:13" s="189" customFormat="1">
      <c r="B3" s="189" t="s">
        <v>1731</v>
      </c>
      <c r="D3" s="190" t="s">
        <v>1729</v>
      </c>
      <c r="E3" s="190" t="s">
        <v>1726</v>
      </c>
      <c r="F3" s="190" t="s">
        <v>1727</v>
      </c>
      <c r="G3" s="191" t="s">
        <v>1728</v>
      </c>
      <c r="H3" s="192" t="s">
        <v>1729</v>
      </c>
      <c r="I3" s="190" t="s">
        <v>1726</v>
      </c>
      <c r="J3" s="190" t="s">
        <v>1727</v>
      </c>
      <c r="K3" s="191" t="s">
        <v>1728</v>
      </c>
      <c r="L3" s="195" t="s">
        <v>1730</v>
      </c>
    </row>
    <row r="4" spans="2:13" ht="90">
      <c r="B4" s="185" t="s">
        <v>1735</v>
      </c>
      <c r="D4" s="185">
        <v>554</v>
      </c>
      <c r="E4" s="185" t="s">
        <v>1737</v>
      </c>
      <c r="G4" s="187" t="str">
        <f>K4</f>
        <v>XXX</v>
      </c>
      <c r="H4" s="188">
        <v>135</v>
      </c>
      <c r="I4" s="185" t="s">
        <v>1739</v>
      </c>
      <c r="K4" s="187" t="s">
        <v>1738</v>
      </c>
      <c r="L4" s="194" t="s">
        <v>1744</v>
      </c>
      <c r="M4" s="225" t="s">
        <v>1745</v>
      </c>
    </row>
    <row r="5" spans="2:13">
      <c r="B5" s="185" t="s">
        <v>1735</v>
      </c>
      <c r="D5" s="185">
        <v>135</v>
      </c>
      <c r="E5" s="185" t="s">
        <v>1739</v>
      </c>
      <c r="G5" s="187">
        <f t="shared" ref="G5:G8" ca="1" si="0">K5</f>
        <v>5309904651.2622843</v>
      </c>
      <c r="H5" s="188">
        <v>505</v>
      </c>
      <c r="I5" s="185" t="s">
        <v>1736</v>
      </c>
      <c r="K5" s="193">
        <f ca="1">仕掛品SC総括!E19</f>
        <v>5309904651.2622843</v>
      </c>
      <c r="L5" s="194" t="s">
        <v>1743</v>
      </c>
    </row>
    <row r="6" spans="2:13">
      <c r="B6" s="185" t="s">
        <v>1735</v>
      </c>
      <c r="D6" s="185">
        <v>676</v>
      </c>
      <c r="E6" s="185" t="s">
        <v>1566</v>
      </c>
      <c r="G6" s="187">
        <f t="shared" ca="1" si="0"/>
        <v>223806.18455999999</v>
      </c>
      <c r="H6" s="188">
        <v>505</v>
      </c>
      <c r="I6" s="185" t="s">
        <v>1732</v>
      </c>
      <c r="K6" s="193">
        <f ca="1">仕掛品SC総括!E15</f>
        <v>223806.18455999999</v>
      </c>
      <c r="L6" s="194" t="s">
        <v>1740</v>
      </c>
    </row>
    <row r="7" spans="2:13">
      <c r="B7" s="185" t="s">
        <v>1735</v>
      </c>
      <c r="D7" s="185">
        <v>672</v>
      </c>
      <c r="E7" s="185" t="s">
        <v>1733</v>
      </c>
      <c r="G7" s="187">
        <f t="shared" ca="1" si="0"/>
        <v>322538.83540439472</v>
      </c>
      <c r="H7" s="188">
        <v>505</v>
      </c>
      <c r="I7" s="185" t="s">
        <v>1732</v>
      </c>
      <c r="K7" s="193">
        <f ca="1">仕掛品SC総括!E16</f>
        <v>322538.83540439472</v>
      </c>
      <c r="L7" s="194" t="s">
        <v>1741</v>
      </c>
    </row>
    <row r="8" spans="2:13">
      <c r="B8" s="185" t="s">
        <v>1735</v>
      </c>
      <c r="D8" s="185">
        <v>712</v>
      </c>
      <c r="E8" s="185" t="s">
        <v>1734</v>
      </c>
      <c r="G8" s="187">
        <f t="shared" ca="1" si="0"/>
        <v>6606711.9440039089</v>
      </c>
      <c r="H8" s="188">
        <v>505</v>
      </c>
      <c r="I8" s="185" t="s">
        <v>1732</v>
      </c>
      <c r="K8" s="193">
        <f ca="1">仕掛品SC総括!E17</f>
        <v>6606711.9440039089</v>
      </c>
      <c r="L8" s="194" t="s">
        <v>1742</v>
      </c>
    </row>
    <row r="9" spans="2:13">
      <c r="K9" s="193"/>
    </row>
    <row r="10" spans="2:13">
      <c r="K10" s="193"/>
    </row>
    <row r="11" spans="2:13">
      <c r="K11" s="193"/>
    </row>
    <row r="12" spans="2:13">
      <c r="K12" s="193"/>
    </row>
    <row r="13" spans="2:13">
      <c r="K13" s="193"/>
    </row>
  </sheetData>
  <mergeCells count="2">
    <mergeCell ref="D2:G2"/>
    <mergeCell ref="H2:K2"/>
  </mergeCells>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0"/>
  <sheetViews>
    <sheetView zoomScale="80" zoomScaleNormal="80" workbookViewId="0">
      <selection activeCell="E13" sqref="E13"/>
    </sheetView>
  </sheetViews>
  <sheetFormatPr defaultRowHeight="15"/>
  <cols>
    <col min="1" max="1" width="8.6640625" style="129"/>
    <col min="2" max="2" width="17.75" style="129" bestFit="1" customWidth="1"/>
    <col min="3" max="3" width="10.83203125" style="129" bestFit="1" customWidth="1"/>
    <col min="4" max="4" width="12.33203125" style="129" bestFit="1" customWidth="1"/>
    <col min="5" max="6" width="10.83203125" style="129" bestFit="1" customWidth="1"/>
    <col min="7" max="16384" width="8.6640625" style="129"/>
  </cols>
  <sheetData>
    <row r="2" spans="2:7">
      <c r="B2" s="178" t="s">
        <v>1560</v>
      </c>
      <c r="C2" s="178"/>
      <c r="D2" s="178"/>
      <c r="E2" s="178"/>
    </row>
    <row r="3" spans="2:7">
      <c r="B3" s="129" t="s">
        <v>1561</v>
      </c>
      <c r="C3" s="129">
        <f>仕掛品SC明細!G945</f>
        <v>5556625.4949999694</v>
      </c>
      <c r="D3" s="179" t="s">
        <v>1564</v>
      </c>
      <c r="E3" s="129">
        <f ca="1">仕掛品SC明細!L945</f>
        <v>111416.6</v>
      </c>
    </row>
    <row r="4" spans="2:7">
      <c r="B4" s="129" t="s">
        <v>1562</v>
      </c>
      <c r="C4" s="129">
        <f ca="1">仕掛品SC明細!H945</f>
        <v>114478.11099999999</v>
      </c>
      <c r="D4" s="180" t="s">
        <v>1565</v>
      </c>
      <c r="E4" s="129">
        <f ca="1">仕掛品SC明細!Q945</f>
        <v>65228</v>
      </c>
    </row>
    <row r="5" spans="2:7">
      <c r="B5" s="129" t="s">
        <v>1563</v>
      </c>
      <c r="C5" s="176">
        <f ca="1">仕掛品SC明細!K945</f>
        <v>386681.71000000054</v>
      </c>
      <c r="D5" s="180" t="s">
        <v>1566</v>
      </c>
      <c r="E5" s="129">
        <f ca="1">仕掛品SC明細!M945</f>
        <v>162.24999999999991</v>
      </c>
    </row>
    <row r="6" spans="2:7">
      <c r="B6" s="129" t="s">
        <v>1570</v>
      </c>
      <c r="C6" s="129">
        <f ca="1">仕掛品SC明細!R945</f>
        <v>9682.0870000005198</v>
      </c>
      <c r="D6" s="180" t="s">
        <v>1567</v>
      </c>
      <c r="E6" s="129">
        <f ca="1">仕掛品SC明細!N945</f>
        <v>306.7</v>
      </c>
    </row>
    <row r="7" spans="2:7">
      <c r="D7" s="180" t="s">
        <v>1568</v>
      </c>
      <c r="E7" s="129">
        <f ca="1">仕掛品SC明細!O945</f>
        <v>6118.1</v>
      </c>
    </row>
    <row r="8" spans="2:7">
      <c r="D8" s="180" t="s">
        <v>1557</v>
      </c>
      <c r="E8" s="176">
        <f ca="1">仕掛品SC明細!P945</f>
        <v>400779.63</v>
      </c>
      <c r="F8" s="177" t="s">
        <v>1721</v>
      </c>
      <c r="G8" s="176">
        <f ca="1">E8-C5</f>
        <v>14097.91999999946</v>
      </c>
    </row>
    <row r="9" spans="2:7">
      <c r="B9" s="178"/>
      <c r="C9" s="178"/>
      <c r="D9" s="181" t="s">
        <v>1569</v>
      </c>
      <c r="E9" s="178">
        <f ca="1">仕掛品SC明細!S945</f>
        <v>5483456.1229999736</v>
      </c>
    </row>
    <row r="10" spans="2:7">
      <c r="C10" s="129">
        <f ca="1">SUM(C3:C9)</f>
        <v>6067467.4029999701</v>
      </c>
      <c r="D10" s="180"/>
      <c r="E10" s="129">
        <f ca="1">SUM(E3:E9)</f>
        <v>6067467.4029999739</v>
      </c>
    </row>
    <row r="12" spans="2:7">
      <c r="B12" s="178" t="s">
        <v>1571</v>
      </c>
      <c r="C12" s="178"/>
      <c r="D12" s="178"/>
      <c r="E12" s="178"/>
    </row>
    <row r="13" spans="2:7">
      <c r="B13" s="129" t="s">
        <v>1572</v>
      </c>
      <c r="C13" s="129">
        <f>仕掛品SC明細!G946</f>
        <v>5002428150.0704803</v>
      </c>
      <c r="D13" s="179" t="s">
        <v>1564</v>
      </c>
      <c r="E13" s="129">
        <f ca="1">仕掛品SC明細!L946</f>
        <v>156736337.31176004</v>
      </c>
    </row>
    <row r="14" spans="2:7">
      <c r="B14" s="129" t="s">
        <v>1722</v>
      </c>
      <c r="C14" s="176">
        <f>仕掛品SC明細!H946</f>
        <v>83005479.881534502</v>
      </c>
      <c r="D14" s="180" t="s">
        <v>1565</v>
      </c>
      <c r="E14" s="129">
        <f ca="1">仕掛品SC明細!Q946</f>
        <v>83224532.84799999</v>
      </c>
    </row>
    <row r="15" spans="2:7">
      <c r="B15" s="129" t="s">
        <v>1576</v>
      </c>
      <c r="C15" s="129">
        <f ca="1">仕掛品SC明細!I946</f>
        <v>113594700</v>
      </c>
      <c r="D15" s="180" t="s">
        <v>1566</v>
      </c>
      <c r="E15" s="129">
        <f ca="1">仕掛品SC明細!M946</f>
        <v>223806.18455999999</v>
      </c>
    </row>
    <row r="16" spans="2:7">
      <c r="B16" s="129" t="s">
        <v>1577</v>
      </c>
      <c r="C16" s="129">
        <f ca="1">仕掛品SC明細!J946</f>
        <v>181733559.47999915</v>
      </c>
      <c r="D16" s="180" t="s">
        <v>1567</v>
      </c>
      <c r="E16" s="129">
        <f ca="1">仕掛品SC明細!N946</f>
        <v>322538.83540439472</v>
      </c>
    </row>
    <row r="17" spans="2:6">
      <c r="D17" s="180" t="s">
        <v>1568</v>
      </c>
      <c r="E17" s="129">
        <f ca="1">仕掛品SC明細!O946</f>
        <v>6606711.9440039089</v>
      </c>
    </row>
    <row r="18" spans="2:6">
      <c r="B18" s="129" t="s">
        <v>1563</v>
      </c>
      <c r="D18" s="180" t="s">
        <v>1557</v>
      </c>
    </row>
    <row r="19" spans="2:6">
      <c r="B19" s="178" t="s">
        <v>1570</v>
      </c>
      <c r="C19" s="178">
        <f ca="1">仕掛品SC明細!R946</f>
        <v>1830940.6568106669</v>
      </c>
      <c r="D19" s="181" t="s">
        <v>1569</v>
      </c>
      <c r="E19" s="178">
        <f ca="1">仕掛品SC明細!S946</f>
        <v>5309904651.2622843</v>
      </c>
    </row>
    <row r="20" spans="2:6">
      <c r="C20" s="129">
        <f ca="1">SUM(C13:C19)</f>
        <v>5382592830.0888252</v>
      </c>
      <c r="D20" s="180"/>
      <c r="E20" s="129">
        <f ca="1">SUM(E13:E19)</f>
        <v>5557018578.386013</v>
      </c>
      <c r="F20" s="129">
        <f ca="1">C20-E20</f>
        <v>-174425748.29718781</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49"/>
  <sheetViews>
    <sheetView zoomScale="90" zoomScaleNormal="90" workbookViewId="0">
      <pane xSplit="3" ySplit="4" topLeftCell="D941" activePane="bottomRight" state="frozen"/>
      <selection pane="topRight" activeCell="D1" sqref="D1"/>
      <selection pane="bottomLeft" activeCell="A5" sqref="A5"/>
      <selection pane="bottomRight" activeCell="G928" sqref="G928"/>
    </sheetView>
  </sheetViews>
  <sheetFormatPr defaultColWidth="4.6640625" defaultRowHeight="13"/>
  <cols>
    <col min="1" max="2" width="4.6640625" style="3"/>
    <col min="3" max="3" width="12.83203125" style="3" customWidth="1"/>
    <col min="4" max="5" width="12.5" style="3" customWidth="1"/>
    <col min="6" max="6" width="7.25" style="16" bestFit="1" customWidth="1"/>
    <col min="7" max="7" width="11" style="32" bestFit="1" customWidth="1"/>
    <col min="8" max="8" width="11.6640625" style="33" customWidth="1"/>
    <col min="9" max="9" width="8" style="16" customWidth="1"/>
    <col min="10" max="10" width="7.33203125" style="16" customWidth="1"/>
    <col min="11" max="11" width="7.33203125" style="33" customWidth="1"/>
    <col min="12" max="12" width="9.1640625" style="33" customWidth="1"/>
    <col min="13" max="15" width="7.33203125" style="33" customWidth="1"/>
    <col min="16" max="17" width="7.33203125" style="16" customWidth="1"/>
    <col min="18" max="18" width="7.33203125" style="33" customWidth="1"/>
    <col min="19" max="19" width="12.5" style="33" bestFit="1" customWidth="1"/>
    <col min="20" max="20" width="7.25" style="16" bestFit="1" customWidth="1"/>
    <col min="21" max="21" width="12.83203125" style="34" bestFit="1" customWidth="1"/>
    <col min="22" max="22" width="9.58203125" style="29" bestFit="1" customWidth="1"/>
    <col min="23" max="23" width="9.58203125" style="31" bestFit="1" customWidth="1"/>
    <col min="24" max="24" width="9.58203125" style="30" bestFit="1" customWidth="1"/>
    <col min="25" max="25" width="6.33203125" style="16" bestFit="1" customWidth="1"/>
    <col min="26" max="16384" width="4.6640625" style="16"/>
  </cols>
  <sheetData>
    <row r="1" spans="1:24" s="3" customFormat="1" ht="16.5" customHeight="1">
      <c r="A1" s="35" t="s">
        <v>0</v>
      </c>
      <c r="B1" s="35"/>
      <c r="C1" s="35"/>
      <c r="D1" s="35"/>
      <c r="E1" s="35"/>
      <c r="F1" s="35"/>
      <c r="G1" s="35"/>
      <c r="H1" s="1"/>
      <c r="I1" s="2"/>
      <c r="J1" s="2"/>
      <c r="K1" s="1"/>
      <c r="L1" s="1"/>
      <c r="M1" s="1"/>
      <c r="N1" s="1"/>
      <c r="O1" s="1"/>
      <c r="R1" s="4"/>
      <c r="S1" s="4"/>
      <c r="U1" s="202" t="s">
        <v>1</v>
      </c>
      <c r="V1" s="202"/>
      <c r="W1" s="202"/>
      <c r="X1" s="202"/>
    </row>
    <row r="2" spans="1:24" s="3" customFormat="1" ht="18" customHeight="1">
      <c r="A2" s="36"/>
      <c r="B2" s="36"/>
      <c r="C2" s="36"/>
      <c r="D2" s="36"/>
      <c r="E2" s="36"/>
      <c r="F2" s="36"/>
      <c r="G2" s="36"/>
      <c r="H2" s="5"/>
      <c r="I2" s="6"/>
      <c r="J2" s="6"/>
      <c r="K2" s="5"/>
      <c r="L2" s="7"/>
      <c r="M2" s="5"/>
      <c r="N2" s="5"/>
      <c r="O2" s="5"/>
      <c r="P2" s="8"/>
      <c r="Q2" s="9"/>
      <c r="R2" s="10"/>
      <c r="S2" s="4"/>
      <c r="U2" s="202"/>
      <c r="V2" s="202"/>
      <c r="W2" s="202"/>
      <c r="X2" s="202"/>
    </row>
    <row r="3" spans="1:24" s="133" customFormat="1" ht="18">
      <c r="A3" s="203" t="s">
        <v>2</v>
      </c>
      <c r="B3" s="203" t="s">
        <v>3</v>
      </c>
      <c r="C3" s="175" t="s">
        <v>4</v>
      </c>
      <c r="D3" s="175" t="s">
        <v>1719</v>
      </c>
      <c r="E3" s="175" t="s">
        <v>1720</v>
      </c>
      <c r="F3" s="175"/>
      <c r="G3" s="204" t="s">
        <v>5</v>
      </c>
      <c r="H3" s="205" t="s">
        <v>6</v>
      </c>
      <c r="I3" s="203" t="s">
        <v>7</v>
      </c>
      <c r="J3" s="203" t="s">
        <v>8</v>
      </c>
      <c r="K3" s="205" t="s">
        <v>9</v>
      </c>
      <c r="L3" s="205" t="s">
        <v>10</v>
      </c>
      <c r="M3" s="205" t="s">
        <v>11</v>
      </c>
      <c r="N3" s="205" t="s">
        <v>12</v>
      </c>
      <c r="O3" s="209" t="s">
        <v>13</v>
      </c>
      <c r="P3" s="197" t="s">
        <v>1557</v>
      </c>
      <c r="Q3" s="131" t="s">
        <v>14</v>
      </c>
      <c r="R3" s="132" t="s">
        <v>1558</v>
      </c>
      <c r="S3" s="205" t="s">
        <v>15</v>
      </c>
      <c r="U3" s="208" t="s">
        <v>16</v>
      </c>
      <c r="V3" s="134" t="s">
        <v>17</v>
      </c>
      <c r="W3" s="135" t="s">
        <v>18</v>
      </c>
      <c r="X3" s="136" t="s">
        <v>19</v>
      </c>
    </row>
    <row r="4" spans="1:24" s="133" customFormat="1">
      <c r="A4" s="203"/>
      <c r="B4" s="203"/>
      <c r="C4" s="175"/>
      <c r="D4" s="175"/>
      <c r="E4" s="175"/>
      <c r="F4" s="175"/>
      <c r="G4" s="204"/>
      <c r="H4" s="205"/>
      <c r="I4" s="203"/>
      <c r="J4" s="203"/>
      <c r="K4" s="205"/>
      <c r="L4" s="205"/>
      <c r="M4" s="205"/>
      <c r="N4" s="205"/>
      <c r="O4" s="210"/>
      <c r="P4" s="198"/>
      <c r="Q4" s="137" t="s">
        <v>242</v>
      </c>
      <c r="R4" s="138" t="s">
        <v>1559</v>
      </c>
      <c r="S4" s="205"/>
      <c r="U4" s="208"/>
      <c r="V4" s="134" t="s">
        <v>243</v>
      </c>
      <c r="W4" s="135" t="s">
        <v>243</v>
      </c>
      <c r="X4" s="136" t="s">
        <v>243</v>
      </c>
    </row>
    <row r="5" spans="1:24" s="3" customFormat="1">
      <c r="A5" s="199" t="s">
        <v>244</v>
      </c>
      <c r="B5" s="199">
        <v>13</v>
      </c>
      <c r="C5" s="199" t="s">
        <v>245</v>
      </c>
      <c r="D5" s="199" t="str">
        <f>VLOOKUP(C5,'仕掛品名寄（貼付）'!B:C,2,FALSE)</f>
        <v>R</v>
      </c>
      <c r="E5" s="199">
        <f>VLOOKUP(D5,'仕掛品標準単価一覧表（貼付）'!B:G,6,FALSE)</f>
        <v>908</v>
      </c>
      <c r="F5" s="12" t="s">
        <v>246</v>
      </c>
      <c r="G5" s="13">
        <v>510</v>
      </c>
      <c r="H5" s="13">
        <f ca="1">SUMIF('1.3②原材料使用'!B:E,C5,'1.3②原材料使用'!E:E)</f>
        <v>0</v>
      </c>
      <c r="I5" s="13">
        <f ca="1">SUMIF('2.10原液別作業時間'!A:B,C5,'2.10原液別作業時間'!B:B)</f>
        <v>0</v>
      </c>
      <c r="J5" s="13">
        <f ca="1">SUM(G5:H5,K5)</f>
        <v>510</v>
      </c>
      <c r="K5" s="13">
        <f ca="1">SUMIF('2.2⑤純増減→前工程費'!B:E,C5,'2.2⑤純増減→前工程費'!E:E)</f>
        <v>0</v>
      </c>
      <c r="L5" s="13">
        <f ca="1">SUMIF('2.6完成品'!C:D,C5,'2.6完成品'!D:D)</f>
        <v>0</v>
      </c>
      <c r="M5" s="13">
        <f ca="1">SUMIF('2.3研究費'!D:E,C5,'2.3研究費'!E:E)</f>
        <v>0</v>
      </c>
      <c r="N5" s="13">
        <f ca="1">SUMIF('2.4販促費'!D:E,C5,'2.4販促費'!E:E)</f>
        <v>0</v>
      </c>
      <c r="O5" s="13">
        <f ca="1">SUMIF('2.5廃棄処分'!D:E,C5,'2.5廃棄処分'!E:E)</f>
        <v>0</v>
      </c>
      <c r="P5" s="13">
        <f ca="1">SUMIF('2.1④異種原液'!D:E,C5,'2.1④異種原液'!E:E)</f>
        <v>0</v>
      </c>
      <c r="Q5" s="14">
        <f ca="1">SUMIF('2.7製造部生産分'!D:I,C5,'2.7製造部生産分'!H:H)</f>
        <v>0</v>
      </c>
      <c r="R5" s="15">
        <f ca="1">-(G5+H5+K5-L5-M5-N5-O5-P5-Q5-S5)</f>
        <v>0</v>
      </c>
      <c r="S5" s="13">
        <f ca="1">SUMIF('2.9原液在庫'!B:H,C5,'2.9原液在庫'!H:H)</f>
        <v>510</v>
      </c>
      <c r="T5" s="16">
        <f ca="1">IFERROR(SUM(G6:K6)/(G5+H5+K5),0)</f>
        <v>1046.1795809561124</v>
      </c>
      <c r="U5" s="17" t="str">
        <f>C5</f>
        <v>13R</v>
      </c>
      <c r="V5" s="18">
        <f ca="1">IF(ISERROR(SUM(G6:K6)/SUM(L5:Q5,S5)),0,SUM(G6:K6)/SUM(L5:Q5,S5))</f>
        <v>1046.1795809561124</v>
      </c>
      <c r="W5" s="19">
        <f ca="1">V5</f>
        <v>1046.1795809561124</v>
      </c>
      <c r="X5" s="20">
        <f ca="1">W5/1000</f>
        <v>1.0461795809561125</v>
      </c>
    </row>
    <row r="6" spans="1:24" s="3" customFormat="1">
      <c r="A6" s="199"/>
      <c r="B6" s="199"/>
      <c r="C6" s="199"/>
      <c r="D6" s="199"/>
      <c r="E6" s="199"/>
      <c r="F6" s="21" t="s">
        <v>247</v>
      </c>
      <c r="G6" s="22">
        <v>518251.58628761733</v>
      </c>
      <c r="H6" s="184"/>
      <c r="I6" s="23">
        <f ca="1">I5*労務費経費単価SC!D$7</f>
        <v>0</v>
      </c>
      <c r="J6" s="23">
        <f ca="1">J5*労務費経費単価SC!D$11</f>
        <v>15300</v>
      </c>
      <c r="K6" s="22">
        <f ca="1">K5*$E5</f>
        <v>0</v>
      </c>
      <c r="L6" s="22">
        <f ca="1">L5*$E5</f>
        <v>0</v>
      </c>
      <c r="M6" s="22">
        <f t="shared" ref="M6:S6" ca="1" si="0">M5*$E5</f>
        <v>0</v>
      </c>
      <c r="N6" s="22">
        <f t="shared" ca="1" si="0"/>
        <v>0</v>
      </c>
      <c r="O6" s="22">
        <f t="shared" ca="1" si="0"/>
        <v>0</v>
      </c>
      <c r="P6" s="22">
        <f t="shared" ca="1" si="0"/>
        <v>0</v>
      </c>
      <c r="Q6" s="22">
        <f t="shared" ca="1" si="0"/>
        <v>0</v>
      </c>
      <c r="R6" s="22">
        <f t="shared" ca="1" si="0"/>
        <v>0</v>
      </c>
      <c r="S6" s="22">
        <f t="shared" ca="1" si="0"/>
        <v>463080</v>
      </c>
      <c r="T6" s="16"/>
      <c r="U6" s="17"/>
      <c r="V6" s="18"/>
      <c r="W6" s="19"/>
      <c r="X6" s="20"/>
    </row>
    <row r="7" spans="1:24" s="3" customFormat="1">
      <c r="A7" s="199" t="s">
        <v>248</v>
      </c>
      <c r="B7" s="199">
        <v>14</v>
      </c>
      <c r="C7" s="199" t="s">
        <v>249</v>
      </c>
      <c r="D7" s="199" t="str">
        <f>VLOOKUP(C7,'仕掛品名寄（貼付）'!B:C,2,FALSE)</f>
        <v>R</v>
      </c>
      <c r="E7" s="199">
        <f>VLOOKUP(D7,'仕掛品標準単価一覧表（貼付）'!B:G,6,FALSE)</f>
        <v>908</v>
      </c>
      <c r="F7" s="12" t="s">
        <v>246</v>
      </c>
      <c r="G7" s="24">
        <v>840.5</v>
      </c>
      <c r="H7" s="13">
        <f ca="1">SUMIF('1.3②原材料使用'!B:E,C7,'1.3②原材料使用'!E:E)</f>
        <v>0</v>
      </c>
      <c r="I7" s="13">
        <f ca="1">SUMIF('2.10原液別作業時間'!A:B,C7,'2.10原液別作業時間'!B:B)</f>
        <v>0</v>
      </c>
      <c r="J7" s="13">
        <f ca="1">SUM(G7:H7,K7)</f>
        <v>840.5</v>
      </c>
      <c r="K7" s="13">
        <f ca="1">SUMIF('2.2⑤純増減→前工程費'!B:E,C7,'2.2⑤純増減→前工程費'!E:E)</f>
        <v>0</v>
      </c>
      <c r="L7" s="13">
        <f ca="1">SUMIF('2.6完成品'!C:D,C7,'2.6完成品'!D:D)</f>
        <v>0</v>
      </c>
      <c r="M7" s="13">
        <f ca="1">SUMIF('2.3研究費'!D:E,C7,'2.3研究費'!E:E)</f>
        <v>0</v>
      </c>
      <c r="N7" s="13">
        <f ca="1">SUMIF('2.4販促費'!D:E,C7,'2.4販促費'!E:E)</f>
        <v>0</v>
      </c>
      <c r="O7" s="13">
        <f ca="1">SUMIF('2.5廃棄処分'!D:E,C7,'2.5廃棄処分'!E:E)</f>
        <v>0</v>
      </c>
      <c r="P7" s="13">
        <f ca="1">SUMIF('2.1④異種原液'!D:E,C7,'2.1④異種原液'!E:E)</f>
        <v>0</v>
      </c>
      <c r="Q7" s="14">
        <f ca="1">SUMIF('2.7製造部生産分'!D:I,C7,'2.7製造部生産分'!H:H)</f>
        <v>0</v>
      </c>
      <c r="R7" s="15">
        <f ca="1">-(G7+H7+K7-L7-M7-N7-O7-P7-Q7-S7)</f>
        <v>0</v>
      </c>
      <c r="S7" s="13">
        <f ca="1">SUMIF('2.9原液在庫'!B:H,C7,'2.9原液在庫'!H:H)</f>
        <v>840.5</v>
      </c>
      <c r="T7" s="16">
        <f ca="1">IFERROR(SUM(G8:K8)/(G7+H7+K7),0)</f>
        <v>1059.1737274244122</v>
      </c>
      <c r="U7" s="17" t="str">
        <f>C7</f>
        <v>14R</v>
      </c>
      <c r="V7" s="18">
        <f ca="1">IF(ISERROR(SUM(G8:K8)/SUM(L7:Q7,S7)),0,SUM(G8:K8)/SUM(L7:Q7,S7))</f>
        <v>1059.1737274244122</v>
      </c>
      <c r="W7" s="19">
        <f ca="1">V7</f>
        <v>1059.1737274244122</v>
      </c>
      <c r="X7" s="20">
        <f ca="1">W7/1000</f>
        <v>1.0591737274244122</v>
      </c>
    </row>
    <row r="8" spans="1:24" s="3" customFormat="1">
      <c r="A8" s="199"/>
      <c r="B8" s="199"/>
      <c r="C8" s="199"/>
      <c r="D8" s="199"/>
      <c r="E8" s="199"/>
      <c r="F8" s="21" t="s">
        <v>247</v>
      </c>
      <c r="G8" s="22">
        <v>865020.51790021837</v>
      </c>
      <c r="H8" s="184"/>
      <c r="I8" s="23">
        <f ca="1">I7*労務費経費単価SC!D$7</f>
        <v>0</v>
      </c>
      <c r="J8" s="23">
        <f ca="1">J7*労務費経費単価SC!D$11</f>
        <v>25215</v>
      </c>
      <c r="K8" s="22">
        <f ca="1">K7*$E7</f>
        <v>0</v>
      </c>
      <c r="L8" s="22">
        <f ca="1">L7*$E7</f>
        <v>0</v>
      </c>
      <c r="M8" s="22">
        <f t="shared" ref="M8" ca="1" si="1">M7*$E7</f>
        <v>0</v>
      </c>
      <c r="N8" s="22">
        <f t="shared" ref="N8" ca="1" si="2">N7*$E7</f>
        <v>0</v>
      </c>
      <c r="O8" s="22">
        <f t="shared" ref="O8" ca="1" si="3">O7*$E7</f>
        <v>0</v>
      </c>
      <c r="P8" s="22">
        <f t="shared" ref="P8" ca="1" si="4">P7*$E7</f>
        <v>0</v>
      </c>
      <c r="Q8" s="22">
        <f t="shared" ref="Q8" ca="1" si="5">Q7*$E7</f>
        <v>0</v>
      </c>
      <c r="R8" s="22">
        <f t="shared" ref="R8" ca="1" si="6">R7*$E7</f>
        <v>0</v>
      </c>
      <c r="S8" s="22">
        <f t="shared" ref="S8" ca="1" si="7">S7*$E7</f>
        <v>763174</v>
      </c>
      <c r="T8" s="16"/>
      <c r="U8" s="17"/>
      <c r="V8" s="18"/>
      <c r="W8" s="19"/>
      <c r="X8" s="20"/>
    </row>
    <row r="9" spans="1:24" s="3" customFormat="1">
      <c r="A9" s="199"/>
      <c r="B9" s="199"/>
      <c r="C9" s="199" t="s">
        <v>250</v>
      </c>
      <c r="D9" s="199" t="str">
        <f>VLOOKUP(C9,'仕掛品名寄（貼付）'!B:C,2,FALSE)</f>
        <v>G</v>
      </c>
      <c r="E9" s="199">
        <f>VLOOKUP(D9,'仕掛品標準単価一覧表（貼付）'!B:G,6,FALSE)</f>
        <v>2344.7183999999997</v>
      </c>
      <c r="F9" s="12" t="s">
        <v>246</v>
      </c>
      <c r="G9" s="13">
        <v>371</v>
      </c>
      <c r="H9" s="13">
        <f ca="1">SUMIF('1.3②原材料使用'!B:E,C9,'1.3②原材料使用'!E:E)</f>
        <v>0</v>
      </c>
      <c r="I9" s="13">
        <f ca="1">SUMIF('2.10原液別作業時間'!A:B,C9,'2.10原液別作業時間'!B:B)</f>
        <v>0</v>
      </c>
      <c r="J9" s="13">
        <f ca="1">SUM(G9:H9,K9)</f>
        <v>371</v>
      </c>
      <c r="K9" s="13">
        <f ca="1">SUMIF('2.2⑤純増減→前工程費'!B:E,C9,'2.2⑤純増減→前工程費'!E:E)</f>
        <v>0</v>
      </c>
      <c r="L9" s="13">
        <f ca="1">SUMIF('2.6完成品'!C:D,C9,'2.6完成品'!D:D)</f>
        <v>0</v>
      </c>
      <c r="M9" s="13">
        <f ca="1">SUMIF('2.3研究費'!D:E,C9,'2.3研究費'!E:E)</f>
        <v>0</v>
      </c>
      <c r="N9" s="13">
        <f ca="1">SUMIF('2.4販促費'!D:E,C9,'2.4販促費'!E:E)</f>
        <v>0</v>
      </c>
      <c r="O9" s="13">
        <f ca="1">SUMIF('2.5廃棄処分'!D:E,C9,'2.5廃棄処分'!E:E)</f>
        <v>0</v>
      </c>
      <c r="P9" s="13">
        <f ca="1">SUMIF('2.1④異種原液'!D:E,C9,'2.1④異種原液'!E:E)</f>
        <v>0</v>
      </c>
      <c r="Q9" s="14">
        <f ca="1">SUMIF('2.7製造部生産分'!D:I,C9,'2.7製造部生産分'!H:H)</f>
        <v>0</v>
      </c>
      <c r="R9" s="15">
        <f ca="1">-(G9+H9+K9-L9-M9-N9-O9-P9-Q9-S9)</f>
        <v>0</v>
      </c>
      <c r="S9" s="13">
        <f ca="1">SUMIF('2.9原液在庫'!B:H,C9,'2.9原液在庫'!H:H)</f>
        <v>371</v>
      </c>
      <c r="T9" s="16">
        <f ca="1">IFERROR(SUM(G10:K10)/(G9+H9+K9),0)</f>
        <v>1106.1866058574412</v>
      </c>
      <c r="U9" s="17" t="str">
        <f>C9</f>
        <v>14G</v>
      </c>
      <c r="V9" s="18">
        <f ca="1">IF(ISERROR(SUM(G10:K10)/SUM(L9:Q9,S9)),0,SUM(G10:K10)/SUM(L9:Q9,S9))</f>
        <v>1106.1866058574412</v>
      </c>
      <c r="W9" s="19">
        <f ca="1">V9</f>
        <v>1106.1866058574412</v>
      </c>
      <c r="X9" s="20">
        <f ca="1">W9/1000</f>
        <v>1.1061866058574412</v>
      </c>
    </row>
    <row r="10" spans="1:24" s="3" customFormat="1">
      <c r="A10" s="199"/>
      <c r="B10" s="199"/>
      <c r="C10" s="199"/>
      <c r="D10" s="199"/>
      <c r="E10" s="199"/>
      <c r="F10" s="21" t="s">
        <v>247</v>
      </c>
      <c r="G10" s="22">
        <v>399265.2307731107</v>
      </c>
      <c r="H10" s="184"/>
      <c r="I10" s="23">
        <f ca="1">I9*労務費経費単価SC!D$7</f>
        <v>0</v>
      </c>
      <c r="J10" s="23">
        <f ca="1">J9*労務費経費単価SC!D$11</f>
        <v>11130</v>
      </c>
      <c r="K10" s="22">
        <f ca="1">K9*$E9</f>
        <v>0</v>
      </c>
      <c r="L10" s="22">
        <f ca="1">L9*$E9</f>
        <v>0</v>
      </c>
      <c r="M10" s="22">
        <f t="shared" ref="M10" ca="1" si="8">M9*$E9</f>
        <v>0</v>
      </c>
      <c r="N10" s="22">
        <f t="shared" ref="N10" ca="1" si="9">N9*$E9</f>
        <v>0</v>
      </c>
      <c r="O10" s="22">
        <f t="shared" ref="O10" ca="1" si="10">O9*$E9</f>
        <v>0</v>
      </c>
      <c r="P10" s="22">
        <f t="shared" ref="P10" ca="1" si="11">P9*$E9</f>
        <v>0</v>
      </c>
      <c r="Q10" s="22">
        <f t="shared" ref="Q10" ca="1" si="12">Q9*$E9</f>
        <v>0</v>
      </c>
      <c r="R10" s="22">
        <f t="shared" ref="R10" ca="1" si="13">R9*$E9</f>
        <v>0</v>
      </c>
      <c r="S10" s="22">
        <f t="shared" ref="S10" ca="1" si="14">S9*$E9</f>
        <v>869890.52639999986</v>
      </c>
      <c r="T10" s="16"/>
      <c r="U10" s="17"/>
      <c r="V10" s="18"/>
      <c r="W10" s="19"/>
      <c r="X10" s="20"/>
    </row>
    <row r="11" spans="1:24" s="3" customFormat="1">
      <c r="A11" s="199" t="s">
        <v>251</v>
      </c>
      <c r="B11" s="199">
        <v>15</v>
      </c>
      <c r="C11" s="199" t="s">
        <v>252</v>
      </c>
      <c r="D11" s="199" t="str">
        <f>VLOOKUP(C11,'仕掛品名寄（貼付）'!B:C,2,FALSE)</f>
        <v>R</v>
      </c>
      <c r="E11" s="199">
        <f>VLOOKUP(D11,'仕掛品標準単価一覧表（貼付）'!B:G,6,FALSE)</f>
        <v>908</v>
      </c>
      <c r="F11" s="12" t="s">
        <v>246</v>
      </c>
      <c r="G11" s="13">
        <v>612</v>
      </c>
      <c r="H11" s="13">
        <f ca="1">SUMIF('1.3②原材料使用'!B:E,C11,'1.3②原材料使用'!E:E)</f>
        <v>0</v>
      </c>
      <c r="I11" s="13">
        <f ca="1">SUMIF('2.10原液別作業時間'!A:B,C11,'2.10原液別作業時間'!B:B)</f>
        <v>0</v>
      </c>
      <c r="J11" s="13">
        <f ca="1">SUM(G11:H11,K11)</f>
        <v>612</v>
      </c>
      <c r="K11" s="13">
        <f ca="1">SUMIF('2.2⑤純増減→前工程費'!B:E,C11,'2.2⑤純増減→前工程費'!E:E)</f>
        <v>0</v>
      </c>
      <c r="L11" s="13">
        <f ca="1">SUMIF('2.6完成品'!C:D,C11,'2.6完成品'!D:D)</f>
        <v>0</v>
      </c>
      <c r="M11" s="13">
        <f ca="1">SUMIF('2.3研究費'!D:E,C11,'2.3研究費'!E:E)</f>
        <v>0</v>
      </c>
      <c r="N11" s="13">
        <f ca="1">SUMIF('2.4販促費'!D:E,C11,'2.4販促費'!E:E)</f>
        <v>0</v>
      </c>
      <c r="O11" s="13">
        <f ca="1">SUMIF('2.5廃棄処分'!D:E,C11,'2.5廃棄処分'!E:E)</f>
        <v>0</v>
      </c>
      <c r="P11" s="13">
        <f ca="1">SUMIF('2.1④異種原液'!D:E,C11,'2.1④異種原液'!E:E)</f>
        <v>0</v>
      </c>
      <c r="Q11" s="14">
        <f ca="1">SUMIF('2.7製造部生産分'!D:I,C11,'2.7製造部生産分'!H:H)</f>
        <v>0</v>
      </c>
      <c r="R11" s="15">
        <f ca="1">-(G11+H11+K11-L11-M11-N11-O11-P11-Q11-S11)</f>
        <v>0</v>
      </c>
      <c r="S11" s="13">
        <f ca="1">SUMIF('2.9原液在庫'!B:H,C11,'2.9原液在庫'!H:H)</f>
        <v>612</v>
      </c>
      <c r="T11" s="16">
        <f ca="1">IFERROR(SUM(G12:K12)/(G11+H11+K11),0)</f>
        <v>1096.5966157679072</v>
      </c>
      <c r="U11" s="17" t="str">
        <f>C11</f>
        <v>15R</v>
      </c>
      <c r="V11" s="18">
        <f ca="1">IF(ISERROR(SUM(G12:K12)/SUM(L11:Q11,S11)),0,SUM(G12:K12)/SUM(L11:Q11,S11))</f>
        <v>1096.5966157679072</v>
      </c>
      <c r="W11" s="19">
        <f ca="1">V11</f>
        <v>1096.5966157679072</v>
      </c>
      <c r="X11" s="20">
        <f ca="1">W11/1000</f>
        <v>1.0965966157679072</v>
      </c>
    </row>
    <row r="12" spans="1:24" s="3" customFormat="1">
      <c r="A12" s="199"/>
      <c r="B12" s="199"/>
      <c r="C12" s="199"/>
      <c r="D12" s="199"/>
      <c r="E12" s="199"/>
      <c r="F12" s="21" t="s">
        <v>247</v>
      </c>
      <c r="G12" s="22">
        <v>652757.12884995923</v>
      </c>
      <c r="H12" s="184"/>
      <c r="I12" s="23">
        <f ca="1">I11*労務費経費単価SC!D$7</f>
        <v>0</v>
      </c>
      <c r="J12" s="23">
        <f ca="1">J11*労務費経費単価SC!D$11</f>
        <v>18360</v>
      </c>
      <c r="K12" s="22">
        <f ca="1">K11*$E11</f>
        <v>0</v>
      </c>
      <c r="L12" s="22">
        <f ca="1">L11*$E11</f>
        <v>0</v>
      </c>
      <c r="M12" s="22">
        <f t="shared" ref="M12" ca="1" si="15">M11*$E11</f>
        <v>0</v>
      </c>
      <c r="N12" s="22">
        <f t="shared" ref="N12" ca="1" si="16">N11*$E11</f>
        <v>0</v>
      </c>
      <c r="O12" s="22">
        <f t="shared" ref="O12" ca="1" si="17">O11*$E11</f>
        <v>0</v>
      </c>
      <c r="P12" s="22">
        <f t="shared" ref="P12" ca="1" si="18">P11*$E11</f>
        <v>0</v>
      </c>
      <c r="Q12" s="22">
        <f t="shared" ref="Q12" ca="1" si="19">Q11*$E11</f>
        <v>0</v>
      </c>
      <c r="R12" s="22">
        <f t="shared" ref="R12" ca="1" si="20">R11*$E11</f>
        <v>0</v>
      </c>
      <c r="S12" s="22">
        <f t="shared" ref="S12" ca="1" si="21">S11*$E11</f>
        <v>555696</v>
      </c>
      <c r="T12" s="16"/>
      <c r="U12" s="17"/>
      <c r="V12" s="18"/>
      <c r="W12" s="19"/>
      <c r="X12" s="20"/>
    </row>
    <row r="13" spans="1:24" s="3" customFormat="1">
      <c r="A13" s="199"/>
      <c r="B13" s="199"/>
      <c r="C13" s="206" t="s">
        <v>253</v>
      </c>
      <c r="D13" s="199" t="str">
        <f>VLOOKUP(C13,'仕掛品名寄（貼付）'!B:C,2,FALSE)</f>
        <v>その他</v>
      </c>
      <c r="E13" s="199">
        <f>VLOOKUP(D13,'仕掛品標準単価一覧表（貼付）'!B:G,6,FALSE)</f>
        <v>1080</v>
      </c>
      <c r="F13" s="12" t="s">
        <v>246</v>
      </c>
      <c r="G13" s="13">
        <v>0</v>
      </c>
      <c r="H13" s="13">
        <f ca="1">SUMIF('1.3②原材料使用'!B:E,C13,'1.3②原材料使用'!E:E)</f>
        <v>0</v>
      </c>
      <c r="I13" s="13">
        <f ca="1">SUMIF('2.10原液別作業時間'!A:B,C13,'2.10原液別作業時間'!B:B)</f>
        <v>0</v>
      </c>
      <c r="J13" s="13">
        <f ca="1">SUM(G13:H13,K13)</f>
        <v>0</v>
      </c>
      <c r="K13" s="13">
        <f ca="1">SUMIF('2.2⑤純増減→前工程費'!B:E,C13,'2.2⑤純増減→前工程費'!E:E)</f>
        <v>0</v>
      </c>
      <c r="L13" s="13">
        <f ca="1">SUMIF('2.6完成品'!C:D,C13,'2.6完成品'!D:D)</f>
        <v>0</v>
      </c>
      <c r="M13" s="13">
        <f ca="1">SUMIF('2.3研究費'!D:E,C13,'2.3研究費'!E:E)</f>
        <v>0</v>
      </c>
      <c r="N13" s="13">
        <f ca="1">SUMIF('2.4販促費'!D:E,C13,'2.4販促費'!E:E)</f>
        <v>0</v>
      </c>
      <c r="O13" s="13">
        <f ca="1">SUMIF('2.5廃棄処分'!D:E,C13,'2.5廃棄処分'!E:E)</f>
        <v>0</v>
      </c>
      <c r="P13" s="13">
        <f ca="1">SUMIF('2.1④異種原液'!D:E,C13,'2.1④異種原液'!E:E)</f>
        <v>0</v>
      </c>
      <c r="Q13" s="14">
        <f ca="1">SUMIF('2.7製造部生産分'!D:I,C13,'2.7製造部生産分'!H:H)</f>
        <v>0</v>
      </c>
      <c r="R13" s="15">
        <f ca="1">-(G13+H13+K13-L13-M13-N13-O13-P13-Q13-S13)</f>
        <v>0</v>
      </c>
      <c r="S13" s="13">
        <f ca="1">SUMIF('2.9原液在庫'!B:H,C13,'2.9原液在庫'!H:H)</f>
        <v>0</v>
      </c>
      <c r="T13" s="16">
        <f ca="1">IFERROR(SUM(G14:K14)/(G13+H13+K13),0)</f>
        <v>0</v>
      </c>
      <c r="U13" s="17" t="str">
        <f>C13</f>
        <v>15HI納</v>
      </c>
      <c r="V13" s="18">
        <f ca="1">IF(ISERROR(SUM(G14:K14)/SUM(L13:Q13,S13)),0,SUM(G14:K14)/SUM(L13:Q13,S13))</f>
        <v>0</v>
      </c>
      <c r="W13" s="19">
        <f ca="1">V13</f>
        <v>0</v>
      </c>
      <c r="X13" s="20">
        <f ca="1">W13/1000</f>
        <v>0</v>
      </c>
    </row>
    <row r="14" spans="1:24" s="3" customFormat="1">
      <c r="A14" s="199"/>
      <c r="B14" s="199"/>
      <c r="C14" s="199"/>
      <c r="D14" s="199"/>
      <c r="E14" s="199"/>
      <c r="F14" s="21" t="s">
        <v>247</v>
      </c>
      <c r="G14" s="22" t="s">
        <v>254</v>
      </c>
      <c r="H14" s="184"/>
      <c r="I14" s="23">
        <f ca="1">I13*労務費経費単価SC!D$7</f>
        <v>0</v>
      </c>
      <c r="J14" s="23">
        <f ca="1">J13*労務費経費単価SC!D$11</f>
        <v>0</v>
      </c>
      <c r="K14" s="22">
        <f ca="1">K13*$E13</f>
        <v>0</v>
      </c>
      <c r="L14" s="22">
        <f ca="1">L13*$E13</f>
        <v>0</v>
      </c>
      <c r="M14" s="22">
        <f t="shared" ref="M14" ca="1" si="22">M13*$E13</f>
        <v>0</v>
      </c>
      <c r="N14" s="22">
        <f t="shared" ref="N14" ca="1" si="23">N13*$E13</f>
        <v>0</v>
      </c>
      <c r="O14" s="22">
        <f t="shared" ref="O14" ca="1" si="24">O13*$E13</f>
        <v>0</v>
      </c>
      <c r="P14" s="22">
        <f t="shared" ref="P14" ca="1" si="25">P13*$E13</f>
        <v>0</v>
      </c>
      <c r="Q14" s="22">
        <f t="shared" ref="Q14" ca="1" si="26">Q13*$E13</f>
        <v>0</v>
      </c>
      <c r="R14" s="22">
        <f t="shared" ref="R14" ca="1" si="27">R13*$E13</f>
        <v>0</v>
      </c>
      <c r="S14" s="22">
        <f t="shared" ref="S14" ca="1" si="28">S13*$E13</f>
        <v>0</v>
      </c>
      <c r="T14" s="16"/>
      <c r="U14" s="17"/>
      <c r="V14" s="18"/>
      <c r="W14" s="19"/>
      <c r="X14" s="20"/>
    </row>
    <row r="15" spans="1:24" s="3" customFormat="1">
      <c r="A15" s="199"/>
      <c r="B15" s="199"/>
      <c r="C15" s="199" t="s">
        <v>255</v>
      </c>
      <c r="D15" s="199" t="str">
        <f>VLOOKUP(C15,'仕掛品名寄（貼付）'!B:C,2,FALSE)</f>
        <v>その他</v>
      </c>
      <c r="E15" s="199">
        <f>VLOOKUP(D15,'仕掛品標準単価一覧表（貼付）'!B:G,6,FALSE)</f>
        <v>1080</v>
      </c>
      <c r="F15" s="12" t="s">
        <v>246</v>
      </c>
      <c r="G15" s="13">
        <v>329</v>
      </c>
      <c r="H15" s="13">
        <f ca="1">SUMIF('1.3②原材料使用'!B:E,C15,'1.3②原材料使用'!E:E)</f>
        <v>0</v>
      </c>
      <c r="I15" s="13">
        <f ca="1">SUMIF('2.10原液別作業時間'!A:B,C15,'2.10原液別作業時間'!B:B)</f>
        <v>0</v>
      </c>
      <c r="J15" s="13">
        <f ca="1">SUM(G15:H15,K15)</f>
        <v>329</v>
      </c>
      <c r="K15" s="13">
        <f ca="1">SUMIF('2.2⑤純増減→前工程費'!B:E,C15,'2.2⑤純増減→前工程費'!E:E)</f>
        <v>0</v>
      </c>
      <c r="L15" s="13">
        <f ca="1">SUMIF('2.6完成品'!C:D,C15,'2.6完成品'!D:D)</f>
        <v>0</v>
      </c>
      <c r="M15" s="13">
        <f ca="1">SUMIF('2.3研究費'!D:E,C15,'2.3研究費'!E:E)</f>
        <v>0</v>
      </c>
      <c r="N15" s="13">
        <f ca="1">SUMIF('2.4販促費'!D:E,C15,'2.4販促費'!E:E)</f>
        <v>0</v>
      </c>
      <c r="O15" s="13">
        <f ca="1">SUMIF('2.5廃棄処分'!D:E,C15,'2.5廃棄処分'!E:E)</f>
        <v>0</v>
      </c>
      <c r="P15" s="13">
        <f ca="1">SUMIF('2.1④異種原液'!D:E,C15,'2.1④異種原液'!E:E)</f>
        <v>0</v>
      </c>
      <c r="Q15" s="14">
        <f ca="1">SUMIF('2.7製造部生産分'!D:I,C15,'2.7製造部生産分'!H:H)</f>
        <v>0</v>
      </c>
      <c r="R15" s="15">
        <f ca="1">-(G15+H15+K15-L15-M15-N15-O15-P15-Q15-S15)</f>
        <v>0</v>
      </c>
      <c r="S15" s="13">
        <f ca="1">SUMIF('2.9原液在庫'!B:H,C15,'2.9原液在庫'!H:H)</f>
        <v>329</v>
      </c>
      <c r="T15" s="16">
        <f ca="1">IFERROR(SUM(G16:K16)/(G15+H15+K15),0)</f>
        <v>1082.9089664469459</v>
      </c>
      <c r="U15" s="17" t="str">
        <f>C15</f>
        <v>15R花</v>
      </c>
      <c r="V15" s="18">
        <f ca="1">IF(ISERROR(SUM(G16:K16)/SUM(L15:Q15,S15)),0,SUM(G16:K16)/SUM(L15:Q15,S15))</f>
        <v>1082.9089664469459</v>
      </c>
      <c r="W15" s="19">
        <f ca="1">V15</f>
        <v>1082.9089664469459</v>
      </c>
      <c r="X15" s="20">
        <f ca="1">W15/1000</f>
        <v>1.0829089664469458</v>
      </c>
    </row>
    <row r="16" spans="1:24" s="3" customFormat="1">
      <c r="A16" s="199"/>
      <c r="B16" s="199"/>
      <c r="C16" s="199"/>
      <c r="D16" s="199"/>
      <c r="E16" s="199"/>
      <c r="F16" s="21" t="s">
        <v>247</v>
      </c>
      <c r="G16" s="22">
        <v>346407.04996104521</v>
      </c>
      <c r="H16" s="184"/>
      <c r="I16" s="23">
        <f ca="1">I15*労務費経費単価SC!D$7</f>
        <v>0</v>
      </c>
      <c r="J16" s="23">
        <f ca="1">J15*労務費経費単価SC!D$11</f>
        <v>9870</v>
      </c>
      <c r="K16" s="22">
        <f ca="1">K15*$E15</f>
        <v>0</v>
      </c>
      <c r="L16" s="22">
        <f ca="1">L15*$E15</f>
        <v>0</v>
      </c>
      <c r="M16" s="22">
        <f t="shared" ref="M16" ca="1" si="29">M15*$E15</f>
        <v>0</v>
      </c>
      <c r="N16" s="22">
        <f t="shared" ref="N16" ca="1" si="30">N15*$E15</f>
        <v>0</v>
      </c>
      <c r="O16" s="22">
        <f t="shared" ref="O16" ca="1" si="31">O15*$E15</f>
        <v>0</v>
      </c>
      <c r="P16" s="22">
        <f t="shared" ref="P16" ca="1" si="32">P15*$E15</f>
        <v>0</v>
      </c>
      <c r="Q16" s="22">
        <f t="shared" ref="Q16" ca="1" si="33">Q15*$E15</f>
        <v>0</v>
      </c>
      <c r="R16" s="22">
        <f t="shared" ref="R16" ca="1" si="34">R15*$E15</f>
        <v>0</v>
      </c>
      <c r="S16" s="22">
        <f t="shared" ref="S16" ca="1" si="35">S15*$E15</f>
        <v>355320</v>
      </c>
      <c r="T16" s="16"/>
      <c r="U16" s="17"/>
      <c r="V16" s="18"/>
      <c r="W16" s="19"/>
      <c r="X16" s="20"/>
    </row>
    <row r="17" spans="1:24" s="3" customFormat="1">
      <c r="A17" s="199"/>
      <c r="B17" s="199"/>
      <c r="C17" s="199" t="s">
        <v>256</v>
      </c>
      <c r="D17" s="199" t="str">
        <f>VLOOKUP(C17,'仕掛品名寄（貼付）'!B:C,2,FALSE)</f>
        <v>その他</v>
      </c>
      <c r="E17" s="199">
        <f>VLOOKUP(D17,'仕掛品標準単価一覧表（貼付）'!B:G,6,FALSE)</f>
        <v>1080</v>
      </c>
      <c r="F17" s="12" t="s">
        <v>246</v>
      </c>
      <c r="G17" s="13">
        <v>708</v>
      </c>
      <c r="H17" s="13">
        <f ca="1">SUMIF('1.3②原材料使用'!B:E,C17,'1.3②原材料使用'!E:E)</f>
        <v>0</v>
      </c>
      <c r="I17" s="13">
        <f ca="1">SUMIF('2.10原液別作業時間'!A:B,C17,'2.10原液別作業時間'!B:B)</f>
        <v>0</v>
      </c>
      <c r="J17" s="13">
        <f ca="1">SUM(G17:H17,K17)</f>
        <v>708</v>
      </c>
      <c r="K17" s="13">
        <f ca="1">SUMIF('2.2⑤純増減→前工程費'!B:E,C17,'2.2⑤純増減→前工程費'!E:E)</f>
        <v>0</v>
      </c>
      <c r="L17" s="13">
        <f ca="1">SUMIF('2.6完成品'!C:D,C17,'2.6完成品'!D:D)</f>
        <v>0</v>
      </c>
      <c r="M17" s="13">
        <f ca="1">SUMIF('2.3研究費'!D:E,C17,'2.3研究費'!E:E)</f>
        <v>0</v>
      </c>
      <c r="N17" s="13">
        <f ca="1">SUMIF('2.4販促費'!D:E,C17,'2.4販促費'!E:E)</f>
        <v>0</v>
      </c>
      <c r="O17" s="13">
        <f ca="1">SUMIF('2.5廃棄処分'!D:E,C17,'2.5廃棄処分'!E:E)</f>
        <v>0</v>
      </c>
      <c r="P17" s="13">
        <f ca="1">SUMIF('2.1④異種原液'!D:E,C17,'2.1④異種原液'!E:E)</f>
        <v>0</v>
      </c>
      <c r="Q17" s="14">
        <f ca="1">SUMIF('2.7製造部生産分'!D:I,C17,'2.7製造部生産分'!H:H)</f>
        <v>0</v>
      </c>
      <c r="R17" s="15">
        <f ca="1">-(G17+H17+K17-L17-M17-N17-O17-P17-Q17-S17)</f>
        <v>0</v>
      </c>
      <c r="S17" s="13">
        <f ca="1">SUMIF('2.9原液在庫'!B:H,C17,'2.9原液在庫'!H:H)</f>
        <v>708</v>
      </c>
      <c r="T17" s="16">
        <f ca="1">IFERROR(SUM(G18:K18)/(G17+H17+K17),0)</f>
        <v>271.25443437046891</v>
      </c>
      <c r="U17" s="17" t="str">
        <f>C17</f>
        <v>15R納</v>
      </c>
      <c r="V17" s="18">
        <f ca="1">IF(ISERROR(SUM(G18:K18)/SUM(L17:Q17,S17)),0,SUM(G18:K18)/SUM(L17:Q17,S17))</f>
        <v>271.25443437046891</v>
      </c>
      <c r="W17" s="19">
        <f ca="1">V17</f>
        <v>271.25443437046891</v>
      </c>
      <c r="X17" s="20">
        <f ca="1">W17/1000</f>
        <v>0.27125443437046892</v>
      </c>
    </row>
    <row r="18" spans="1:24" s="3" customFormat="1">
      <c r="A18" s="199"/>
      <c r="B18" s="199"/>
      <c r="C18" s="199"/>
      <c r="D18" s="199"/>
      <c r="E18" s="199"/>
      <c r="F18" s="21" t="s">
        <v>247</v>
      </c>
      <c r="G18" s="22">
        <v>170808.13953429199</v>
      </c>
      <c r="H18" s="184"/>
      <c r="I18" s="23">
        <f ca="1">I17*労務費経費単価SC!D$7</f>
        <v>0</v>
      </c>
      <c r="J18" s="23">
        <f ca="1">J17*労務費経費単価SC!D$11</f>
        <v>21240</v>
      </c>
      <c r="K18" s="22">
        <f ca="1">K17*$E17</f>
        <v>0</v>
      </c>
      <c r="L18" s="22">
        <f ca="1">L17*$E17</f>
        <v>0</v>
      </c>
      <c r="M18" s="22">
        <f t="shared" ref="M18" ca="1" si="36">M17*$E17</f>
        <v>0</v>
      </c>
      <c r="N18" s="22">
        <f t="shared" ref="N18" ca="1" si="37">N17*$E17</f>
        <v>0</v>
      </c>
      <c r="O18" s="22">
        <f t="shared" ref="O18" ca="1" si="38">O17*$E17</f>
        <v>0</v>
      </c>
      <c r="P18" s="22">
        <f t="shared" ref="P18" ca="1" si="39">P17*$E17</f>
        <v>0</v>
      </c>
      <c r="Q18" s="22">
        <f t="shared" ref="Q18" ca="1" si="40">Q17*$E17</f>
        <v>0</v>
      </c>
      <c r="R18" s="22">
        <f t="shared" ref="R18" ca="1" si="41">R17*$E17</f>
        <v>0</v>
      </c>
      <c r="S18" s="22">
        <f t="shared" ref="S18" ca="1" si="42">S17*$E17</f>
        <v>764640</v>
      </c>
      <c r="T18" s="16"/>
      <c r="U18" s="17"/>
      <c r="V18" s="18"/>
      <c r="W18" s="19"/>
      <c r="X18" s="20"/>
    </row>
    <row r="19" spans="1:24" s="3" customFormat="1">
      <c r="A19" s="199"/>
      <c r="B19" s="199"/>
      <c r="C19" s="206" t="s">
        <v>257</v>
      </c>
      <c r="D19" s="199" t="str">
        <f>VLOOKUP(C19,'仕掛品名寄（貼付）'!B:C,2,FALSE)</f>
        <v>その他</v>
      </c>
      <c r="E19" s="199">
        <f>VLOOKUP(D19,'仕掛品標準単価一覧表（貼付）'!B:G,6,FALSE)</f>
        <v>1080</v>
      </c>
      <c r="F19" s="12" t="s">
        <v>246</v>
      </c>
      <c r="G19" s="13">
        <v>286.5</v>
      </c>
      <c r="H19" s="13">
        <f ca="1">SUMIF('1.3②原材料使用'!B:E,C19,'1.3②原材料使用'!E:E)</f>
        <v>0</v>
      </c>
      <c r="I19" s="13">
        <f ca="1">SUMIF('2.10原液別作業時間'!A:B,C19,'2.10原液別作業時間'!B:B)</f>
        <v>0</v>
      </c>
      <c r="J19" s="13">
        <f ca="1">SUM(G19:H19,K19)</f>
        <v>286.5</v>
      </c>
      <c r="K19" s="13">
        <f ca="1">SUMIF('2.2⑤純増減→前工程費'!B:E,C19,'2.2⑤純増減→前工程費'!E:E)</f>
        <v>0</v>
      </c>
      <c r="L19" s="13">
        <f ca="1">SUMIF('2.6完成品'!C:D,C19,'2.6完成品'!D:D)</f>
        <v>0</v>
      </c>
      <c r="M19" s="13">
        <f ca="1">SUMIF('2.3研究費'!D:E,C19,'2.3研究費'!E:E)</f>
        <v>0</v>
      </c>
      <c r="N19" s="13">
        <f ca="1">SUMIF('2.4販促費'!D:E,C19,'2.4販促費'!E:E)</f>
        <v>0</v>
      </c>
      <c r="O19" s="13">
        <f ca="1">SUMIF('2.5廃棄処分'!D:E,C19,'2.5廃棄処分'!E:E)</f>
        <v>0</v>
      </c>
      <c r="P19" s="13">
        <f ca="1">SUMIF('2.1④異種原液'!D:E,C19,'2.1④異種原液'!E:E)</f>
        <v>0</v>
      </c>
      <c r="Q19" s="14">
        <f ca="1">SUMIF('2.7製造部生産分'!D:I,C19,'2.7製造部生産分'!H:H)</f>
        <v>0</v>
      </c>
      <c r="R19" s="15">
        <f ca="1">-(G19+H19+K19-L19-M19-N19-O19-P19-Q19-S19)</f>
        <v>0</v>
      </c>
      <c r="S19" s="13">
        <f ca="1">SUMIF('2.9原液在庫'!B:H,C19,'2.9原液在庫'!H:H)</f>
        <v>286.5</v>
      </c>
      <c r="T19" s="16">
        <f ca="1">IFERROR(SUM(G20:K20)/(G19+H19+K19),0)</f>
        <v>1054.1858357130698</v>
      </c>
      <c r="U19" s="17" t="str">
        <f>C19</f>
        <v>15Rｶ</v>
      </c>
      <c r="V19" s="18">
        <f ca="1">IF(ISERROR(SUM(G20:K20)/SUM(L19:Q19,S19)),0,SUM(G20:K20)/SUM(L19:Q19,S19))</f>
        <v>1054.1858357130698</v>
      </c>
      <c r="W19" s="19">
        <f ca="1">V19</f>
        <v>1054.1858357130698</v>
      </c>
      <c r="X19" s="20">
        <f ca="1">W19/1000</f>
        <v>1.0541858357130698</v>
      </c>
    </row>
    <row r="20" spans="1:24" s="3" customFormat="1">
      <c r="A20" s="199"/>
      <c r="B20" s="199"/>
      <c r="C20" s="199"/>
      <c r="D20" s="199"/>
      <c r="E20" s="199"/>
      <c r="F20" s="21" t="s">
        <v>247</v>
      </c>
      <c r="G20" s="22">
        <v>293429.2419317945</v>
      </c>
      <c r="H20" s="184"/>
      <c r="I20" s="23">
        <f ca="1">I19*労務費経費単価SC!D$7</f>
        <v>0</v>
      </c>
      <c r="J20" s="23">
        <f ca="1">J19*労務費経費単価SC!D$11</f>
        <v>8595</v>
      </c>
      <c r="K20" s="22">
        <f ca="1">K19*$E19</f>
        <v>0</v>
      </c>
      <c r="L20" s="22">
        <f ca="1">L19*$E19</f>
        <v>0</v>
      </c>
      <c r="M20" s="22">
        <f t="shared" ref="M20" ca="1" si="43">M19*$E19</f>
        <v>0</v>
      </c>
      <c r="N20" s="22">
        <f t="shared" ref="N20" ca="1" si="44">N19*$E19</f>
        <v>0</v>
      </c>
      <c r="O20" s="22">
        <f t="shared" ref="O20" ca="1" si="45">O19*$E19</f>
        <v>0</v>
      </c>
      <c r="P20" s="22">
        <f t="shared" ref="P20" ca="1" si="46">P19*$E19</f>
        <v>0</v>
      </c>
      <c r="Q20" s="22">
        <f t="shared" ref="Q20" ca="1" si="47">Q19*$E19</f>
        <v>0</v>
      </c>
      <c r="R20" s="22">
        <f t="shared" ref="R20" ca="1" si="48">R19*$E19</f>
        <v>0</v>
      </c>
      <c r="S20" s="22">
        <f t="shared" ref="S20" ca="1" si="49">S19*$E19</f>
        <v>309420</v>
      </c>
      <c r="T20" s="16"/>
      <c r="U20" s="17"/>
      <c r="V20" s="18"/>
      <c r="W20" s="19"/>
      <c r="X20" s="20"/>
    </row>
    <row r="21" spans="1:24" s="3" customFormat="1">
      <c r="A21" s="199"/>
      <c r="B21" s="199"/>
      <c r="C21" s="200" t="s">
        <v>22</v>
      </c>
      <c r="D21" s="199" t="str">
        <f>VLOOKUP(C21,'仕掛品名寄（貼付）'!B:C,2,FALSE)</f>
        <v>その他</v>
      </c>
      <c r="E21" s="199">
        <f>VLOOKUP(D21,'仕掛品標準単価一覧表（貼付）'!B:G,6,FALSE)</f>
        <v>1080</v>
      </c>
      <c r="F21" s="12" t="s">
        <v>246</v>
      </c>
      <c r="G21" s="13">
        <v>289.5</v>
      </c>
      <c r="H21" s="13">
        <f ca="1">SUMIF('1.3②原材料使用'!B:E,C21,'1.3②原材料使用'!E:E)</f>
        <v>0</v>
      </c>
      <c r="I21" s="13">
        <f ca="1">SUMIF('2.10原液別作業時間'!A:B,C21,'2.10原液別作業時間'!B:B)</f>
        <v>0</v>
      </c>
      <c r="J21" s="13">
        <f ca="1">SUM(G21:H21,K21)</f>
        <v>289.5</v>
      </c>
      <c r="K21" s="13">
        <f ca="1">SUMIF('2.2⑤純増減→前工程費'!B:E,C21,'2.2⑤純増減→前工程費'!E:E)</f>
        <v>0</v>
      </c>
      <c r="L21" s="13">
        <f ca="1">SUMIF('2.6完成品'!C:D,C21,'2.6完成品'!D:D)</f>
        <v>0</v>
      </c>
      <c r="M21" s="13">
        <f ca="1">SUMIF('2.3研究費'!D:E,C21,'2.3研究費'!E:E)</f>
        <v>0</v>
      </c>
      <c r="N21" s="13">
        <f ca="1">SUMIF('2.4販促費'!D:E,C21,'2.4販促費'!E:E)</f>
        <v>10</v>
      </c>
      <c r="O21" s="13">
        <f ca="1">SUMIF('2.5廃棄処分'!D:E,C21,'2.5廃棄処分'!E:E)</f>
        <v>0</v>
      </c>
      <c r="P21" s="13">
        <f ca="1">SUMIF('2.1④異種原液'!D:E,C21,'2.1④異種原液'!E:E)</f>
        <v>0</v>
      </c>
      <c r="Q21" s="14">
        <f ca="1">SUMIF('2.7製造部生産分'!D:I,C21,'2.7製造部生産分'!H:H)</f>
        <v>0</v>
      </c>
      <c r="R21" s="15">
        <f ca="1">-(G21+H21+K21-L21-M21-N21-O21-P21-Q21-S21)</f>
        <v>0</v>
      </c>
      <c r="S21" s="13">
        <f ca="1">SUMIF('2.9原液在庫'!B:H,C21,'2.9原液在庫'!H:H)</f>
        <v>279.5</v>
      </c>
      <c r="T21" s="16">
        <f ca="1">IFERROR(SUM(G22:K22)/(G21+H21+K21),0)</f>
        <v>1164.4983716553088</v>
      </c>
      <c r="U21" s="17" t="str">
        <f>C21</f>
        <v>15R海</v>
      </c>
      <c r="V21" s="18">
        <f ca="1">IF(ISERROR(SUM(G22:K22)/SUM(L21:Q21,S21)),0,SUM(G22:K22)/SUM(L21:Q21,S21))</f>
        <v>1164.4983716553088</v>
      </c>
      <c r="W21" s="19">
        <f ca="1">V21</f>
        <v>1164.4983716553088</v>
      </c>
      <c r="X21" s="20">
        <f ca="1">W21/1000</f>
        <v>1.1644983716553088</v>
      </c>
    </row>
    <row r="22" spans="1:24" s="3" customFormat="1">
      <c r="A22" s="199"/>
      <c r="B22" s="199"/>
      <c r="C22" s="207"/>
      <c r="D22" s="199"/>
      <c r="E22" s="199"/>
      <c r="F22" s="21" t="s">
        <v>247</v>
      </c>
      <c r="G22" s="22">
        <v>328437.27859421191</v>
      </c>
      <c r="H22" s="184"/>
      <c r="I22" s="23">
        <f ca="1">I21*労務費経費単価SC!D$7</f>
        <v>0</v>
      </c>
      <c r="J22" s="23">
        <f ca="1">J21*労務費経費単価SC!D$11</f>
        <v>8685</v>
      </c>
      <c r="K22" s="22">
        <f ca="1">K21*$E21</f>
        <v>0</v>
      </c>
      <c r="L22" s="22">
        <f ca="1">L21*$E21</f>
        <v>0</v>
      </c>
      <c r="M22" s="22">
        <f t="shared" ref="M22" ca="1" si="50">M21*$E21</f>
        <v>0</v>
      </c>
      <c r="N22" s="22">
        <f t="shared" ref="N22" ca="1" si="51">N21*$E21</f>
        <v>10800</v>
      </c>
      <c r="O22" s="22">
        <f t="shared" ref="O22" ca="1" si="52">O21*$E21</f>
        <v>0</v>
      </c>
      <c r="P22" s="22">
        <f t="shared" ref="P22" ca="1" si="53">P21*$E21</f>
        <v>0</v>
      </c>
      <c r="Q22" s="22">
        <f t="shared" ref="Q22" ca="1" si="54">Q21*$E21</f>
        <v>0</v>
      </c>
      <c r="R22" s="22">
        <f t="shared" ref="R22" ca="1" si="55">R21*$E21</f>
        <v>0</v>
      </c>
      <c r="S22" s="22">
        <f t="shared" ref="S22" ca="1" si="56">S21*$E21</f>
        <v>301860</v>
      </c>
      <c r="T22" s="16"/>
      <c r="U22" s="17"/>
      <c r="V22" s="18"/>
      <c r="W22" s="19"/>
      <c r="X22" s="20"/>
    </row>
    <row r="23" spans="1:24" s="3" customFormat="1">
      <c r="A23" s="199"/>
      <c r="B23" s="199"/>
      <c r="C23" s="200" t="s">
        <v>258</v>
      </c>
      <c r="D23" s="199" t="str">
        <f>VLOOKUP(C23,'仕掛品名寄（貼付）'!B:C,2,FALSE)</f>
        <v>その他</v>
      </c>
      <c r="E23" s="199">
        <f>VLOOKUP(D23,'仕掛品標準単価一覧表（貼付）'!B:G,6,FALSE)</f>
        <v>1080</v>
      </c>
      <c r="F23" s="12" t="s">
        <v>246</v>
      </c>
      <c r="G23" s="13">
        <v>0</v>
      </c>
      <c r="H23" s="13">
        <f ca="1">SUMIF('1.3②原材料使用'!B:E,C23,'1.3②原材料使用'!E:E)</f>
        <v>0</v>
      </c>
      <c r="I23" s="13">
        <f ca="1">SUMIF('2.10原液別作業時間'!A:B,C23,'2.10原液別作業時間'!B:B)</f>
        <v>0</v>
      </c>
      <c r="J23" s="13">
        <f ca="1">SUM(G23:H23,K23)</f>
        <v>0</v>
      </c>
      <c r="K23" s="13">
        <f ca="1">SUMIF('2.2⑤純増減→前工程費'!B:E,C23,'2.2⑤純増減→前工程費'!E:E)</f>
        <v>0</v>
      </c>
      <c r="L23" s="13">
        <f ca="1">SUMIF('2.6完成品'!C:D,C23,'2.6完成品'!D:D)</f>
        <v>0</v>
      </c>
      <c r="M23" s="13">
        <f ca="1">SUMIF('2.3研究費'!D:E,C23,'2.3研究費'!E:E)</f>
        <v>0</v>
      </c>
      <c r="N23" s="13">
        <f ca="1">SUMIF('2.4販促費'!D:E,C23,'2.4販促費'!E:E)</f>
        <v>0</v>
      </c>
      <c r="O23" s="13">
        <f ca="1">SUMIF('2.5廃棄処分'!D:E,C23,'2.5廃棄処分'!E:E)</f>
        <v>0</v>
      </c>
      <c r="P23" s="13">
        <f ca="1">SUMIF('2.1④異種原液'!D:E,C23,'2.1④異種原液'!E:E)</f>
        <v>0</v>
      </c>
      <c r="Q23" s="14">
        <f ca="1">SUMIF('2.7製造部生産分'!D:I,C23,'2.7製造部生産分'!H:H)</f>
        <v>0</v>
      </c>
      <c r="R23" s="15">
        <f ca="1">-(G23+H23+K23-L23-M23-N23-O23-P23-Q23-S23)</f>
        <v>0</v>
      </c>
      <c r="S23" s="13">
        <f ca="1">SUMIF('2.9原液在庫'!B:H,C23,'2.9原液在庫'!H:H)</f>
        <v>0</v>
      </c>
      <c r="T23" s="16">
        <f ca="1">IFERROR(SUM(G24:K24)/(G23+H23+K23),0)</f>
        <v>0</v>
      </c>
      <c r="U23" s="17" t="str">
        <f>C23</f>
        <v>15RB海</v>
      </c>
      <c r="V23" s="18">
        <f ca="1">IF(ISERROR(SUM(G24:K24)/SUM(L23:Q23,S23)),0,SUM(G24:K24)/SUM(L23:Q23,S23))</f>
        <v>0</v>
      </c>
      <c r="W23" s="19">
        <f ca="1">V23</f>
        <v>0</v>
      </c>
      <c r="X23" s="20">
        <f ca="1">W23/1000</f>
        <v>0</v>
      </c>
    </row>
    <row r="24" spans="1:24" s="3" customFormat="1">
      <c r="A24" s="199"/>
      <c r="B24" s="199"/>
      <c r="C24" s="207"/>
      <c r="D24" s="199"/>
      <c r="E24" s="199"/>
      <c r="F24" s="21" t="s">
        <v>247</v>
      </c>
      <c r="G24" s="22" t="s">
        <v>254</v>
      </c>
      <c r="H24" s="184"/>
      <c r="I24" s="23">
        <f ca="1">I23*労務費経費単価SC!D$7</f>
        <v>0</v>
      </c>
      <c r="J24" s="23">
        <f ca="1">J23*労務費経費単価SC!D$11</f>
        <v>0</v>
      </c>
      <c r="K24" s="22">
        <f ca="1">K23*$E23</f>
        <v>0</v>
      </c>
      <c r="L24" s="22">
        <f ca="1">L23*$E23</f>
        <v>0</v>
      </c>
      <c r="M24" s="22">
        <f t="shared" ref="M24" ca="1" si="57">M23*$E23</f>
        <v>0</v>
      </c>
      <c r="N24" s="22">
        <f t="shared" ref="N24" ca="1" si="58">N23*$E23</f>
        <v>0</v>
      </c>
      <c r="O24" s="22">
        <f t="shared" ref="O24" ca="1" si="59">O23*$E23</f>
        <v>0</v>
      </c>
      <c r="P24" s="22">
        <f t="shared" ref="P24" ca="1" si="60">P23*$E23</f>
        <v>0</v>
      </c>
      <c r="Q24" s="22">
        <f t="shared" ref="Q24" ca="1" si="61">Q23*$E23</f>
        <v>0</v>
      </c>
      <c r="R24" s="22">
        <f t="shared" ref="R24" ca="1" si="62">R23*$E23</f>
        <v>0</v>
      </c>
      <c r="S24" s="22">
        <f t="shared" ref="S24" ca="1" si="63">S23*$E23</f>
        <v>0</v>
      </c>
      <c r="T24" s="16"/>
      <c r="U24" s="17"/>
      <c r="V24" s="18"/>
      <c r="W24" s="19"/>
      <c r="X24" s="20"/>
    </row>
    <row r="25" spans="1:24" s="3" customFormat="1">
      <c r="A25" s="199"/>
      <c r="B25" s="199"/>
      <c r="C25" s="199" t="s">
        <v>259</v>
      </c>
      <c r="D25" s="199" t="str">
        <f>VLOOKUP(C25,'仕掛品名寄（貼付）'!B:C,2,FALSE)</f>
        <v>HI</v>
      </c>
      <c r="E25" s="199">
        <f>VLOOKUP(D25,'仕掛品標準単価一覧表（貼付）'!B:G,6,FALSE)</f>
        <v>1176</v>
      </c>
      <c r="F25" s="12" t="s">
        <v>246</v>
      </c>
      <c r="G25" s="13">
        <v>892</v>
      </c>
      <c r="H25" s="13">
        <f ca="1">SUMIF('1.3②原材料使用'!B:E,C25,'1.3②原材料使用'!E:E)</f>
        <v>0</v>
      </c>
      <c r="I25" s="13">
        <f ca="1">SUMIF('2.10原液別作業時間'!A:B,C25,'2.10原液別作業時間'!B:B)</f>
        <v>0</v>
      </c>
      <c r="J25" s="13">
        <f ca="1">SUM(G25:H25,K25)</f>
        <v>892</v>
      </c>
      <c r="K25" s="13">
        <f ca="1">SUMIF('2.2⑤純増減→前工程費'!B:E,C25,'2.2⑤純増減→前工程費'!E:E)</f>
        <v>0</v>
      </c>
      <c r="L25" s="13">
        <f ca="1">SUMIF('2.6完成品'!C:D,C25,'2.6完成品'!D:D)</f>
        <v>0</v>
      </c>
      <c r="M25" s="13">
        <f ca="1">SUMIF('2.3研究費'!D:E,C25,'2.3研究費'!E:E)</f>
        <v>0</v>
      </c>
      <c r="N25" s="13">
        <f ca="1">SUMIF('2.4販促費'!D:E,C25,'2.4販促費'!E:E)</f>
        <v>0</v>
      </c>
      <c r="O25" s="13">
        <f ca="1">SUMIF('2.5廃棄処分'!D:E,C25,'2.5廃棄処分'!E:E)</f>
        <v>0</v>
      </c>
      <c r="P25" s="13">
        <f ca="1">SUMIF('2.1④異種原液'!D:E,C25,'2.1④異種原液'!E:E)</f>
        <v>0</v>
      </c>
      <c r="Q25" s="14">
        <f ca="1">SUMIF('2.7製造部生産分'!D:I,C25,'2.7製造部生産分'!H:H)</f>
        <v>0</v>
      </c>
      <c r="R25" s="15">
        <f ca="1">-(G25+H25+K25-L25-M25-N25-O25-P25-Q25-S25)</f>
        <v>0</v>
      </c>
      <c r="S25" s="13">
        <f ca="1">SUMIF('2.9原液在庫'!B:H,C25,'2.9原液在庫'!H:H)</f>
        <v>892</v>
      </c>
      <c r="T25" s="16">
        <f ca="1">IFERROR(SUM(G26:K26)/(G25+H25+K25),0)</f>
        <v>1102.4369496426575</v>
      </c>
      <c r="U25" s="17" t="str">
        <f>C25</f>
        <v>15HI</v>
      </c>
      <c r="V25" s="18">
        <f ca="1">IF(ISERROR(SUM(G26:K26)/SUM(L25:Q25,S25)),0,SUM(G26:K26)/SUM(L25:Q25,S25))</f>
        <v>1102.4369496426575</v>
      </c>
      <c r="W25" s="19">
        <f ca="1">V25</f>
        <v>1102.4369496426575</v>
      </c>
      <c r="X25" s="20">
        <f ca="1">W25/1000</f>
        <v>1.1024369496426576</v>
      </c>
    </row>
    <row r="26" spans="1:24" s="3" customFormat="1">
      <c r="A26" s="199"/>
      <c r="B26" s="199"/>
      <c r="C26" s="199"/>
      <c r="D26" s="199"/>
      <c r="E26" s="199"/>
      <c r="F26" s="21" t="s">
        <v>247</v>
      </c>
      <c r="G26" s="22">
        <v>956613.75908125052</v>
      </c>
      <c r="H26" s="184"/>
      <c r="I26" s="23">
        <f ca="1">I25*労務費経費単価SC!D$7</f>
        <v>0</v>
      </c>
      <c r="J26" s="23">
        <f ca="1">J25*労務費経費単価SC!D$11</f>
        <v>26760</v>
      </c>
      <c r="K26" s="22">
        <f ca="1">K25*$E25</f>
        <v>0</v>
      </c>
      <c r="L26" s="22">
        <f ca="1">L25*$E25</f>
        <v>0</v>
      </c>
      <c r="M26" s="22">
        <f t="shared" ref="M26" ca="1" si="64">M25*$E25</f>
        <v>0</v>
      </c>
      <c r="N26" s="22">
        <f t="shared" ref="N26" ca="1" si="65">N25*$E25</f>
        <v>0</v>
      </c>
      <c r="O26" s="22">
        <f t="shared" ref="O26" ca="1" si="66">O25*$E25</f>
        <v>0</v>
      </c>
      <c r="P26" s="22">
        <f t="shared" ref="P26" ca="1" si="67">P25*$E25</f>
        <v>0</v>
      </c>
      <c r="Q26" s="22">
        <f t="shared" ref="Q26" ca="1" si="68">Q25*$E25</f>
        <v>0</v>
      </c>
      <c r="R26" s="22">
        <f t="shared" ref="R26" ca="1" si="69">R25*$E25</f>
        <v>0</v>
      </c>
      <c r="S26" s="22">
        <f t="shared" ref="S26" ca="1" si="70">S25*$E25</f>
        <v>1048992</v>
      </c>
      <c r="T26" s="16"/>
      <c r="U26" s="17"/>
      <c r="V26" s="18"/>
      <c r="W26" s="19"/>
      <c r="X26" s="20"/>
    </row>
    <row r="27" spans="1:24" s="3" customFormat="1">
      <c r="A27" s="199"/>
      <c r="B27" s="199"/>
      <c r="C27" s="199" t="s">
        <v>260</v>
      </c>
      <c r="D27" s="199" t="str">
        <f>VLOOKUP(C27,'仕掛品名寄（貼付）'!B:C,2,FALSE)</f>
        <v>その他</v>
      </c>
      <c r="E27" s="199">
        <f>VLOOKUP(D27,'仕掛品標準単価一覧表（貼付）'!B:G,6,FALSE)</f>
        <v>1080</v>
      </c>
      <c r="F27" s="12" t="s">
        <v>246</v>
      </c>
      <c r="G27" s="13">
        <v>1154.5</v>
      </c>
      <c r="H27" s="13">
        <f ca="1">SUMIF('1.3②原材料使用'!B:E,C27,'1.3②原材料使用'!E:E)</f>
        <v>0</v>
      </c>
      <c r="I27" s="13">
        <f ca="1">SUMIF('2.10原液別作業時間'!A:B,C27,'2.10原液別作業時間'!B:B)</f>
        <v>0</v>
      </c>
      <c r="J27" s="13">
        <f ca="1">SUM(G27:H27,K27)</f>
        <v>1154.5</v>
      </c>
      <c r="K27" s="13">
        <f ca="1">SUMIF('2.2⑤純増減→前工程費'!B:E,C27,'2.2⑤純増減→前工程費'!E:E)</f>
        <v>0</v>
      </c>
      <c r="L27" s="13">
        <f ca="1">SUMIF('2.6完成品'!C:D,C27,'2.6完成品'!D:D)</f>
        <v>0</v>
      </c>
      <c r="M27" s="13">
        <f ca="1">SUMIF('2.3研究費'!D:E,C27,'2.3研究費'!E:E)</f>
        <v>0</v>
      </c>
      <c r="N27" s="13">
        <f ca="1">SUMIF('2.4販促費'!D:E,C27,'2.4販促費'!E:E)</f>
        <v>0</v>
      </c>
      <c r="O27" s="13">
        <f ca="1">SUMIF('2.5廃棄処分'!D:E,C27,'2.5廃棄処分'!E:E)</f>
        <v>0</v>
      </c>
      <c r="P27" s="13">
        <f ca="1">SUMIF('2.1④異種原液'!D:E,C27,'2.1④異種原液'!E:E)</f>
        <v>0</v>
      </c>
      <c r="Q27" s="14">
        <f ca="1">SUMIF('2.7製造部生産分'!D:I,C27,'2.7製造部生産分'!H:H)</f>
        <v>0</v>
      </c>
      <c r="R27" s="15">
        <f ca="1">-(G27+H27+K27-L27-M27-N27-O27-P27-Q27-S27)</f>
        <v>0</v>
      </c>
      <c r="S27" s="13">
        <f ca="1">SUMIF('2.9原液在庫'!B:H,C27,'2.9原液在庫'!H:H)</f>
        <v>1154.5</v>
      </c>
      <c r="T27" s="16">
        <f ca="1">IFERROR(SUM(G28:K28)/(G27+H27+K27),0)</f>
        <v>1082.1401760040349</v>
      </c>
      <c r="U27" s="17" t="str">
        <f>C27</f>
        <v>15HIﾆ</v>
      </c>
      <c r="V27" s="18">
        <f ca="1">IF(ISERROR(SUM(G28:K28)/SUM(L27:Q27,S27)),0,SUM(G28:K28)/SUM(L27:Q27,S27))</f>
        <v>1082.1401760040349</v>
      </c>
      <c r="W27" s="19">
        <f ca="1">V27</f>
        <v>1082.1401760040349</v>
      </c>
      <c r="X27" s="20">
        <f ca="1">W27/1000</f>
        <v>1.0821401760040348</v>
      </c>
    </row>
    <row r="28" spans="1:24" s="3" customFormat="1">
      <c r="A28" s="199"/>
      <c r="B28" s="199"/>
      <c r="C28" s="199"/>
      <c r="D28" s="199"/>
      <c r="E28" s="199"/>
      <c r="F28" s="21" t="s">
        <v>247</v>
      </c>
      <c r="G28" s="22">
        <v>1214695.8331966582</v>
      </c>
      <c r="H28" s="184"/>
      <c r="I28" s="23">
        <f ca="1">I27*労務費経費単価SC!D$7</f>
        <v>0</v>
      </c>
      <c r="J28" s="23">
        <f ca="1">J27*労務費経費単価SC!D$11</f>
        <v>34635</v>
      </c>
      <c r="K28" s="22">
        <f ca="1">K27*$E27</f>
        <v>0</v>
      </c>
      <c r="L28" s="22">
        <f ca="1">L27*$E27</f>
        <v>0</v>
      </c>
      <c r="M28" s="22">
        <f t="shared" ref="M28" ca="1" si="71">M27*$E27</f>
        <v>0</v>
      </c>
      <c r="N28" s="22">
        <f t="shared" ref="N28" ca="1" si="72">N27*$E27</f>
        <v>0</v>
      </c>
      <c r="O28" s="22">
        <f t="shared" ref="O28" ca="1" si="73">O27*$E27</f>
        <v>0</v>
      </c>
      <c r="P28" s="22">
        <f t="shared" ref="P28" ca="1" si="74">P27*$E27</f>
        <v>0</v>
      </c>
      <c r="Q28" s="22">
        <f t="shared" ref="Q28" ca="1" si="75">Q27*$E27</f>
        <v>0</v>
      </c>
      <c r="R28" s="22">
        <f t="shared" ref="R28" ca="1" si="76">R27*$E27</f>
        <v>0</v>
      </c>
      <c r="S28" s="22">
        <f t="shared" ref="S28" ca="1" si="77">S27*$E27</f>
        <v>1246860</v>
      </c>
      <c r="T28" s="16"/>
      <c r="U28" s="17"/>
      <c r="V28" s="18"/>
      <c r="W28" s="19"/>
      <c r="X28" s="20"/>
    </row>
    <row r="29" spans="1:24" s="3" customFormat="1">
      <c r="A29" s="199"/>
      <c r="B29" s="199"/>
      <c r="C29" s="199" t="s">
        <v>261</v>
      </c>
      <c r="D29" s="199" t="str">
        <f>VLOOKUP(C29,'仕掛品名寄（貼付）'!B:C,2,FALSE)</f>
        <v>その他</v>
      </c>
      <c r="E29" s="199">
        <f>VLOOKUP(D29,'仕掛品標準単価一覧表（貼付）'!B:G,6,FALSE)</f>
        <v>1080</v>
      </c>
      <c r="F29" s="12" t="s">
        <v>246</v>
      </c>
      <c r="G29" s="13">
        <v>0</v>
      </c>
      <c r="H29" s="13">
        <f ca="1">SUMIF('1.3②原材料使用'!B:E,C29,'1.3②原材料使用'!E:E)</f>
        <v>0</v>
      </c>
      <c r="I29" s="13">
        <f ca="1">SUMIF('2.10原液別作業時間'!A:B,C29,'2.10原液別作業時間'!B:B)</f>
        <v>0</v>
      </c>
      <c r="J29" s="13">
        <f ca="1">SUM(G29:H29,K29)</f>
        <v>0</v>
      </c>
      <c r="K29" s="13">
        <f ca="1">SUMIF('2.2⑤純増減→前工程費'!B:E,C29,'2.2⑤純増減→前工程費'!E:E)</f>
        <v>0</v>
      </c>
      <c r="L29" s="13">
        <f ca="1">SUMIF('2.6完成品'!C:D,C29,'2.6完成品'!D:D)</f>
        <v>0</v>
      </c>
      <c r="M29" s="13">
        <f ca="1">SUMIF('2.3研究費'!D:E,C29,'2.3研究費'!E:E)</f>
        <v>0</v>
      </c>
      <c r="N29" s="13">
        <f ca="1">SUMIF('2.4販促費'!D:E,C29,'2.4販促費'!E:E)</f>
        <v>0</v>
      </c>
      <c r="O29" s="13">
        <f ca="1">SUMIF('2.5廃棄処分'!D:E,C29,'2.5廃棄処分'!E:E)</f>
        <v>0</v>
      </c>
      <c r="P29" s="13">
        <f ca="1">SUMIF('2.1④異種原液'!D:E,C29,'2.1④異種原液'!E:E)</f>
        <v>0</v>
      </c>
      <c r="Q29" s="14">
        <f ca="1">SUMIF('2.7製造部生産分'!D:I,C29,'2.7製造部生産分'!H:H)</f>
        <v>0</v>
      </c>
      <c r="R29" s="15">
        <f ca="1">-(G29+H29+K29-L29-M29-N29-O29-P29-Q29-S29)</f>
        <v>0</v>
      </c>
      <c r="S29" s="13">
        <f ca="1">SUMIF('2.9原液在庫'!B:H,C29,'2.9原液在庫'!H:H)</f>
        <v>0</v>
      </c>
      <c r="T29" s="16">
        <f ca="1">IFERROR(SUM(G30:K30)/(G29+H29+K29),0)</f>
        <v>0</v>
      </c>
      <c r="U29" s="17" t="str">
        <f>C29</f>
        <v>15HI海</v>
      </c>
      <c r="V29" s="18">
        <f ca="1">IF(ISERROR(SUM(G30:K30)/SUM(L29:Q29,S29)),0,SUM(G30:K30)/SUM(L29:Q29,S29))</f>
        <v>0</v>
      </c>
      <c r="W29" s="19">
        <f ca="1">V29</f>
        <v>0</v>
      </c>
      <c r="X29" s="20">
        <f ca="1">W29/1000</f>
        <v>0</v>
      </c>
    </row>
    <row r="30" spans="1:24" s="3" customFormat="1">
      <c r="A30" s="199"/>
      <c r="B30" s="199"/>
      <c r="C30" s="199"/>
      <c r="D30" s="199"/>
      <c r="E30" s="199"/>
      <c r="F30" s="21" t="s">
        <v>247</v>
      </c>
      <c r="G30" s="22" t="s">
        <v>254</v>
      </c>
      <c r="H30" s="184"/>
      <c r="I30" s="23">
        <f ca="1">I29*労務費経費単価SC!D$7</f>
        <v>0</v>
      </c>
      <c r="J30" s="23">
        <f ca="1">J29*労務費経費単価SC!D$11</f>
        <v>0</v>
      </c>
      <c r="K30" s="22">
        <f ca="1">K29*$E29</f>
        <v>0</v>
      </c>
      <c r="L30" s="22">
        <f ca="1">L29*$E29</f>
        <v>0</v>
      </c>
      <c r="M30" s="22">
        <f t="shared" ref="M30" ca="1" si="78">M29*$E29</f>
        <v>0</v>
      </c>
      <c r="N30" s="22">
        <f t="shared" ref="N30" ca="1" si="79">N29*$E29</f>
        <v>0</v>
      </c>
      <c r="O30" s="22">
        <f t="shared" ref="O30" ca="1" si="80">O29*$E29</f>
        <v>0</v>
      </c>
      <c r="P30" s="22">
        <f t="shared" ref="P30" ca="1" si="81">P29*$E29</f>
        <v>0</v>
      </c>
      <c r="Q30" s="22">
        <f t="shared" ref="Q30" ca="1" si="82">Q29*$E29</f>
        <v>0</v>
      </c>
      <c r="R30" s="22">
        <f t="shared" ref="R30" ca="1" si="83">R29*$E29</f>
        <v>0</v>
      </c>
      <c r="S30" s="22">
        <f t="shared" ref="S30" ca="1" si="84">S29*$E29</f>
        <v>0</v>
      </c>
      <c r="T30" s="16"/>
      <c r="U30" s="17"/>
      <c r="V30" s="18"/>
      <c r="W30" s="19"/>
      <c r="X30" s="20"/>
    </row>
    <row r="31" spans="1:24" s="3" customFormat="1">
      <c r="A31" s="199"/>
      <c r="B31" s="199"/>
      <c r="C31" s="199" t="s">
        <v>262</v>
      </c>
      <c r="D31" s="199" t="str">
        <f>VLOOKUP(C31,'仕掛品名寄（貼付）'!B:C,2,FALSE)</f>
        <v>その他</v>
      </c>
      <c r="E31" s="199">
        <f>VLOOKUP(D31,'仕掛品標準単価一覧表（貼付）'!B:G,6,FALSE)</f>
        <v>1080</v>
      </c>
      <c r="F31" s="12" t="s">
        <v>246</v>
      </c>
      <c r="G31" s="13">
        <v>0</v>
      </c>
      <c r="H31" s="13">
        <f ca="1">SUMIF('1.3②原材料使用'!B:E,C31,'1.3②原材料使用'!E:E)</f>
        <v>0</v>
      </c>
      <c r="I31" s="13">
        <f ca="1">SUMIF('2.10原液別作業時間'!A:B,C31,'2.10原液別作業時間'!B:B)</f>
        <v>0</v>
      </c>
      <c r="J31" s="13">
        <f ca="1">SUM(G31:H31,K31)</f>
        <v>0</v>
      </c>
      <c r="K31" s="13">
        <f ca="1">SUMIF('2.2⑤純増減→前工程費'!B:E,C31,'2.2⑤純増減→前工程費'!E:E)</f>
        <v>0</v>
      </c>
      <c r="L31" s="13">
        <f ca="1">SUMIF('2.6完成品'!C:D,C31,'2.6完成品'!D:D)</f>
        <v>0</v>
      </c>
      <c r="M31" s="13">
        <f ca="1">SUMIF('2.3研究費'!D:E,C31,'2.3研究費'!E:E)</f>
        <v>0</v>
      </c>
      <c r="N31" s="13">
        <f ca="1">SUMIF('2.4販促費'!D:E,C31,'2.4販促費'!E:E)</f>
        <v>0</v>
      </c>
      <c r="O31" s="13">
        <f ca="1">SUMIF('2.5廃棄処分'!D:E,C31,'2.5廃棄処分'!E:E)</f>
        <v>0</v>
      </c>
      <c r="P31" s="13">
        <f ca="1">SUMIF('2.1④異種原液'!D:E,C31,'2.1④異種原液'!E:E)</f>
        <v>0</v>
      </c>
      <c r="Q31" s="14">
        <f ca="1">SUMIF('2.7製造部生産分'!D:I,C31,'2.7製造部生産分'!H:H)</f>
        <v>0</v>
      </c>
      <c r="R31" s="15">
        <f ca="1">-(G31+H31+K31-L31-M31-N31-O31-P31-Q31-S31)</f>
        <v>0</v>
      </c>
      <c r="S31" s="13">
        <f ca="1">SUMIF('2.9原液在庫'!B:H,C31,'2.9原液在庫'!H:H)</f>
        <v>0</v>
      </c>
      <c r="T31" s="16">
        <f ca="1">IFERROR(SUM(G32:K32)/(G31+H31+K31),0)</f>
        <v>0</v>
      </c>
      <c r="U31" s="17" t="str">
        <f>C31</f>
        <v>15HI海ｸ</v>
      </c>
      <c r="V31" s="18">
        <f ca="1">IF(ISERROR(SUM(G32:K32)/SUM(L31:Q31,S31)),0,SUM(G32:K32)/SUM(L31:Q31,S31))</f>
        <v>0</v>
      </c>
      <c r="W31" s="19">
        <f ca="1">V31</f>
        <v>0</v>
      </c>
      <c r="X31" s="20">
        <f ca="1">W31/1000</f>
        <v>0</v>
      </c>
    </row>
    <row r="32" spans="1:24" s="3" customFormat="1">
      <c r="A32" s="199"/>
      <c r="B32" s="199"/>
      <c r="C32" s="199"/>
      <c r="D32" s="199"/>
      <c r="E32" s="199"/>
      <c r="F32" s="21" t="s">
        <v>247</v>
      </c>
      <c r="G32" s="22" t="s">
        <v>254</v>
      </c>
      <c r="H32" s="184"/>
      <c r="I32" s="23">
        <f ca="1">I31*労務費経費単価SC!D$7</f>
        <v>0</v>
      </c>
      <c r="J32" s="23">
        <f ca="1">J31*労務費経費単価SC!D$11</f>
        <v>0</v>
      </c>
      <c r="K32" s="22">
        <f ca="1">K31*$E31</f>
        <v>0</v>
      </c>
      <c r="L32" s="22">
        <f ca="1">L31*$E31</f>
        <v>0</v>
      </c>
      <c r="M32" s="22">
        <f t="shared" ref="M32" ca="1" si="85">M31*$E31</f>
        <v>0</v>
      </c>
      <c r="N32" s="22">
        <f t="shared" ref="N32" ca="1" si="86">N31*$E31</f>
        <v>0</v>
      </c>
      <c r="O32" s="22">
        <f t="shared" ref="O32" ca="1" si="87">O31*$E31</f>
        <v>0</v>
      </c>
      <c r="P32" s="22">
        <f t="shared" ref="P32" ca="1" si="88">P31*$E31</f>
        <v>0</v>
      </c>
      <c r="Q32" s="22">
        <f t="shared" ref="Q32" ca="1" si="89">Q31*$E31</f>
        <v>0</v>
      </c>
      <c r="R32" s="22">
        <f t="shared" ref="R32" ca="1" si="90">R31*$E31</f>
        <v>0</v>
      </c>
      <c r="S32" s="22">
        <f t="shared" ref="S32" ca="1" si="91">S31*$E31</f>
        <v>0</v>
      </c>
      <c r="T32" s="16"/>
      <c r="U32" s="17"/>
      <c r="V32" s="18"/>
      <c r="W32" s="19"/>
      <c r="X32" s="20"/>
    </row>
    <row r="33" spans="1:24" s="3" customFormat="1">
      <c r="A33" s="199"/>
      <c r="B33" s="199"/>
      <c r="C33" s="206" t="s">
        <v>263</v>
      </c>
      <c r="D33" s="199" t="str">
        <f>VLOOKUP(C33,'仕掛品名寄（貼付）'!B:C,2,FALSE)</f>
        <v>その他</v>
      </c>
      <c r="E33" s="199">
        <f>VLOOKUP(D33,'仕掛品標準単価一覧表（貼付）'!B:G,6,FALSE)</f>
        <v>1080</v>
      </c>
      <c r="F33" s="12" t="s">
        <v>246</v>
      </c>
      <c r="G33" s="24">
        <v>0</v>
      </c>
      <c r="H33" s="13">
        <f ca="1">SUMIF('1.3②原材料使用'!B:E,C33,'1.3②原材料使用'!E:E)</f>
        <v>0</v>
      </c>
      <c r="I33" s="13">
        <f ca="1">SUMIF('2.10原液別作業時間'!A:B,C33,'2.10原液別作業時間'!B:B)</f>
        <v>0</v>
      </c>
      <c r="J33" s="13">
        <f ca="1">SUM(G33:H33,K33)</f>
        <v>0</v>
      </c>
      <c r="K33" s="13">
        <f ca="1">SUMIF('2.2⑤純増減→前工程費'!B:E,C33,'2.2⑤純増減→前工程費'!E:E)</f>
        <v>0</v>
      </c>
      <c r="L33" s="13">
        <f ca="1">SUMIF('2.6完成品'!C:D,C33,'2.6完成品'!D:D)</f>
        <v>0</v>
      </c>
      <c r="M33" s="13">
        <f ca="1">SUMIF('2.3研究費'!D:E,C33,'2.3研究費'!E:E)</f>
        <v>0</v>
      </c>
      <c r="N33" s="13">
        <f ca="1">SUMIF('2.4販促費'!D:E,C33,'2.4販促費'!E:E)</f>
        <v>0</v>
      </c>
      <c r="O33" s="13">
        <f ca="1">SUMIF('2.5廃棄処分'!D:E,C33,'2.5廃棄処分'!E:E)</f>
        <v>0</v>
      </c>
      <c r="P33" s="13">
        <f ca="1">SUMIF('2.1④異種原液'!D:E,C33,'2.1④異種原液'!E:E)</f>
        <v>0</v>
      </c>
      <c r="Q33" s="14">
        <f ca="1">SUMIF('2.7製造部生産分'!D:I,C33,'2.7製造部生産分'!H:H)</f>
        <v>0</v>
      </c>
      <c r="R33" s="15">
        <f ca="1">-(G33+H33+K33-L33-M33-N33-O33-P33-Q33-S33)</f>
        <v>0</v>
      </c>
      <c r="S33" s="13">
        <f ca="1">SUMIF('2.9原液在庫'!B:H,C33,'2.9原液在庫'!H:H)</f>
        <v>0</v>
      </c>
      <c r="T33" s="16">
        <f ca="1">IFERROR(SUM(G34:K34)/(G33+H33+K33),0)</f>
        <v>0</v>
      </c>
      <c r="U33" s="17" t="str">
        <f>C33</f>
        <v>15HI海ｸﾄ</v>
      </c>
      <c r="V33" s="18">
        <f ca="1">IF(ISERROR(SUM(G34:K34)/SUM(L33:Q33,S33)),0,SUM(G34:K34)/SUM(L33:Q33,S33))</f>
        <v>0</v>
      </c>
      <c r="W33" s="19">
        <f ca="1">V33</f>
        <v>0</v>
      </c>
      <c r="X33" s="20">
        <f ca="1">W33/1000</f>
        <v>0</v>
      </c>
    </row>
    <row r="34" spans="1:24" s="3" customFormat="1">
      <c r="A34" s="199"/>
      <c r="B34" s="199"/>
      <c r="C34" s="199"/>
      <c r="D34" s="199"/>
      <c r="E34" s="199"/>
      <c r="F34" s="21" t="s">
        <v>247</v>
      </c>
      <c r="G34" s="22" t="s">
        <v>254</v>
      </c>
      <c r="H34" s="184"/>
      <c r="I34" s="23">
        <f ca="1">I33*労務費経費単価SC!D$7</f>
        <v>0</v>
      </c>
      <c r="J34" s="23">
        <f ca="1">J33*労務費経費単価SC!D$11</f>
        <v>0</v>
      </c>
      <c r="K34" s="22">
        <f ca="1">K33*$E33</f>
        <v>0</v>
      </c>
      <c r="L34" s="22">
        <f ca="1">L33*$E33</f>
        <v>0</v>
      </c>
      <c r="M34" s="22">
        <f t="shared" ref="M34" ca="1" si="92">M33*$E33</f>
        <v>0</v>
      </c>
      <c r="N34" s="22">
        <f t="shared" ref="N34" ca="1" si="93">N33*$E33</f>
        <v>0</v>
      </c>
      <c r="O34" s="22">
        <f t="shared" ref="O34" ca="1" si="94">O33*$E33</f>
        <v>0</v>
      </c>
      <c r="P34" s="22">
        <f t="shared" ref="P34" ca="1" si="95">P33*$E33</f>
        <v>0</v>
      </c>
      <c r="Q34" s="22">
        <f t="shared" ref="Q34" ca="1" si="96">Q33*$E33</f>
        <v>0</v>
      </c>
      <c r="R34" s="22">
        <f t="shared" ref="R34" ca="1" si="97">R33*$E33</f>
        <v>0</v>
      </c>
      <c r="S34" s="22">
        <f t="shared" ref="S34" ca="1" si="98">S33*$E33</f>
        <v>0</v>
      </c>
      <c r="T34" s="16"/>
      <c r="U34" s="17"/>
      <c r="V34" s="18"/>
      <c r="W34" s="19"/>
      <c r="X34" s="20"/>
    </row>
    <row r="35" spans="1:24" s="3" customFormat="1">
      <c r="A35" s="199"/>
      <c r="B35" s="199"/>
      <c r="C35" s="199" t="s">
        <v>21</v>
      </c>
      <c r="D35" s="199" t="str">
        <f>VLOOKUP(C35,'仕掛品名寄（貼付）'!B:C,2,FALSE)</f>
        <v>その他</v>
      </c>
      <c r="E35" s="199">
        <f>VLOOKUP(D35,'仕掛品標準単価一覧表（貼付）'!B:G,6,FALSE)</f>
        <v>1080</v>
      </c>
      <c r="F35" s="12" t="s">
        <v>246</v>
      </c>
      <c r="G35" s="24">
        <v>0</v>
      </c>
      <c r="H35" s="13">
        <f ca="1">SUMIF('1.3②原材料使用'!B:E,C35,'1.3②原材料使用'!E:E)</f>
        <v>0</v>
      </c>
      <c r="I35" s="13">
        <f ca="1">SUMIF('2.10原液別作業時間'!A:B,C35,'2.10原液別作業時間'!B:B)</f>
        <v>0</v>
      </c>
      <c r="J35" s="13">
        <f ca="1">SUM(G35:H35,K35)</f>
        <v>0</v>
      </c>
      <c r="K35" s="13">
        <f ca="1">SUMIF('2.2⑤純増減→前工程費'!B:E,C35,'2.2⑤純増減→前工程費'!E:E)</f>
        <v>0</v>
      </c>
      <c r="L35" s="13">
        <f ca="1">SUMIF('2.6完成品'!C:D,C35,'2.6完成品'!D:D)</f>
        <v>0</v>
      </c>
      <c r="M35" s="13">
        <f ca="1">SUMIF('2.3研究費'!D:E,C35,'2.3研究費'!E:E)</f>
        <v>0</v>
      </c>
      <c r="N35" s="13">
        <f ca="1">SUMIF('2.4販促費'!D:E,C35,'2.4販促費'!E:E)</f>
        <v>0</v>
      </c>
      <c r="O35" s="13">
        <f ca="1">SUMIF('2.5廃棄処分'!D:E,C35,'2.5廃棄処分'!E:E)</f>
        <v>0</v>
      </c>
      <c r="P35" s="13">
        <f ca="1">SUMIF('2.1④異種原液'!D:E,C35,'2.1④異種原液'!E:E)</f>
        <v>0</v>
      </c>
      <c r="Q35" s="14">
        <f ca="1">SUMIF('2.7製造部生産分'!D:I,C35,'2.7製造部生産分'!H:H)</f>
        <v>0</v>
      </c>
      <c r="R35" s="15">
        <f ca="1">-(G35+H35+K35-L35-M35-N35-O35-P35-Q35-S35)</f>
        <v>0</v>
      </c>
      <c r="S35" s="13">
        <f ca="1">SUMIF('2.9原液在庫'!B:H,C35,'2.9原液在庫'!H:H)</f>
        <v>0</v>
      </c>
      <c r="T35" s="16">
        <f ca="1">IFERROR(SUM(G36:K36)/(G35+H35+K35),0)</f>
        <v>0</v>
      </c>
      <c r="U35" s="17" t="str">
        <f>C35</f>
        <v>15HIﾆﾊﾟ</v>
      </c>
      <c r="V35" s="18">
        <f ca="1">IF(ISERROR(SUM(G36:K36)/SUM(L35:Q35,S35)),0,SUM(G36:K36)/SUM(L35:Q35,S35))</f>
        <v>0</v>
      </c>
      <c r="W35" s="19">
        <f ca="1">V35</f>
        <v>0</v>
      </c>
      <c r="X35" s="20">
        <f ca="1">W35/1000</f>
        <v>0</v>
      </c>
    </row>
    <row r="36" spans="1:24" s="3" customFormat="1">
      <c r="A36" s="199"/>
      <c r="B36" s="199"/>
      <c r="C36" s="199"/>
      <c r="D36" s="199"/>
      <c r="E36" s="199"/>
      <c r="F36" s="21" t="s">
        <v>247</v>
      </c>
      <c r="G36" s="22" t="s">
        <v>254</v>
      </c>
      <c r="H36" s="184"/>
      <c r="I36" s="23">
        <f ca="1">I35*労務費経費単価SC!D$7</f>
        <v>0</v>
      </c>
      <c r="J36" s="23">
        <f ca="1">J35*労務費経費単価SC!D$11</f>
        <v>0</v>
      </c>
      <c r="K36" s="22">
        <f ca="1">K35*$E35</f>
        <v>0</v>
      </c>
      <c r="L36" s="22">
        <f ca="1">L35*$E35</f>
        <v>0</v>
      </c>
      <c r="M36" s="22">
        <f t="shared" ref="M36" ca="1" si="99">M35*$E35</f>
        <v>0</v>
      </c>
      <c r="N36" s="22">
        <f t="shared" ref="N36" ca="1" si="100">N35*$E35</f>
        <v>0</v>
      </c>
      <c r="O36" s="22">
        <f t="shared" ref="O36" ca="1" si="101">O35*$E35</f>
        <v>0</v>
      </c>
      <c r="P36" s="22">
        <f t="shared" ref="P36" ca="1" si="102">P35*$E35</f>
        <v>0</v>
      </c>
      <c r="Q36" s="22">
        <f t="shared" ref="Q36" ca="1" si="103">Q35*$E35</f>
        <v>0</v>
      </c>
      <c r="R36" s="22">
        <f t="shared" ref="R36" ca="1" si="104">R35*$E35</f>
        <v>0</v>
      </c>
      <c r="S36" s="22">
        <f t="shared" ref="S36" ca="1" si="105">S35*$E35</f>
        <v>0</v>
      </c>
      <c r="T36" s="16"/>
      <c r="U36" s="17"/>
      <c r="V36" s="18"/>
      <c r="W36" s="19"/>
      <c r="X36" s="20"/>
    </row>
    <row r="37" spans="1:24" s="3" customFormat="1">
      <c r="A37" s="199"/>
      <c r="B37" s="199"/>
      <c r="C37" s="199" t="s">
        <v>20</v>
      </c>
      <c r="D37" s="199" t="str">
        <f>VLOOKUP(C37,'仕掛品名寄（貼付）'!B:C,2,FALSE)</f>
        <v>HIB海</v>
      </c>
      <c r="E37" s="199">
        <f>VLOOKUP(D37,'仕掛品標準単価一覧表（貼付）'!B:G,6,FALSE)</f>
        <v>1314</v>
      </c>
      <c r="F37" s="12" t="s">
        <v>246</v>
      </c>
      <c r="G37" s="13">
        <v>0</v>
      </c>
      <c r="H37" s="13">
        <f ca="1">SUMIF('1.3②原材料使用'!B:E,C37,'1.3②原材料使用'!E:E)</f>
        <v>0</v>
      </c>
      <c r="I37" s="13">
        <f ca="1">SUMIF('2.10原液別作業時間'!A:B,C37,'2.10原液別作業時間'!B:B)</f>
        <v>0</v>
      </c>
      <c r="J37" s="13">
        <f ca="1">SUM(G37:H37,K37)</f>
        <v>0</v>
      </c>
      <c r="K37" s="13">
        <f ca="1">SUMIF('2.2⑤純増減→前工程費'!B:E,C37,'2.2⑤純増減→前工程費'!E:E)</f>
        <v>0</v>
      </c>
      <c r="L37" s="13">
        <f ca="1">SUMIF('2.6完成品'!C:D,C37,'2.6完成品'!D:D)</f>
        <v>0</v>
      </c>
      <c r="M37" s="13">
        <f ca="1">SUMIF('2.3研究費'!D:E,C37,'2.3研究費'!E:E)</f>
        <v>0</v>
      </c>
      <c r="N37" s="13">
        <f ca="1">SUMIF('2.4販促費'!D:E,C37,'2.4販促費'!E:E)</f>
        <v>0</v>
      </c>
      <c r="O37" s="13">
        <f ca="1">SUMIF('2.5廃棄処分'!D:E,C37,'2.5廃棄処分'!E:E)</f>
        <v>0</v>
      </c>
      <c r="P37" s="13">
        <f ca="1">SUMIF('2.1④異種原液'!D:E,C37,'2.1④異種原液'!E:E)</f>
        <v>0</v>
      </c>
      <c r="Q37" s="14">
        <f ca="1">SUMIF('2.7製造部生産分'!D:I,C37,'2.7製造部生産分'!H:H)</f>
        <v>0</v>
      </c>
      <c r="R37" s="15">
        <f ca="1">-(G37+H37+K37-L37-M37-N37-O37-P37-Q37-S37)</f>
        <v>0</v>
      </c>
      <c r="S37" s="13">
        <f ca="1">SUMIF('2.9原液在庫'!B:H,C37,'2.9原液在庫'!H:H)</f>
        <v>0</v>
      </c>
      <c r="T37" s="16">
        <f ca="1">IFERROR(SUM(G38:K38)/(G37+H37+K37),0)</f>
        <v>0</v>
      </c>
      <c r="U37" s="17" t="str">
        <f>C37</f>
        <v>15HIB海</v>
      </c>
      <c r="V37" s="18">
        <f ca="1">IF(ISERROR(SUM(G38:K38)/SUM(L37:Q37,S37)),0,SUM(G38:K38)/SUM(L37:Q37,S37))</f>
        <v>0</v>
      </c>
      <c r="W37" s="19">
        <f ca="1">V37</f>
        <v>0</v>
      </c>
      <c r="X37" s="20">
        <f ca="1">W37/1000</f>
        <v>0</v>
      </c>
    </row>
    <row r="38" spans="1:24" s="3" customFormat="1">
      <c r="A38" s="199"/>
      <c r="B38" s="199"/>
      <c r="C38" s="199"/>
      <c r="D38" s="199"/>
      <c r="E38" s="199"/>
      <c r="F38" s="21" t="s">
        <v>247</v>
      </c>
      <c r="G38" s="22" t="s">
        <v>254</v>
      </c>
      <c r="H38" s="184"/>
      <c r="I38" s="23">
        <f ca="1">I37*労務費経費単価SC!D$7</f>
        <v>0</v>
      </c>
      <c r="J38" s="23">
        <f ca="1">J37*労務費経費単価SC!D$11</f>
        <v>0</v>
      </c>
      <c r="K38" s="22">
        <f ca="1">K37*$E37</f>
        <v>0</v>
      </c>
      <c r="L38" s="22">
        <f ca="1">L37*$E37</f>
        <v>0</v>
      </c>
      <c r="M38" s="22">
        <f t="shared" ref="M38" ca="1" si="106">M37*$E37</f>
        <v>0</v>
      </c>
      <c r="N38" s="22">
        <f t="shared" ref="N38" ca="1" si="107">N37*$E37</f>
        <v>0</v>
      </c>
      <c r="O38" s="22">
        <f t="shared" ref="O38" ca="1" si="108">O37*$E37</f>
        <v>0</v>
      </c>
      <c r="P38" s="22">
        <f t="shared" ref="P38" ca="1" si="109">P37*$E37</f>
        <v>0</v>
      </c>
      <c r="Q38" s="22">
        <f t="shared" ref="Q38" ca="1" si="110">Q37*$E37</f>
        <v>0</v>
      </c>
      <c r="R38" s="22">
        <f t="shared" ref="R38" ca="1" si="111">R37*$E37</f>
        <v>0</v>
      </c>
      <c r="S38" s="22">
        <f t="shared" ref="S38" ca="1" si="112">S37*$E37</f>
        <v>0</v>
      </c>
      <c r="T38" s="16"/>
      <c r="U38" s="17"/>
      <c r="V38" s="18"/>
      <c r="W38" s="19"/>
      <c r="X38" s="20"/>
    </row>
    <row r="39" spans="1:24" s="3" customFormat="1">
      <c r="A39" s="199"/>
      <c r="B39" s="199"/>
      <c r="C39" s="199" t="s">
        <v>264</v>
      </c>
      <c r="D39" s="199" t="str">
        <f>VLOOKUP(C39,'仕掛品名寄（貼付）'!B:C,2,FALSE)</f>
        <v>G</v>
      </c>
      <c r="E39" s="199">
        <f>VLOOKUP(D39,'仕掛品標準単価一覧表（貼付）'!B:G,6,FALSE)</f>
        <v>2344.7183999999997</v>
      </c>
      <c r="F39" s="12" t="s">
        <v>246</v>
      </c>
      <c r="G39" s="24">
        <v>863.5</v>
      </c>
      <c r="H39" s="13">
        <f ca="1">SUMIF('1.3②原材料使用'!B:E,C39,'1.3②原材料使用'!E:E)</f>
        <v>0</v>
      </c>
      <c r="I39" s="13">
        <f ca="1">SUMIF('2.10原液別作業時間'!A:B,C39,'2.10原液別作業時間'!B:B)</f>
        <v>0</v>
      </c>
      <c r="J39" s="13">
        <f ca="1">SUM(G39:H39,K39)</f>
        <v>863.5</v>
      </c>
      <c r="K39" s="13">
        <f ca="1">SUMIF('2.2⑤純増減→前工程費'!B:E,C39,'2.2⑤純増減→前工程費'!E:E)</f>
        <v>0</v>
      </c>
      <c r="L39" s="13">
        <f ca="1">SUMIF('2.6完成品'!C:D,C39,'2.6完成品'!D:D)</f>
        <v>0</v>
      </c>
      <c r="M39" s="13">
        <f ca="1">SUMIF('2.3研究費'!D:E,C39,'2.3研究費'!E:E)</f>
        <v>0</v>
      </c>
      <c r="N39" s="13">
        <f ca="1">SUMIF('2.4販促費'!D:E,C39,'2.4販促費'!E:E)</f>
        <v>0</v>
      </c>
      <c r="O39" s="13">
        <f ca="1">SUMIF('2.5廃棄処分'!D:E,C39,'2.5廃棄処分'!E:E)</f>
        <v>0</v>
      </c>
      <c r="P39" s="13">
        <f ca="1">SUMIF('2.1④異種原液'!D:E,C39,'2.1④異種原液'!E:E)</f>
        <v>0</v>
      </c>
      <c r="Q39" s="14">
        <f ca="1">SUMIF('2.7製造部生産分'!D:I,C39,'2.7製造部生産分'!H:H)</f>
        <v>0</v>
      </c>
      <c r="R39" s="15">
        <f ca="1">-(G39+H39+K39-L39-M39-N39-O39-P39-Q39-S39)</f>
        <v>0</v>
      </c>
      <c r="S39" s="13">
        <f ca="1">SUMIF('2.9原液在庫'!B:H,C39,'2.9原液在庫'!H:H)</f>
        <v>863.5</v>
      </c>
      <c r="T39" s="16">
        <f ca="1">IFERROR(SUM(G40:K40)/(G39+H39+K39),0)</f>
        <v>1115.8243713748493</v>
      </c>
      <c r="U39" s="17" t="str">
        <f>C39</f>
        <v>15G</v>
      </c>
      <c r="V39" s="18">
        <f ca="1">IF(ISERROR(SUM(G40:K40)/SUM(L39:Q39,S39)),0,SUM(G40:K40)/SUM(L39:Q39,S39))</f>
        <v>1115.8243713748493</v>
      </c>
      <c r="W39" s="19">
        <f ca="1">V39</f>
        <v>1115.8243713748493</v>
      </c>
      <c r="X39" s="20">
        <f ca="1">W39/1000</f>
        <v>1.1158243713748492</v>
      </c>
    </row>
    <row r="40" spans="1:24" s="3" customFormat="1">
      <c r="A40" s="199"/>
      <c r="B40" s="199"/>
      <c r="C40" s="199"/>
      <c r="D40" s="199"/>
      <c r="E40" s="199"/>
      <c r="F40" s="21" t="s">
        <v>247</v>
      </c>
      <c r="G40" s="22">
        <v>937609.34468218242</v>
      </c>
      <c r="H40" s="184"/>
      <c r="I40" s="23">
        <f ca="1">I39*労務費経費単価SC!D$7</f>
        <v>0</v>
      </c>
      <c r="J40" s="23">
        <f ca="1">J39*労務費経費単価SC!D$11</f>
        <v>25905</v>
      </c>
      <c r="K40" s="22">
        <f ca="1">K39*$E39</f>
        <v>0</v>
      </c>
      <c r="L40" s="22">
        <f ca="1">L39*$E39</f>
        <v>0</v>
      </c>
      <c r="M40" s="22">
        <f t="shared" ref="M40" ca="1" si="113">M39*$E39</f>
        <v>0</v>
      </c>
      <c r="N40" s="22">
        <f t="shared" ref="N40" ca="1" si="114">N39*$E39</f>
        <v>0</v>
      </c>
      <c r="O40" s="22">
        <f t="shared" ref="O40" ca="1" si="115">O39*$E39</f>
        <v>0</v>
      </c>
      <c r="P40" s="22">
        <f t="shared" ref="P40" ca="1" si="116">P39*$E39</f>
        <v>0</v>
      </c>
      <c r="Q40" s="22">
        <f t="shared" ref="Q40" ca="1" si="117">Q39*$E39</f>
        <v>0</v>
      </c>
      <c r="R40" s="22">
        <f t="shared" ref="R40" ca="1" si="118">R39*$E39</f>
        <v>0</v>
      </c>
      <c r="S40" s="22">
        <f t="shared" ref="S40" ca="1" si="119">S39*$E39</f>
        <v>2024664.3383999998</v>
      </c>
      <c r="T40" s="16"/>
      <c r="U40" s="17"/>
      <c r="V40" s="18"/>
      <c r="W40" s="19"/>
      <c r="X40" s="20"/>
    </row>
    <row r="41" spans="1:24" s="3" customFormat="1">
      <c r="A41" s="211" t="s">
        <v>265</v>
      </c>
      <c r="B41" s="211">
        <v>16</v>
      </c>
      <c r="C41" s="199" t="s">
        <v>266</v>
      </c>
      <c r="D41" s="199" t="str">
        <f>VLOOKUP(C41,'仕掛品名寄（貼付）'!B:C,2,FALSE)</f>
        <v>R</v>
      </c>
      <c r="E41" s="199">
        <f>VLOOKUP(D41,'仕掛品標準単価一覧表（貼付）'!B:G,6,FALSE)</f>
        <v>908</v>
      </c>
      <c r="F41" s="12" t="s">
        <v>246</v>
      </c>
      <c r="G41" s="13">
        <v>446</v>
      </c>
      <c r="H41" s="13">
        <f ca="1">SUMIF('1.3②原材料使用'!B:E,C41,'1.3②原材料使用'!E:E)</f>
        <v>0</v>
      </c>
      <c r="I41" s="13">
        <f ca="1">SUMIF('2.10原液別作業時間'!A:B,C41,'2.10原液別作業時間'!B:B)</f>
        <v>0</v>
      </c>
      <c r="J41" s="13">
        <f ca="1">SUM(G41:H41,K41)</f>
        <v>446</v>
      </c>
      <c r="K41" s="13">
        <f ca="1">SUMIF('2.2⑤純増減→前工程費'!B:E,C41,'2.2⑤純増減→前工程費'!E:E)</f>
        <v>0</v>
      </c>
      <c r="L41" s="13">
        <f ca="1">SUMIF('2.6完成品'!C:D,C41,'2.6完成品'!D:D)</f>
        <v>0</v>
      </c>
      <c r="M41" s="13">
        <f ca="1">SUMIF('2.3研究費'!D:E,C41,'2.3研究費'!E:E)</f>
        <v>0</v>
      </c>
      <c r="N41" s="13">
        <f ca="1">SUMIF('2.4販促費'!D:E,C41,'2.4販促費'!E:E)</f>
        <v>0</v>
      </c>
      <c r="O41" s="13">
        <f ca="1">SUMIF('2.5廃棄処分'!D:E,C41,'2.5廃棄処分'!E:E)</f>
        <v>0</v>
      </c>
      <c r="P41" s="13">
        <f ca="1">SUMIF('2.1④異種原液'!D:E,C41,'2.1④異種原液'!E:E)</f>
        <v>0</v>
      </c>
      <c r="Q41" s="14">
        <f ca="1">SUMIF('2.7製造部生産分'!D:I,C41,'2.7製造部生産分'!H:H)</f>
        <v>0</v>
      </c>
      <c r="R41" s="15">
        <f ca="1">-(G41+H41+K41-L41-M41-N41-O41-P41-Q41-S41)</f>
        <v>0</v>
      </c>
      <c r="S41" s="13">
        <f ca="1">SUMIF('2.9原液在庫'!B:H,C41,'2.9原液在庫'!H:H)</f>
        <v>446</v>
      </c>
      <c r="T41" s="16">
        <f ca="1">IFERROR(SUM(G42:K42)/(G41+H41+K41),0)</f>
        <v>1087.6668741352928</v>
      </c>
      <c r="U41" s="17" t="str">
        <f>C41</f>
        <v>16R</v>
      </c>
      <c r="V41" s="18">
        <f ca="1">IF(ISERROR(SUM(G42:K42)/SUM(L41:Q41,S41)),0,SUM(G42:K42)/SUM(L41:Q41,S41))</f>
        <v>1087.6668741352928</v>
      </c>
      <c r="W41" s="19">
        <f ca="1">V41</f>
        <v>1087.6668741352928</v>
      </c>
      <c r="X41" s="20">
        <f ca="1">W41/1000</f>
        <v>1.0876668741352928</v>
      </c>
    </row>
    <row r="42" spans="1:24" s="3" customFormat="1">
      <c r="A42" s="212"/>
      <c r="B42" s="212"/>
      <c r="C42" s="199"/>
      <c r="D42" s="199"/>
      <c r="E42" s="199"/>
      <c r="F42" s="21" t="s">
        <v>247</v>
      </c>
      <c r="G42" s="22">
        <v>471719.42586434056</v>
      </c>
      <c r="H42" s="184"/>
      <c r="I42" s="23">
        <f ca="1">I41*労務費経費単価SC!D$7</f>
        <v>0</v>
      </c>
      <c r="J42" s="23">
        <f ca="1">J41*労務費経費単価SC!D$11</f>
        <v>13380</v>
      </c>
      <c r="K42" s="22">
        <f ca="1">K41*$E41</f>
        <v>0</v>
      </c>
      <c r="L42" s="22">
        <f ca="1">L41*$E41</f>
        <v>0</v>
      </c>
      <c r="M42" s="22">
        <f t="shared" ref="M42" ca="1" si="120">M41*$E41</f>
        <v>0</v>
      </c>
      <c r="N42" s="22">
        <f t="shared" ref="N42" ca="1" si="121">N41*$E41</f>
        <v>0</v>
      </c>
      <c r="O42" s="22">
        <f t="shared" ref="O42" ca="1" si="122">O41*$E41</f>
        <v>0</v>
      </c>
      <c r="P42" s="22">
        <f t="shared" ref="P42" ca="1" si="123">P41*$E41</f>
        <v>0</v>
      </c>
      <c r="Q42" s="22">
        <f t="shared" ref="Q42" ca="1" si="124">Q41*$E41</f>
        <v>0</v>
      </c>
      <c r="R42" s="22">
        <f t="shared" ref="R42" ca="1" si="125">R41*$E41</f>
        <v>0</v>
      </c>
      <c r="S42" s="22">
        <f t="shared" ref="S42" ca="1" si="126">S41*$E41</f>
        <v>404968</v>
      </c>
      <c r="T42" s="16"/>
      <c r="U42" s="17"/>
      <c r="V42" s="18"/>
      <c r="W42" s="19"/>
      <c r="X42" s="20"/>
    </row>
    <row r="43" spans="1:24">
      <c r="A43" s="212"/>
      <c r="B43" s="212"/>
      <c r="C43" s="199" t="s">
        <v>267</v>
      </c>
      <c r="D43" s="199" t="str">
        <f>VLOOKUP(C43,'仕掛品名寄（貼付）'!B:C,2,FALSE)</f>
        <v>その他</v>
      </c>
      <c r="E43" s="199">
        <f>VLOOKUP(D43,'仕掛品標準単価一覧表（貼付）'!B:G,6,FALSE)</f>
        <v>1080</v>
      </c>
      <c r="F43" s="12" t="s">
        <v>246</v>
      </c>
      <c r="G43" s="24">
        <v>531.5</v>
      </c>
      <c r="H43" s="13">
        <f ca="1">SUMIF('1.3②原材料使用'!B:E,C43,'1.3②原材料使用'!E:E)</f>
        <v>0</v>
      </c>
      <c r="I43" s="13">
        <f ca="1">SUMIF('2.10原液別作業時間'!A:B,C43,'2.10原液別作業時間'!B:B)</f>
        <v>0</v>
      </c>
      <c r="J43" s="13">
        <f ca="1">SUM(G43:H43,K43)</f>
        <v>531.5</v>
      </c>
      <c r="K43" s="13">
        <f ca="1">SUMIF('2.2⑤純増減→前工程費'!B:E,C43,'2.2⑤純増減→前工程費'!E:E)</f>
        <v>0</v>
      </c>
      <c r="L43" s="13">
        <f ca="1">SUMIF('2.6完成品'!C:D,C43,'2.6完成品'!D:D)</f>
        <v>0</v>
      </c>
      <c r="M43" s="13">
        <f ca="1">SUMIF('2.3研究費'!D:E,C43,'2.3研究費'!E:E)</f>
        <v>0</v>
      </c>
      <c r="N43" s="13">
        <f ca="1">SUMIF('2.4販促費'!D:E,C43,'2.4販促費'!E:E)</f>
        <v>0</v>
      </c>
      <c r="O43" s="13">
        <f ca="1">SUMIF('2.5廃棄処分'!D:E,C43,'2.5廃棄処分'!E:E)</f>
        <v>0</v>
      </c>
      <c r="P43" s="13">
        <f ca="1">SUMIF('2.1④異種原液'!D:E,C43,'2.1④異種原液'!E:E)</f>
        <v>0</v>
      </c>
      <c r="Q43" s="14">
        <f ca="1">SUMIF('2.7製造部生産分'!D:I,C43,'2.7製造部生産分'!H:H)</f>
        <v>0</v>
      </c>
      <c r="R43" s="15">
        <f ca="1">-(G43+H43+K43-L43-M43-N43-O43-P43-Q43-S43)</f>
        <v>0</v>
      </c>
      <c r="S43" s="13">
        <f ca="1">SUMIF('2.9原液在庫'!B:H,C43,'2.9原液在庫'!H:H)</f>
        <v>531.5</v>
      </c>
      <c r="T43" s="16">
        <f ca="1">IFERROR(SUM(G44:K44)/(G43+H43+K43),0)</f>
        <v>917.84521286390338</v>
      </c>
      <c r="U43" s="17" t="str">
        <f>C43</f>
        <v>16Rﾊﾟ</v>
      </c>
      <c r="V43" s="18">
        <f ca="1">IF(ISERROR(SUM(G44:K44)/SUM(L43:Q43,S43)),0,SUM(G44:K44)/SUM(L43:Q43,S43))</f>
        <v>917.84521286390338</v>
      </c>
      <c r="W43" s="19">
        <f ca="1">V43</f>
        <v>917.84521286390338</v>
      </c>
      <c r="X43" s="20">
        <f ca="1">W43/1000</f>
        <v>0.91784521286390341</v>
      </c>
    </row>
    <row r="44" spans="1:24">
      <c r="A44" s="212"/>
      <c r="B44" s="212"/>
      <c r="C44" s="199"/>
      <c r="D44" s="199"/>
      <c r="E44" s="199"/>
      <c r="F44" s="21" t="s">
        <v>247</v>
      </c>
      <c r="G44" s="22">
        <v>471889.73063716467</v>
      </c>
      <c r="H44" s="184"/>
      <c r="I44" s="23">
        <f ca="1">I43*労務費経費単価SC!D$7</f>
        <v>0</v>
      </c>
      <c r="J44" s="23">
        <f ca="1">J43*労務費経費単価SC!D$11</f>
        <v>15945</v>
      </c>
      <c r="K44" s="22">
        <f ca="1">K43*$E43</f>
        <v>0</v>
      </c>
      <c r="L44" s="22">
        <f ca="1">L43*$E43</f>
        <v>0</v>
      </c>
      <c r="M44" s="22">
        <f t="shared" ref="M44" ca="1" si="127">M43*$E43</f>
        <v>0</v>
      </c>
      <c r="N44" s="22">
        <f t="shared" ref="N44" ca="1" si="128">N43*$E43</f>
        <v>0</v>
      </c>
      <c r="O44" s="22">
        <f t="shared" ref="O44" ca="1" si="129">O43*$E43</f>
        <v>0</v>
      </c>
      <c r="P44" s="22">
        <f t="shared" ref="P44" ca="1" si="130">P43*$E43</f>
        <v>0</v>
      </c>
      <c r="Q44" s="22">
        <f t="shared" ref="Q44" ca="1" si="131">Q43*$E43</f>
        <v>0</v>
      </c>
      <c r="R44" s="22">
        <f t="shared" ref="R44" ca="1" si="132">R43*$E43</f>
        <v>0</v>
      </c>
      <c r="S44" s="22">
        <f t="shared" ref="S44" ca="1" si="133">S43*$E43</f>
        <v>574020</v>
      </c>
      <c r="U44" s="17"/>
      <c r="V44" s="18"/>
      <c r="W44" s="19"/>
      <c r="X44" s="20"/>
    </row>
    <row r="45" spans="1:24">
      <c r="A45" s="212"/>
      <c r="B45" s="212"/>
      <c r="C45" s="206" t="s">
        <v>26</v>
      </c>
      <c r="D45" s="199" t="str">
        <f>VLOOKUP(C45,'仕掛品名寄（貼付）'!B:C,2,FALSE)</f>
        <v>その他</v>
      </c>
      <c r="E45" s="199">
        <f>VLOOKUP(D45,'仕掛品標準単価一覧表（貼付）'!B:G,6,FALSE)</f>
        <v>1080</v>
      </c>
      <c r="F45" s="12" t="s">
        <v>246</v>
      </c>
      <c r="G45" s="13">
        <v>0</v>
      </c>
      <c r="H45" s="13">
        <f ca="1">SUMIF('1.3②原材料使用'!B:E,C45,'1.3②原材料使用'!E:E)</f>
        <v>0</v>
      </c>
      <c r="I45" s="13">
        <f ca="1">SUMIF('2.10原液別作業時間'!A:B,C45,'2.10原液別作業時間'!B:B)</f>
        <v>0</v>
      </c>
      <c r="J45" s="13">
        <f ca="1">SUM(G45:H45,K45)</f>
        <v>0</v>
      </c>
      <c r="K45" s="13">
        <f ca="1">SUMIF('2.2⑤純増減→前工程費'!B:E,C45,'2.2⑤純増減→前工程費'!E:E)</f>
        <v>0</v>
      </c>
      <c r="L45" s="13">
        <f ca="1">SUMIF('2.6完成品'!C:D,C45,'2.6完成品'!D:D)</f>
        <v>0</v>
      </c>
      <c r="M45" s="13">
        <f ca="1">SUMIF('2.3研究費'!D:E,C45,'2.3研究費'!E:E)</f>
        <v>0</v>
      </c>
      <c r="N45" s="13">
        <f ca="1">SUMIF('2.4販促費'!D:E,C45,'2.4販促費'!E:E)</f>
        <v>0</v>
      </c>
      <c r="O45" s="13">
        <f ca="1">SUMIF('2.5廃棄処分'!D:E,C45,'2.5廃棄処分'!E:E)</f>
        <v>0</v>
      </c>
      <c r="P45" s="13">
        <f ca="1">SUMIF('2.1④異種原液'!D:E,C45,'2.1④異種原液'!E:E)</f>
        <v>0</v>
      </c>
      <c r="Q45" s="14">
        <f ca="1">SUMIF('2.7製造部生産分'!D:I,C45,'2.7製造部生産分'!H:H)</f>
        <v>0</v>
      </c>
      <c r="R45" s="15">
        <f ca="1">-(G45+H45+K45-L45-M45-N45-O45-P45-Q45-S45)</f>
        <v>0</v>
      </c>
      <c r="S45" s="13">
        <f ca="1">SUMIF('2.9原液在庫'!B:H,C45,'2.9原液在庫'!H:H)</f>
        <v>0</v>
      </c>
      <c r="T45" s="16">
        <f ca="1">IFERROR(SUM(G46:K46)/(G45+H45+K45),0)</f>
        <v>0</v>
      </c>
      <c r="U45" s="17" t="str">
        <f>C45</f>
        <v>16RXP</v>
      </c>
      <c r="V45" s="18">
        <f ca="1">IF(ISERROR(SUM(G46:K46)/SUM(L45:Q45,S45)),0,SUM(G46:K46)/SUM(L45:Q45,S45))</f>
        <v>0</v>
      </c>
      <c r="W45" s="19">
        <f ca="1">V45</f>
        <v>0</v>
      </c>
      <c r="X45" s="20">
        <f ca="1">W45/1000</f>
        <v>0</v>
      </c>
    </row>
    <row r="46" spans="1:24">
      <c r="A46" s="212"/>
      <c r="B46" s="212"/>
      <c r="C46" s="199"/>
      <c r="D46" s="199"/>
      <c r="E46" s="199"/>
      <c r="F46" s="21" t="s">
        <v>247</v>
      </c>
      <c r="G46" s="22" t="s">
        <v>254</v>
      </c>
      <c r="H46" s="184"/>
      <c r="I46" s="23">
        <f ca="1">I45*労務費経費単価SC!D$7</f>
        <v>0</v>
      </c>
      <c r="J46" s="23">
        <f ca="1">J45*労務費経費単価SC!D$11</f>
        <v>0</v>
      </c>
      <c r="K46" s="22">
        <f ca="1">K45*$E45</f>
        <v>0</v>
      </c>
      <c r="L46" s="22">
        <f ca="1">L45*$E45</f>
        <v>0</v>
      </c>
      <c r="M46" s="22">
        <f t="shared" ref="M46" ca="1" si="134">M45*$E45</f>
        <v>0</v>
      </c>
      <c r="N46" s="22">
        <f t="shared" ref="N46" ca="1" si="135">N45*$E45</f>
        <v>0</v>
      </c>
      <c r="O46" s="22">
        <f t="shared" ref="O46" ca="1" si="136">O45*$E45</f>
        <v>0</v>
      </c>
      <c r="P46" s="22">
        <f t="shared" ref="P46" ca="1" si="137">P45*$E45</f>
        <v>0</v>
      </c>
      <c r="Q46" s="22">
        <f t="shared" ref="Q46" ca="1" si="138">Q45*$E45</f>
        <v>0</v>
      </c>
      <c r="R46" s="22">
        <f t="shared" ref="R46" ca="1" si="139">R45*$E45</f>
        <v>0</v>
      </c>
      <c r="S46" s="22">
        <f t="shared" ref="S46" ca="1" si="140">S45*$E45</f>
        <v>0</v>
      </c>
      <c r="U46" s="17"/>
      <c r="V46" s="18"/>
      <c r="W46" s="19"/>
      <c r="X46" s="20"/>
    </row>
    <row r="47" spans="1:24">
      <c r="A47" s="212"/>
      <c r="B47" s="212"/>
      <c r="C47" s="206" t="s">
        <v>25</v>
      </c>
      <c r="D47" s="199" t="str">
        <f>VLOOKUP(C47,'仕掛品名寄（貼付）'!B:C,2,FALSE)</f>
        <v>その他</v>
      </c>
      <c r="E47" s="199">
        <f>VLOOKUP(D47,'仕掛品標準単価一覧表（貼付）'!B:G,6,FALSE)</f>
        <v>1080</v>
      </c>
      <c r="F47" s="12" t="s">
        <v>246</v>
      </c>
      <c r="G47" s="13">
        <v>0</v>
      </c>
      <c r="H47" s="13">
        <f ca="1">SUMIF('1.3②原材料使用'!B:E,C47,'1.3②原材料使用'!E:E)</f>
        <v>0</v>
      </c>
      <c r="I47" s="13">
        <f ca="1">SUMIF('2.10原液別作業時間'!A:B,C47,'2.10原液別作業時間'!B:B)</f>
        <v>0</v>
      </c>
      <c r="J47" s="13">
        <f ca="1">SUM(G47:H47,K47)</f>
        <v>0</v>
      </c>
      <c r="K47" s="13">
        <f ca="1">SUMIF('2.2⑤純増減→前工程費'!B:E,C47,'2.2⑤純増減→前工程費'!E:E)</f>
        <v>0</v>
      </c>
      <c r="L47" s="13">
        <f ca="1">SUMIF('2.6完成品'!C:D,C47,'2.6完成品'!D:D)</f>
        <v>0</v>
      </c>
      <c r="M47" s="13">
        <f ca="1">SUMIF('2.3研究費'!D:E,C47,'2.3研究費'!E:E)</f>
        <v>0</v>
      </c>
      <c r="N47" s="13">
        <f ca="1">SUMIF('2.4販促費'!D:E,C47,'2.4販促費'!E:E)</f>
        <v>0</v>
      </c>
      <c r="O47" s="13">
        <f ca="1">SUMIF('2.5廃棄処分'!D:E,C47,'2.5廃棄処分'!E:E)</f>
        <v>0</v>
      </c>
      <c r="P47" s="13">
        <f ca="1">SUMIF('2.1④異種原液'!D:E,C47,'2.1④異種原液'!E:E)</f>
        <v>0</v>
      </c>
      <c r="Q47" s="14">
        <f ca="1">SUMIF('2.7製造部生産分'!D:I,C47,'2.7製造部生産分'!H:H)</f>
        <v>0</v>
      </c>
      <c r="R47" s="15">
        <f ca="1">-(G47+H47+K47-L47-M47-N47-O47-P47-Q47-S47)</f>
        <v>0</v>
      </c>
      <c r="S47" s="13">
        <f ca="1">SUMIF('2.9原液在庫'!B:H,C47,'2.9原液在庫'!H:H)</f>
        <v>0</v>
      </c>
      <c r="T47" s="16">
        <f ca="1">IFERROR(SUM(G48:K48)/(G47+H47+K47),0)</f>
        <v>0</v>
      </c>
      <c r="U47" s="17" t="str">
        <f>C47</f>
        <v>16RAﾊﾟ</v>
      </c>
      <c r="V47" s="18">
        <f ca="1">IF(ISERROR(SUM(G48:K48)/SUM(L47:Q47,S47)),0,SUM(G48:K48)/SUM(L47:Q47,S47))</f>
        <v>0</v>
      </c>
      <c r="W47" s="19">
        <f ca="1">V47</f>
        <v>0</v>
      </c>
      <c r="X47" s="20">
        <f ca="1">W47/1000</f>
        <v>0</v>
      </c>
    </row>
    <row r="48" spans="1:24">
      <c r="A48" s="212"/>
      <c r="B48" s="212"/>
      <c r="C48" s="199"/>
      <c r="D48" s="199"/>
      <c r="E48" s="199"/>
      <c r="F48" s="21" t="s">
        <v>247</v>
      </c>
      <c r="G48" s="22" t="s">
        <v>254</v>
      </c>
      <c r="H48" s="184"/>
      <c r="I48" s="23">
        <f ca="1">I47*労務費経費単価SC!D$7</f>
        <v>0</v>
      </c>
      <c r="J48" s="23">
        <f ca="1">J47*労務費経費単価SC!D$11</f>
        <v>0</v>
      </c>
      <c r="K48" s="22">
        <f ca="1">K47*$E47</f>
        <v>0</v>
      </c>
      <c r="L48" s="22">
        <f ca="1">L47*$E47</f>
        <v>0</v>
      </c>
      <c r="M48" s="22">
        <f t="shared" ref="M48" ca="1" si="141">M47*$E47</f>
        <v>0</v>
      </c>
      <c r="N48" s="22">
        <f t="shared" ref="N48" ca="1" si="142">N47*$E47</f>
        <v>0</v>
      </c>
      <c r="O48" s="22">
        <f t="shared" ref="O48" ca="1" si="143">O47*$E47</f>
        <v>0</v>
      </c>
      <c r="P48" s="22">
        <f t="shared" ref="P48" ca="1" si="144">P47*$E47</f>
        <v>0</v>
      </c>
      <c r="Q48" s="22">
        <f t="shared" ref="Q48" ca="1" si="145">Q47*$E47</f>
        <v>0</v>
      </c>
      <c r="R48" s="22">
        <f t="shared" ref="R48" ca="1" si="146">R47*$E47</f>
        <v>0</v>
      </c>
      <c r="S48" s="22">
        <f t="shared" ref="S48" ca="1" si="147">S47*$E47</f>
        <v>0</v>
      </c>
      <c r="U48" s="17"/>
      <c r="V48" s="18"/>
      <c r="W48" s="19"/>
      <c r="X48" s="20"/>
    </row>
    <row r="49" spans="1:24">
      <c r="A49" s="212"/>
      <c r="B49" s="212"/>
      <c r="C49" s="199" t="s">
        <v>268</v>
      </c>
      <c r="D49" s="199" t="str">
        <f>VLOOKUP(C49,'仕掛品名寄（貼付）'!B:C,2,FALSE)</f>
        <v>その他</v>
      </c>
      <c r="E49" s="199">
        <f>VLOOKUP(D49,'仕掛品標準単価一覧表（貼付）'!B:G,6,FALSE)</f>
        <v>1080</v>
      </c>
      <c r="F49" s="12" t="s">
        <v>246</v>
      </c>
      <c r="G49" s="13">
        <v>0</v>
      </c>
      <c r="H49" s="13">
        <f ca="1">SUMIF('1.3②原材料使用'!B:E,C49,'1.3②原材料使用'!E:E)</f>
        <v>0</v>
      </c>
      <c r="I49" s="13">
        <f ca="1">SUMIF('2.10原液別作業時間'!A:B,C49,'2.10原液別作業時間'!B:B)</f>
        <v>0</v>
      </c>
      <c r="J49" s="13">
        <f ca="1">SUM(G49:H49,K49)</f>
        <v>0</v>
      </c>
      <c r="K49" s="13">
        <f ca="1">SUMIF('2.2⑤純増減→前工程費'!B:E,C49,'2.2⑤純増減→前工程費'!E:E)</f>
        <v>0</v>
      </c>
      <c r="L49" s="13">
        <f ca="1">SUMIF('2.6完成品'!C:D,C49,'2.6完成品'!D:D)</f>
        <v>0</v>
      </c>
      <c r="M49" s="13">
        <f ca="1">SUMIF('2.3研究費'!D:E,C49,'2.3研究費'!E:E)</f>
        <v>0</v>
      </c>
      <c r="N49" s="13">
        <f ca="1">SUMIF('2.4販促費'!D:E,C49,'2.4販促費'!E:E)</f>
        <v>0</v>
      </c>
      <c r="O49" s="13">
        <f ca="1">SUMIF('2.5廃棄処分'!D:E,C49,'2.5廃棄処分'!E:E)</f>
        <v>0</v>
      </c>
      <c r="P49" s="13">
        <f ca="1">SUMIF('2.1④異種原液'!D:E,C49,'2.1④異種原液'!E:E)</f>
        <v>0</v>
      </c>
      <c r="Q49" s="14">
        <f ca="1">SUMIF('2.7製造部生産分'!D:I,C49,'2.7製造部生産分'!H:H)</f>
        <v>0</v>
      </c>
      <c r="R49" s="15">
        <f ca="1">-(G49+H49+K49-L49-M49-N49-O49-P49-Q49-S49)</f>
        <v>0</v>
      </c>
      <c r="S49" s="13">
        <f ca="1">SUMIF('2.9原液在庫'!B:H,C49,'2.9原液在庫'!H:H)</f>
        <v>0</v>
      </c>
      <c r="T49" s="16">
        <f ca="1">IFERROR(SUM(G50:K50)/(G49+H49+K49),0)</f>
        <v>0</v>
      </c>
      <c r="U49" s="17" t="str">
        <f>C49</f>
        <v>16Rｸ</v>
      </c>
      <c r="V49" s="18">
        <f ca="1">IF(ISERROR(SUM(G50:K50)/SUM(L49:Q49,S49)),0,SUM(G50:K50)/SUM(L49:Q49,S49))</f>
        <v>0</v>
      </c>
      <c r="W49" s="19">
        <f ca="1">V49</f>
        <v>0</v>
      </c>
      <c r="X49" s="20">
        <f ca="1">W49/1000</f>
        <v>0</v>
      </c>
    </row>
    <row r="50" spans="1:24">
      <c r="A50" s="212"/>
      <c r="B50" s="212"/>
      <c r="C50" s="199"/>
      <c r="D50" s="199"/>
      <c r="E50" s="199"/>
      <c r="F50" s="21" t="s">
        <v>247</v>
      </c>
      <c r="G50" s="22" t="s">
        <v>254</v>
      </c>
      <c r="H50" s="184"/>
      <c r="I50" s="23">
        <f ca="1">I49*労務費経費単価SC!D$7</f>
        <v>0</v>
      </c>
      <c r="J50" s="23">
        <f ca="1">J49*労務費経費単価SC!D$11</f>
        <v>0</v>
      </c>
      <c r="K50" s="22">
        <f ca="1">K49*$E49</f>
        <v>0</v>
      </c>
      <c r="L50" s="22">
        <f ca="1">L49*$E49</f>
        <v>0</v>
      </c>
      <c r="M50" s="22">
        <f t="shared" ref="M50" ca="1" si="148">M49*$E49</f>
        <v>0</v>
      </c>
      <c r="N50" s="22">
        <f t="shared" ref="N50" ca="1" si="149">N49*$E49</f>
        <v>0</v>
      </c>
      <c r="O50" s="22">
        <f t="shared" ref="O50" ca="1" si="150">O49*$E49</f>
        <v>0</v>
      </c>
      <c r="P50" s="22">
        <f t="shared" ref="P50" ca="1" si="151">P49*$E49</f>
        <v>0</v>
      </c>
      <c r="Q50" s="22">
        <f t="shared" ref="Q50" ca="1" si="152">Q49*$E49</f>
        <v>0</v>
      </c>
      <c r="R50" s="22">
        <f t="shared" ref="R50" ca="1" si="153">R49*$E49</f>
        <v>0</v>
      </c>
      <c r="S50" s="22">
        <f t="shared" ref="S50" ca="1" si="154">S49*$E49</f>
        <v>0</v>
      </c>
      <c r="U50" s="17"/>
      <c r="V50" s="18"/>
      <c r="W50" s="19"/>
      <c r="X50" s="20"/>
    </row>
    <row r="51" spans="1:24">
      <c r="A51" s="212"/>
      <c r="B51" s="212"/>
      <c r="C51" s="199" t="s">
        <v>24</v>
      </c>
      <c r="D51" s="199" t="str">
        <f>VLOOKUP(C51,'仕掛品名寄（貼付）'!B:C,2,FALSE)</f>
        <v>その他</v>
      </c>
      <c r="E51" s="199">
        <f>VLOOKUP(D51,'仕掛品標準単価一覧表（貼付）'!B:G,6,FALSE)</f>
        <v>1080</v>
      </c>
      <c r="F51" s="12" t="s">
        <v>246</v>
      </c>
      <c r="G51" s="13">
        <v>0</v>
      </c>
      <c r="H51" s="13">
        <f ca="1">SUMIF('1.3②原材料使用'!B:E,C51,'1.3②原材料使用'!E:E)</f>
        <v>0</v>
      </c>
      <c r="I51" s="13">
        <f ca="1">SUMIF('2.10原液別作業時間'!A:B,C51,'2.10原液別作業時間'!B:B)</f>
        <v>0</v>
      </c>
      <c r="J51" s="13">
        <f ca="1">SUM(G51:H51,K51)</f>
        <v>0</v>
      </c>
      <c r="K51" s="13">
        <f ca="1">SUMIF('2.2⑤純増減→前工程費'!B:E,C51,'2.2⑤純増減→前工程費'!E:E)</f>
        <v>0</v>
      </c>
      <c r="L51" s="13">
        <f ca="1">SUMIF('2.6完成品'!C:D,C51,'2.6完成品'!D:D)</f>
        <v>0</v>
      </c>
      <c r="M51" s="13">
        <f ca="1">SUMIF('2.3研究費'!D:E,C51,'2.3研究費'!E:E)</f>
        <v>0</v>
      </c>
      <c r="N51" s="13">
        <f ca="1">SUMIF('2.4販促費'!D:E,C51,'2.4販促費'!E:E)</f>
        <v>0</v>
      </c>
      <c r="O51" s="13">
        <f ca="1">SUMIF('2.5廃棄処分'!D:E,C51,'2.5廃棄処分'!E:E)</f>
        <v>0</v>
      </c>
      <c r="P51" s="13">
        <f ca="1">SUMIF('2.1④異種原液'!D:E,C51,'2.1④異種原液'!E:E)</f>
        <v>0</v>
      </c>
      <c r="Q51" s="14">
        <f ca="1">SUMIF('2.7製造部生産分'!D:I,C51,'2.7製造部生産分'!H:H)</f>
        <v>0</v>
      </c>
      <c r="R51" s="15">
        <f ca="1">-(G51+H51+K51-L51-M51-N51-O51-P51-Q51-S51)</f>
        <v>0</v>
      </c>
      <c r="S51" s="13">
        <f ca="1">SUMIF('2.9原液在庫'!B:H,C51,'2.9原液在庫'!H:H)</f>
        <v>0</v>
      </c>
      <c r="T51" s="16">
        <f ca="1">IFERROR(SUM(G52:K52)/(G51+H51+K51),0)</f>
        <v>0</v>
      </c>
      <c r="U51" s="17" t="str">
        <f>C51</f>
        <v>16R海</v>
      </c>
      <c r="V51" s="18">
        <f ca="1">IF(ISERROR(SUM(G52:K52)/SUM(L51:Q51,S51)),0,SUM(G52:K52)/SUM(L51:Q51,S51))</f>
        <v>0</v>
      </c>
      <c r="W51" s="19">
        <f ca="1">V51</f>
        <v>0</v>
      </c>
      <c r="X51" s="20">
        <f ca="1">W51/1000</f>
        <v>0</v>
      </c>
    </row>
    <row r="52" spans="1:24">
      <c r="A52" s="212"/>
      <c r="B52" s="212"/>
      <c r="C52" s="199"/>
      <c r="D52" s="199"/>
      <c r="E52" s="199"/>
      <c r="F52" s="21" t="s">
        <v>247</v>
      </c>
      <c r="G52" s="22" t="s">
        <v>254</v>
      </c>
      <c r="H52" s="184"/>
      <c r="I52" s="23">
        <f ca="1">I51*労務費経費単価SC!D$7</f>
        <v>0</v>
      </c>
      <c r="J52" s="23">
        <f ca="1">J51*労務費経費単価SC!D$11</f>
        <v>0</v>
      </c>
      <c r="K52" s="22">
        <f ca="1">K51*$E51</f>
        <v>0</v>
      </c>
      <c r="L52" s="22">
        <f ca="1">L51*$E51</f>
        <v>0</v>
      </c>
      <c r="M52" s="22">
        <f t="shared" ref="M52" ca="1" si="155">M51*$E51</f>
        <v>0</v>
      </c>
      <c r="N52" s="22">
        <f t="shared" ref="N52" ca="1" si="156">N51*$E51</f>
        <v>0</v>
      </c>
      <c r="O52" s="22">
        <f t="shared" ref="O52" ca="1" si="157">O51*$E51</f>
        <v>0</v>
      </c>
      <c r="P52" s="22">
        <f t="shared" ref="P52" ca="1" si="158">P51*$E51</f>
        <v>0</v>
      </c>
      <c r="Q52" s="22">
        <f t="shared" ref="Q52" ca="1" si="159">Q51*$E51</f>
        <v>0</v>
      </c>
      <c r="R52" s="22">
        <f t="shared" ref="R52" ca="1" si="160">R51*$E51</f>
        <v>0</v>
      </c>
      <c r="S52" s="22">
        <f t="shared" ref="S52" ca="1" si="161">S51*$E51</f>
        <v>0</v>
      </c>
      <c r="U52" s="17"/>
      <c r="V52" s="18"/>
      <c r="W52" s="19"/>
      <c r="X52" s="20"/>
    </row>
    <row r="53" spans="1:24">
      <c r="A53" s="212"/>
      <c r="B53" s="212"/>
      <c r="C53" s="199" t="s">
        <v>269</v>
      </c>
      <c r="D53" s="199" t="str">
        <f>VLOOKUP(C53,'仕掛品名寄（貼付）'!B:C,2,FALSE)</f>
        <v>HI</v>
      </c>
      <c r="E53" s="199">
        <f>VLOOKUP(D53,'仕掛品標準単価一覧表（貼付）'!B:G,6,FALSE)</f>
        <v>1176</v>
      </c>
      <c r="F53" s="12" t="s">
        <v>246</v>
      </c>
      <c r="G53" s="24">
        <v>1839.5</v>
      </c>
      <c r="H53" s="13">
        <f ca="1">SUMIF('1.3②原材料使用'!B:E,C53,'1.3②原材料使用'!E:E)</f>
        <v>0</v>
      </c>
      <c r="I53" s="13">
        <f ca="1">SUMIF('2.10原液別作業時間'!A:B,C53,'2.10原液別作業時間'!B:B)</f>
        <v>0</v>
      </c>
      <c r="J53" s="13">
        <f ca="1">SUM(G53:H53,K53)</f>
        <v>1839.5</v>
      </c>
      <c r="K53" s="13">
        <f ca="1">SUMIF('2.2⑤純増減→前工程費'!B:E,C53,'2.2⑤純増減→前工程費'!E:E)</f>
        <v>0</v>
      </c>
      <c r="L53" s="13">
        <f ca="1">SUMIF('2.6完成品'!C:D,C53,'2.6完成品'!D:D)</f>
        <v>0</v>
      </c>
      <c r="M53" s="13">
        <f ca="1">SUMIF('2.3研究費'!D:E,C53,'2.3研究費'!E:E)</f>
        <v>0</v>
      </c>
      <c r="N53" s="13">
        <f ca="1">SUMIF('2.4販促費'!D:E,C53,'2.4販促費'!E:E)</f>
        <v>0</v>
      </c>
      <c r="O53" s="13">
        <f ca="1">SUMIF('2.5廃棄処分'!D:E,C53,'2.5廃棄処分'!E:E)</f>
        <v>0</v>
      </c>
      <c r="P53" s="13">
        <f ca="1">SUMIF('2.1④異種原液'!D:E,C53,'2.1④異種原液'!E:E)</f>
        <v>0</v>
      </c>
      <c r="Q53" s="14">
        <f ca="1">SUMIF('2.7製造部生産分'!D:I,C53,'2.7製造部生産分'!H:H)</f>
        <v>0</v>
      </c>
      <c r="R53" s="15">
        <f ca="1">-(G53+H53+K53-L53-M53-N53-O53-P53-Q53-S53)</f>
        <v>0</v>
      </c>
      <c r="S53" s="13">
        <f ca="1">SUMIF('2.9原液在庫'!B:H,C53,'2.9原液在庫'!H:H)</f>
        <v>1839.5</v>
      </c>
      <c r="T53" s="16">
        <f ca="1">IFERROR(SUM(G54:K54)/(G53+H53+K53),0)</f>
        <v>1856.5571667308241</v>
      </c>
      <c r="U53" s="17" t="str">
        <f>C53</f>
        <v>16HI</v>
      </c>
      <c r="V53" s="18">
        <f ca="1">IF(ISERROR(SUM(G54:K54)/SUM(L53:Q53,S53)),0,SUM(G54:K54)/SUM(L53:Q53,S53))</f>
        <v>1856.5571667308241</v>
      </c>
      <c r="W53" s="19">
        <f ca="1">V53</f>
        <v>1856.5571667308241</v>
      </c>
      <c r="X53" s="20">
        <f ca="1">W53/1000</f>
        <v>1.856557166730824</v>
      </c>
    </row>
    <row r="54" spans="1:24">
      <c r="A54" s="212"/>
      <c r="B54" s="212"/>
      <c r="C54" s="199"/>
      <c r="D54" s="199"/>
      <c r="E54" s="199"/>
      <c r="F54" s="21" t="s">
        <v>247</v>
      </c>
      <c r="G54" s="22">
        <v>3359951.9082013508</v>
      </c>
      <c r="H54" s="184"/>
      <c r="I54" s="23">
        <f ca="1">I53*労務費経費単価SC!D$7</f>
        <v>0</v>
      </c>
      <c r="J54" s="23">
        <f ca="1">J53*労務費経費単価SC!D$11</f>
        <v>55185</v>
      </c>
      <c r="K54" s="22">
        <f ca="1">K53*$E53</f>
        <v>0</v>
      </c>
      <c r="L54" s="22">
        <f ca="1">L53*$E53</f>
        <v>0</v>
      </c>
      <c r="M54" s="22">
        <f t="shared" ref="M54" ca="1" si="162">M53*$E53</f>
        <v>0</v>
      </c>
      <c r="N54" s="22">
        <f t="shared" ref="N54" ca="1" si="163">N53*$E53</f>
        <v>0</v>
      </c>
      <c r="O54" s="22">
        <f t="shared" ref="O54" ca="1" si="164">O53*$E53</f>
        <v>0</v>
      </c>
      <c r="P54" s="22">
        <f t="shared" ref="P54" ca="1" si="165">P53*$E53</f>
        <v>0</v>
      </c>
      <c r="Q54" s="22">
        <f t="shared" ref="Q54" ca="1" si="166">Q53*$E53</f>
        <v>0</v>
      </c>
      <c r="R54" s="22">
        <f t="shared" ref="R54" ca="1" si="167">R53*$E53</f>
        <v>0</v>
      </c>
      <c r="S54" s="22">
        <f t="shared" ref="S54" ca="1" si="168">S53*$E53</f>
        <v>2163252</v>
      </c>
      <c r="U54" s="17"/>
      <c r="V54" s="18"/>
      <c r="W54" s="19"/>
      <c r="X54" s="20"/>
    </row>
    <row r="55" spans="1:24">
      <c r="A55" s="212"/>
      <c r="B55" s="212"/>
      <c r="C55" s="206" t="s">
        <v>23</v>
      </c>
      <c r="D55" s="199" t="str">
        <f>VLOOKUP(C55,'仕掛品名寄（貼付）'!B:C,2,FALSE)</f>
        <v>その他</v>
      </c>
      <c r="E55" s="199">
        <f>VLOOKUP(D55,'仕掛品標準単価一覧表（貼付）'!B:G,6,FALSE)</f>
        <v>1080</v>
      </c>
      <c r="F55" s="12" t="s">
        <v>246</v>
      </c>
      <c r="G55" s="13">
        <v>350.5</v>
      </c>
      <c r="H55" s="13">
        <f ca="1">SUMIF('1.3②原材料使用'!B:E,C55,'1.3②原材料使用'!E:E)</f>
        <v>0</v>
      </c>
      <c r="I55" s="13">
        <f ca="1">SUMIF('2.10原液別作業時間'!A:B,C55,'2.10原液別作業時間'!B:B)</f>
        <v>0</v>
      </c>
      <c r="J55" s="13">
        <f ca="1">SUM(G55:H55,K55)</f>
        <v>350.5</v>
      </c>
      <c r="K55" s="13">
        <f ca="1">SUMIF('2.2⑤純増減→前工程費'!B:E,C55,'2.2⑤純増減→前工程費'!E:E)</f>
        <v>0</v>
      </c>
      <c r="L55" s="13">
        <f ca="1">SUMIF('2.6完成品'!C:D,C55,'2.6完成品'!D:D)</f>
        <v>0</v>
      </c>
      <c r="M55" s="13">
        <f ca="1">SUMIF('2.3研究費'!D:E,C55,'2.3研究費'!E:E)</f>
        <v>0</v>
      </c>
      <c r="N55" s="13">
        <f ca="1">SUMIF('2.4販促費'!D:E,C55,'2.4販促費'!E:E)</f>
        <v>0</v>
      </c>
      <c r="O55" s="13">
        <f ca="1">SUMIF('2.5廃棄処分'!D:E,C55,'2.5廃棄処分'!E:E)</f>
        <v>0</v>
      </c>
      <c r="P55" s="13">
        <f ca="1">SUMIF('2.1④異種原液'!D:E,C55,'2.1④異種原液'!E:E)</f>
        <v>234</v>
      </c>
      <c r="Q55" s="14">
        <f ca="1">SUMIF('2.7製造部生産分'!D:I,C55,'2.7製造部生産分'!H:H)</f>
        <v>0</v>
      </c>
      <c r="R55" s="15">
        <f ca="1">-(G55+H55+K55-L55-M55-N55-O55-P55-Q55-S55)</f>
        <v>-1.5</v>
      </c>
      <c r="S55" s="13">
        <f ca="1">SUMIF('2.9原液在庫'!B:H,C55,'2.9原液在庫'!H:H)</f>
        <v>115</v>
      </c>
      <c r="T55" s="16">
        <f ca="1">IFERROR(SUM(G56:K56)/(G55+H55+K55),0)</f>
        <v>1119.2693724419128</v>
      </c>
      <c r="U55" s="17" t="str">
        <f>C55</f>
        <v>16HIｸ</v>
      </c>
      <c r="V55" s="18">
        <f ca="1">IF(ISERROR(SUM(G56:K56)/SUM(L55:Q55,S55)),0,SUM(G56:K56)/SUM(L55:Q55,S55))</f>
        <v>1124.079985790517</v>
      </c>
      <c r="W55" s="19">
        <f ca="1">V55</f>
        <v>1124.079985790517</v>
      </c>
      <c r="X55" s="20">
        <f ca="1">W55/1000</f>
        <v>1.124079985790517</v>
      </c>
    </row>
    <row r="56" spans="1:24">
      <c r="A56" s="212"/>
      <c r="B56" s="212"/>
      <c r="C56" s="199"/>
      <c r="D56" s="199"/>
      <c r="E56" s="199"/>
      <c r="F56" s="21" t="s">
        <v>247</v>
      </c>
      <c r="G56" s="22">
        <v>381788.91504089045</v>
      </c>
      <c r="H56" s="184"/>
      <c r="I56" s="23">
        <f ca="1">I55*労務費経費単価SC!D$7</f>
        <v>0</v>
      </c>
      <c r="J56" s="23">
        <f ca="1">J55*労務費経費単価SC!D$11</f>
        <v>10515</v>
      </c>
      <c r="K56" s="22">
        <f ca="1">K55*$E55</f>
        <v>0</v>
      </c>
      <c r="L56" s="22">
        <f ca="1">L55*$E55</f>
        <v>0</v>
      </c>
      <c r="M56" s="22">
        <f t="shared" ref="M56" ca="1" si="169">M55*$E55</f>
        <v>0</v>
      </c>
      <c r="N56" s="22">
        <f t="shared" ref="N56" ca="1" si="170">N55*$E55</f>
        <v>0</v>
      </c>
      <c r="O56" s="22">
        <f t="shared" ref="O56" ca="1" si="171">O55*$E55</f>
        <v>0</v>
      </c>
      <c r="P56" s="22">
        <f t="shared" ref="P56" ca="1" si="172">P55*$E55</f>
        <v>252720</v>
      </c>
      <c r="Q56" s="22">
        <f t="shared" ref="Q56" ca="1" si="173">Q55*$E55</f>
        <v>0</v>
      </c>
      <c r="R56" s="22">
        <f t="shared" ref="R56" ca="1" si="174">R55*$E55</f>
        <v>-1620</v>
      </c>
      <c r="S56" s="22">
        <f t="shared" ref="S56" ca="1" si="175">S55*$E55</f>
        <v>124200</v>
      </c>
      <c r="U56" s="17"/>
      <c r="V56" s="18"/>
      <c r="W56" s="19"/>
      <c r="X56" s="20"/>
    </row>
    <row r="57" spans="1:24">
      <c r="A57" s="212"/>
      <c r="B57" s="212"/>
      <c r="C57" s="199" t="s">
        <v>270</v>
      </c>
      <c r="D57" s="199" t="str">
        <f>VLOOKUP(C57,'仕掛品名寄（貼付）'!B:C,2,FALSE)</f>
        <v>その他</v>
      </c>
      <c r="E57" s="199">
        <f>VLOOKUP(D57,'仕掛品標準単価一覧表（貼付）'!B:G,6,FALSE)</f>
        <v>1080</v>
      </c>
      <c r="F57" s="12" t="s">
        <v>246</v>
      </c>
      <c r="G57" s="13">
        <v>0</v>
      </c>
      <c r="H57" s="13">
        <f ca="1">SUMIF('1.3②原材料使用'!B:E,C57,'1.3②原材料使用'!E:E)</f>
        <v>0</v>
      </c>
      <c r="I57" s="13">
        <f ca="1">SUMIF('2.10原液別作業時間'!A:B,C57,'2.10原液別作業時間'!B:B)</f>
        <v>0</v>
      </c>
      <c r="J57" s="13">
        <f ca="1">SUM(G57:H57,K57)</f>
        <v>0</v>
      </c>
      <c r="K57" s="13">
        <f ca="1">SUMIF('2.2⑤純増減→前工程費'!B:E,C57,'2.2⑤純増減→前工程費'!E:E)</f>
        <v>0</v>
      </c>
      <c r="L57" s="13">
        <f ca="1">SUMIF('2.6完成品'!C:D,C57,'2.6完成品'!D:D)</f>
        <v>0</v>
      </c>
      <c r="M57" s="13">
        <f ca="1">SUMIF('2.3研究費'!D:E,C57,'2.3研究費'!E:E)</f>
        <v>0</v>
      </c>
      <c r="N57" s="13">
        <f ca="1">SUMIF('2.4販促費'!D:E,C57,'2.4販促費'!E:E)</f>
        <v>0</v>
      </c>
      <c r="O57" s="13">
        <f ca="1">SUMIF('2.5廃棄処分'!D:E,C57,'2.5廃棄処分'!E:E)</f>
        <v>0</v>
      </c>
      <c r="P57" s="13">
        <f ca="1">SUMIF('2.1④異種原液'!D:E,C57,'2.1④異種原液'!E:E)</f>
        <v>0</v>
      </c>
      <c r="Q57" s="14">
        <f ca="1">SUMIF('2.7製造部生産分'!D:I,C57,'2.7製造部生産分'!H:H)</f>
        <v>0</v>
      </c>
      <c r="R57" s="15">
        <f ca="1">-(G57+H57+K57-L57-M57-N57-O57-P57-Q57-S57)</f>
        <v>0</v>
      </c>
      <c r="S57" s="13">
        <f ca="1">SUMIF('2.9原液在庫'!B:H,C57,'2.9原液在庫'!H:H)</f>
        <v>0</v>
      </c>
      <c r="T57" s="16">
        <f ca="1">IFERROR(SUM(G58:K58)/(G57+H57+K57),0)</f>
        <v>0</v>
      </c>
      <c r="U57" s="17" t="str">
        <f>C57</f>
        <v>16HIｺ</v>
      </c>
      <c r="V57" s="18">
        <f ca="1">IF(ISERROR(SUM(G58:K58)/SUM(L57:Q57,S57)),0,SUM(G58:K58)/SUM(L57:Q57,S57))</f>
        <v>0</v>
      </c>
      <c r="W57" s="19">
        <f ca="1">V57</f>
        <v>0</v>
      </c>
      <c r="X57" s="20">
        <f ca="1">W57/1000</f>
        <v>0</v>
      </c>
    </row>
    <row r="58" spans="1:24">
      <c r="A58" s="212"/>
      <c r="B58" s="212"/>
      <c r="C58" s="199"/>
      <c r="D58" s="199"/>
      <c r="E58" s="199"/>
      <c r="F58" s="21" t="s">
        <v>247</v>
      </c>
      <c r="G58" s="22" t="s">
        <v>254</v>
      </c>
      <c r="H58" s="184"/>
      <c r="I58" s="23">
        <f ca="1">I57*労務費経費単価SC!D$7</f>
        <v>0</v>
      </c>
      <c r="J58" s="23">
        <f ca="1">J57*労務費経費単価SC!D$11</f>
        <v>0</v>
      </c>
      <c r="K58" s="22">
        <f ca="1">K57*$E57</f>
        <v>0</v>
      </c>
      <c r="L58" s="22">
        <f ca="1">L57*$E57</f>
        <v>0</v>
      </c>
      <c r="M58" s="22">
        <f t="shared" ref="M58" ca="1" si="176">M57*$E57</f>
        <v>0</v>
      </c>
      <c r="N58" s="22">
        <f t="shared" ref="N58" ca="1" si="177">N57*$E57</f>
        <v>0</v>
      </c>
      <c r="O58" s="22">
        <f t="shared" ref="O58" ca="1" si="178">O57*$E57</f>
        <v>0</v>
      </c>
      <c r="P58" s="22">
        <f t="shared" ref="P58" ca="1" si="179">P57*$E57</f>
        <v>0</v>
      </c>
      <c r="Q58" s="22">
        <f t="shared" ref="Q58" ca="1" si="180">Q57*$E57</f>
        <v>0</v>
      </c>
      <c r="R58" s="22">
        <f t="shared" ref="R58" ca="1" si="181">R57*$E57</f>
        <v>0</v>
      </c>
      <c r="S58" s="22">
        <f t="shared" ref="S58" ca="1" si="182">S57*$E57</f>
        <v>0</v>
      </c>
      <c r="U58" s="17"/>
      <c r="V58" s="18"/>
      <c r="W58" s="19"/>
      <c r="X58" s="20"/>
    </row>
    <row r="59" spans="1:24">
      <c r="A59" s="212"/>
      <c r="B59" s="212"/>
      <c r="C59" s="199" t="s">
        <v>271</v>
      </c>
      <c r="D59" s="199" t="str">
        <f>VLOOKUP(C59,'仕掛品名寄（貼付）'!B:C,2,FALSE)</f>
        <v>HIパ</v>
      </c>
      <c r="E59" s="199">
        <f>VLOOKUP(D59,'仕掛品標準単価一覧表（貼付）'!B:G,6,FALSE)</f>
        <v>1283</v>
      </c>
      <c r="F59" s="12" t="s">
        <v>246</v>
      </c>
      <c r="G59" s="13">
        <v>0</v>
      </c>
      <c r="H59" s="13">
        <f ca="1">SUMIF('1.3②原材料使用'!B:E,C59,'1.3②原材料使用'!E:E)</f>
        <v>0</v>
      </c>
      <c r="I59" s="13">
        <f ca="1">SUMIF('2.10原液別作業時間'!A:B,C59,'2.10原液別作業時間'!B:B)</f>
        <v>0</v>
      </c>
      <c r="J59" s="13">
        <f ca="1">SUM(G59:H59,K59)</f>
        <v>0</v>
      </c>
      <c r="K59" s="13">
        <f ca="1">SUMIF('2.2⑤純増減→前工程費'!B:E,C59,'2.2⑤純増減→前工程費'!E:E)</f>
        <v>0</v>
      </c>
      <c r="L59" s="13">
        <f ca="1">SUMIF('2.6完成品'!C:D,C59,'2.6完成品'!D:D)</f>
        <v>0</v>
      </c>
      <c r="M59" s="13">
        <f ca="1">SUMIF('2.3研究費'!D:E,C59,'2.3研究費'!E:E)</f>
        <v>0</v>
      </c>
      <c r="N59" s="13">
        <f ca="1">SUMIF('2.4販促費'!D:E,C59,'2.4販促費'!E:E)</f>
        <v>0</v>
      </c>
      <c r="O59" s="13">
        <f ca="1">SUMIF('2.5廃棄処分'!D:E,C59,'2.5廃棄処分'!E:E)</f>
        <v>0</v>
      </c>
      <c r="P59" s="13">
        <f ca="1">SUMIF('2.1④異種原液'!D:E,C59,'2.1④異種原液'!E:E)</f>
        <v>0</v>
      </c>
      <c r="Q59" s="14">
        <f ca="1">SUMIF('2.7製造部生産分'!D:I,C59,'2.7製造部生産分'!H:H)</f>
        <v>0</v>
      </c>
      <c r="R59" s="15">
        <f ca="1">-(G59+H59+K59-L59-M59-N59-O59-P59-Q59-S59)</f>
        <v>0</v>
      </c>
      <c r="S59" s="13">
        <f ca="1">SUMIF('2.9原液在庫'!B:H,C59,'2.9原液在庫'!H:H)</f>
        <v>0</v>
      </c>
      <c r="T59" s="16">
        <f ca="1">IFERROR(SUM(G60:K60)/(G59+H59+K59),0)</f>
        <v>0</v>
      </c>
      <c r="U59" s="17" t="str">
        <f>C59</f>
        <v>16HIﾊﾟ</v>
      </c>
      <c r="V59" s="18">
        <f ca="1">IF(ISERROR(SUM(G60:K60)/SUM(L59:Q59,S59)),0,SUM(G60:K60)/SUM(L59:Q59,S59))</f>
        <v>0</v>
      </c>
      <c r="W59" s="19">
        <f ca="1">V59</f>
        <v>0</v>
      </c>
      <c r="X59" s="20">
        <f ca="1">W59/1000</f>
        <v>0</v>
      </c>
    </row>
    <row r="60" spans="1:24">
      <c r="A60" s="212"/>
      <c r="B60" s="212"/>
      <c r="C60" s="199"/>
      <c r="D60" s="199"/>
      <c r="E60" s="199"/>
      <c r="F60" s="21" t="s">
        <v>247</v>
      </c>
      <c r="G60" s="22" t="s">
        <v>254</v>
      </c>
      <c r="H60" s="184"/>
      <c r="I60" s="23">
        <f ca="1">I59*労務費経費単価SC!D$7</f>
        <v>0</v>
      </c>
      <c r="J60" s="23">
        <f ca="1">J59*労務費経費単価SC!D$11</f>
        <v>0</v>
      </c>
      <c r="K60" s="22">
        <f ca="1">K59*$E59</f>
        <v>0</v>
      </c>
      <c r="L60" s="22">
        <f ca="1">L59*$E59</f>
        <v>0</v>
      </c>
      <c r="M60" s="22">
        <f t="shared" ref="M60" ca="1" si="183">M59*$E59</f>
        <v>0</v>
      </c>
      <c r="N60" s="22">
        <f t="shared" ref="N60" ca="1" si="184">N59*$E59</f>
        <v>0</v>
      </c>
      <c r="O60" s="22">
        <f t="shared" ref="O60" ca="1" si="185">O59*$E59</f>
        <v>0</v>
      </c>
      <c r="P60" s="22">
        <f t="shared" ref="P60" ca="1" si="186">P59*$E59</f>
        <v>0</v>
      </c>
      <c r="Q60" s="22">
        <f t="shared" ref="Q60" ca="1" si="187">Q59*$E59</f>
        <v>0</v>
      </c>
      <c r="R60" s="22">
        <f t="shared" ref="R60" ca="1" si="188">R59*$E59</f>
        <v>0</v>
      </c>
      <c r="S60" s="22">
        <f t="shared" ref="S60" ca="1" si="189">S59*$E59</f>
        <v>0</v>
      </c>
      <c r="U60" s="17"/>
      <c r="V60" s="18"/>
      <c r="W60" s="19"/>
      <c r="X60" s="20"/>
    </row>
    <row r="61" spans="1:24">
      <c r="A61" s="212"/>
      <c r="B61" s="212"/>
      <c r="C61" s="199" t="s">
        <v>272</v>
      </c>
      <c r="D61" s="199" t="str">
        <f>VLOOKUP(C61,'仕掛品名寄（貼付）'!B:C,2,FALSE)</f>
        <v>その他</v>
      </c>
      <c r="E61" s="199">
        <f>VLOOKUP(D61,'仕掛品標準単価一覧表（貼付）'!B:G,6,FALSE)</f>
        <v>1080</v>
      </c>
      <c r="F61" s="12" t="s">
        <v>246</v>
      </c>
      <c r="G61" s="13">
        <v>0</v>
      </c>
      <c r="H61" s="13">
        <f ca="1">SUMIF('1.3②原材料使用'!B:E,C61,'1.3②原材料使用'!E:E)</f>
        <v>0</v>
      </c>
      <c r="I61" s="13">
        <f ca="1">SUMIF('2.10原液別作業時間'!A:B,C61,'2.10原液別作業時間'!B:B)</f>
        <v>0</v>
      </c>
      <c r="J61" s="13">
        <f ca="1">SUM(G61:H61,K61)</f>
        <v>0</v>
      </c>
      <c r="K61" s="13">
        <f ca="1">SUMIF('2.2⑤純増減→前工程費'!B:E,C61,'2.2⑤純増減→前工程費'!E:E)</f>
        <v>0</v>
      </c>
      <c r="L61" s="13">
        <f ca="1">SUMIF('2.6完成品'!C:D,C61,'2.6完成品'!D:D)</f>
        <v>0</v>
      </c>
      <c r="M61" s="13">
        <f ca="1">SUMIF('2.3研究費'!D:E,C61,'2.3研究費'!E:E)</f>
        <v>0</v>
      </c>
      <c r="N61" s="13">
        <f ca="1">SUMIF('2.4販促費'!D:E,C61,'2.4販促費'!E:E)</f>
        <v>0</v>
      </c>
      <c r="O61" s="13">
        <f ca="1">SUMIF('2.5廃棄処分'!D:E,C61,'2.5廃棄処分'!E:E)</f>
        <v>0</v>
      </c>
      <c r="P61" s="13">
        <f ca="1">SUMIF('2.1④異種原液'!D:E,C61,'2.1④異種原液'!E:E)</f>
        <v>0</v>
      </c>
      <c r="Q61" s="14">
        <f ca="1">SUMIF('2.7製造部生産分'!D:I,C61,'2.7製造部生産分'!H:H)</f>
        <v>0</v>
      </c>
      <c r="R61" s="15">
        <f ca="1">-(G61+H61+K61-L61-M61-N61-O61-P61-Q61-S61)</f>
        <v>0</v>
      </c>
      <c r="S61" s="13">
        <f ca="1">SUMIF('2.9原液在庫'!B:H,C61,'2.9原液在庫'!H:H)</f>
        <v>0</v>
      </c>
      <c r="T61" s="16">
        <f ca="1">IFERROR(SUM(G62:K62)/(G61+H61+K61),0)</f>
        <v>0</v>
      </c>
      <c r="U61" s="17" t="str">
        <f>C61</f>
        <v>16HIAﾊﾟ</v>
      </c>
      <c r="V61" s="18">
        <f ca="1">IF(ISERROR(SUM(G62:K62)/SUM(L61:Q61,S61)),0,SUM(G62:K62)/SUM(L61:Q61,S61))</f>
        <v>0</v>
      </c>
      <c r="W61" s="19">
        <f ca="1">V61</f>
        <v>0</v>
      </c>
      <c r="X61" s="20">
        <f ca="1">W61/1000</f>
        <v>0</v>
      </c>
    </row>
    <row r="62" spans="1:24">
      <c r="A62" s="212"/>
      <c r="B62" s="212"/>
      <c r="C62" s="199"/>
      <c r="D62" s="199"/>
      <c r="E62" s="199"/>
      <c r="F62" s="21" t="s">
        <v>247</v>
      </c>
      <c r="G62" s="22" t="s">
        <v>254</v>
      </c>
      <c r="H62" s="184"/>
      <c r="I62" s="23">
        <f ca="1">I61*労務費経費単価SC!D$7</f>
        <v>0</v>
      </c>
      <c r="J62" s="23">
        <f ca="1">J61*労務費経費単価SC!D$11</f>
        <v>0</v>
      </c>
      <c r="K62" s="22">
        <f ca="1">K61*$E61</f>
        <v>0</v>
      </c>
      <c r="L62" s="22">
        <f ca="1">L61*$E61</f>
        <v>0</v>
      </c>
      <c r="M62" s="22">
        <f t="shared" ref="M62" ca="1" si="190">M61*$E61</f>
        <v>0</v>
      </c>
      <c r="N62" s="22">
        <f t="shared" ref="N62" ca="1" si="191">N61*$E61</f>
        <v>0</v>
      </c>
      <c r="O62" s="22">
        <f t="shared" ref="O62" ca="1" si="192">O61*$E61</f>
        <v>0</v>
      </c>
      <c r="P62" s="22">
        <f t="shared" ref="P62" ca="1" si="193">P61*$E61</f>
        <v>0</v>
      </c>
      <c r="Q62" s="22">
        <f t="shared" ref="Q62" ca="1" si="194">Q61*$E61</f>
        <v>0</v>
      </c>
      <c r="R62" s="22">
        <f t="shared" ref="R62" ca="1" si="195">R61*$E61</f>
        <v>0</v>
      </c>
      <c r="S62" s="22">
        <f t="shared" ref="S62" ca="1" si="196">S61*$E61</f>
        <v>0</v>
      </c>
      <c r="U62" s="17"/>
      <c r="V62" s="18"/>
      <c r="W62" s="19"/>
      <c r="X62" s="20"/>
    </row>
    <row r="63" spans="1:24">
      <c r="A63" s="212"/>
      <c r="B63" s="212"/>
      <c r="C63" s="211" t="s">
        <v>273</v>
      </c>
      <c r="D63" s="199" t="str">
        <f>VLOOKUP(C63,'仕掛品名寄（貼付）'!B:C,2,FALSE)</f>
        <v>その他</v>
      </c>
      <c r="E63" s="199">
        <f>VLOOKUP(D63,'仕掛品標準単価一覧表（貼付）'!B:G,6,FALSE)</f>
        <v>1080</v>
      </c>
      <c r="F63" s="12" t="s">
        <v>246</v>
      </c>
      <c r="G63" s="13">
        <v>0</v>
      </c>
      <c r="H63" s="13">
        <f ca="1">SUMIF('1.3②原材料使用'!B:E,C63,'1.3②原材料使用'!E:E)</f>
        <v>0</v>
      </c>
      <c r="I63" s="13">
        <f ca="1">SUMIF('2.10原液別作業時間'!A:B,C63,'2.10原液別作業時間'!B:B)</f>
        <v>0</v>
      </c>
      <c r="J63" s="13">
        <f ca="1">SUM(G63:H63,K63)</f>
        <v>0</v>
      </c>
      <c r="K63" s="13">
        <f ca="1">SUMIF('2.2⑤純増減→前工程費'!B:E,C63,'2.2⑤純増減→前工程費'!E:E)</f>
        <v>0</v>
      </c>
      <c r="L63" s="13">
        <f ca="1">SUMIF('2.6完成品'!C:D,C63,'2.6完成品'!D:D)</f>
        <v>0</v>
      </c>
      <c r="M63" s="13">
        <f ca="1">SUMIF('2.3研究費'!D:E,C63,'2.3研究費'!E:E)</f>
        <v>0</v>
      </c>
      <c r="N63" s="13">
        <f ca="1">SUMIF('2.4販促費'!D:E,C63,'2.4販促費'!E:E)</f>
        <v>0</v>
      </c>
      <c r="O63" s="13">
        <f ca="1">SUMIF('2.5廃棄処分'!D:E,C63,'2.5廃棄処分'!E:E)</f>
        <v>0</v>
      </c>
      <c r="P63" s="13">
        <f ca="1">SUMIF('2.1④異種原液'!D:E,C63,'2.1④異種原液'!E:E)</f>
        <v>0</v>
      </c>
      <c r="Q63" s="14">
        <f ca="1">SUMIF('2.7製造部生産分'!D:I,C63,'2.7製造部生産分'!H:H)</f>
        <v>0</v>
      </c>
      <c r="R63" s="15">
        <f ca="1">-(G63+H63+K63-L63-M63-N63-O63-P63-Q63-S63)</f>
        <v>0</v>
      </c>
      <c r="S63" s="13">
        <f ca="1">SUMIF('2.9原液在庫'!B:H,C63,'2.9原液在庫'!H:H)</f>
        <v>0</v>
      </c>
      <c r="T63" s="16">
        <f ca="1">IFERROR(SUM(G64:K64)/(G63+H63+K63),0)</f>
        <v>0</v>
      </c>
      <c r="U63" s="17" t="str">
        <f>C63</f>
        <v>16HIX</v>
      </c>
      <c r="V63" s="18">
        <f ca="1">IF(ISERROR(SUM(G64:K64)/SUM(L63:Q63,S63)),0,SUM(G64:K64)/SUM(L63:Q63,S63))</f>
        <v>0</v>
      </c>
      <c r="W63" s="19">
        <f ca="1">V63</f>
        <v>0</v>
      </c>
      <c r="X63" s="20">
        <f ca="1">W63/1000</f>
        <v>0</v>
      </c>
    </row>
    <row r="64" spans="1:24">
      <c r="A64" s="212"/>
      <c r="B64" s="212"/>
      <c r="C64" s="201"/>
      <c r="D64" s="199"/>
      <c r="E64" s="199"/>
      <c r="F64" s="21" t="s">
        <v>247</v>
      </c>
      <c r="G64" s="22" t="s">
        <v>254</v>
      </c>
      <c r="H64" s="184"/>
      <c r="I64" s="23">
        <f ca="1">I63*労務費経費単価SC!D$7</f>
        <v>0</v>
      </c>
      <c r="J64" s="23">
        <f ca="1">J63*労務費経費単価SC!D$11</f>
        <v>0</v>
      </c>
      <c r="K64" s="22">
        <f ca="1">K63*$E63</f>
        <v>0</v>
      </c>
      <c r="L64" s="22">
        <f ca="1">L63*$E63</f>
        <v>0</v>
      </c>
      <c r="M64" s="22">
        <f t="shared" ref="M64" ca="1" si="197">M63*$E63</f>
        <v>0</v>
      </c>
      <c r="N64" s="22">
        <f t="shared" ref="N64" ca="1" si="198">N63*$E63</f>
        <v>0</v>
      </c>
      <c r="O64" s="22">
        <f t="shared" ref="O64" ca="1" si="199">O63*$E63</f>
        <v>0</v>
      </c>
      <c r="P64" s="22">
        <f t="shared" ref="P64" ca="1" si="200">P63*$E63</f>
        <v>0</v>
      </c>
      <c r="Q64" s="22">
        <f t="shared" ref="Q64" ca="1" si="201">Q63*$E63</f>
        <v>0</v>
      </c>
      <c r="R64" s="22">
        <f t="shared" ref="R64" ca="1" si="202">R63*$E63</f>
        <v>0</v>
      </c>
      <c r="S64" s="22">
        <f t="shared" ref="S64" ca="1" si="203">S63*$E63</f>
        <v>0</v>
      </c>
      <c r="U64" s="17"/>
      <c r="V64" s="18"/>
      <c r="W64" s="19"/>
      <c r="X64" s="20"/>
    </row>
    <row r="65" spans="1:24">
      <c r="A65" s="212"/>
      <c r="B65" s="212"/>
      <c r="C65" s="206" t="s">
        <v>27</v>
      </c>
      <c r="D65" s="199" t="str">
        <f>VLOOKUP(C65,'仕掛品名寄（貼付）'!B:C,2,FALSE)</f>
        <v>その他</v>
      </c>
      <c r="E65" s="199">
        <f>VLOOKUP(D65,'仕掛品標準単価一覧表（貼付）'!B:G,6,FALSE)</f>
        <v>1080</v>
      </c>
      <c r="F65" s="12" t="s">
        <v>246</v>
      </c>
      <c r="G65" s="24">
        <v>0</v>
      </c>
      <c r="H65" s="13">
        <f ca="1">SUMIF('1.3②原材料使用'!B:E,C65,'1.3②原材料使用'!E:E)</f>
        <v>0</v>
      </c>
      <c r="I65" s="13">
        <f ca="1">SUMIF('2.10原液別作業時間'!A:B,C65,'2.10原液別作業時間'!B:B)</f>
        <v>0</v>
      </c>
      <c r="J65" s="13">
        <f ca="1">SUM(G65:H65,K65)</f>
        <v>0</v>
      </c>
      <c r="K65" s="13">
        <f ca="1">SUMIF('2.2⑤純増減→前工程費'!B:E,C65,'2.2⑤純増減→前工程費'!E:E)</f>
        <v>0</v>
      </c>
      <c r="L65" s="13">
        <f ca="1">SUMIF('2.6完成品'!C:D,C65,'2.6完成品'!D:D)</f>
        <v>0</v>
      </c>
      <c r="M65" s="13">
        <f ca="1">SUMIF('2.3研究費'!D:E,C65,'2.3研究費'!E:E)</f>
        <v>0</v>
      </c>
      <c r="N65" s="13">
        <f ca="1">SUMIF('2.4販促費'!D:E,C65,'2.4販促費'!E:E)</f>
        <v>0</v>
      </c>
      <c r="O65" s="13">
        <f ca="1">SUMIF('2.5廃棄処分'!D:E,C65,'2.5廃棄処分'!E:E)</f>
        <v>0</v>
      </c>
      <c r="P65" s="13">
        <f ca="1">SUMIF('2.1④異種原液'!D:E,C65,'2.1④異種原液'!E:E)</f>
        <v>0</v>
      </c>
      <c r="Q65" s="14">
        <f ca="1">SUMIF('2.7製造部生産分'!D:I,C65,'2.7製造部生産分'!H:H)</f>
        <v>0</v>
      </c>
      <c r="R65" s="15">
        <f ca="1">-(G65+H65+K65-L65-M65-N65-O65-P65-Q65-S65)</f>
        <v>0</v>
      </c>
      <c r="S65" s="13">
        <f ca="1">SUMIF('2.9原液在庫'!B:H,C65,'2.9原液在庫'!H:H)</f>
        <v>0</v>
      </c>
      <c r="T65" s="16">
        <f ca="1">IFERROR(SUM(G66:K66)/(G65+H65+K65),0)</f>
        <v>0</v>
      </c>
      <c r="U65" s="17" t="str">
        <f>C65</f>
        <v>16HI海</v>
      </c>
      <c r="V65" s="18">
        <f ca="1">IF(ISERROR(SUM(G66:K66)/SUM(L65:Q65,S65)),0,SUM(G66:K66)/SUM(L65:Q65,S65))</f>
        <v>0</v>
      </c>
      <c r="W65" s="19">
        <f ca="1">V65</f>
        <v>0</v>
      </c>
      <c r="X65" s="20">
        <f ca="1">W65/1000</f>
        <v>0</v>
      </c>
    </row>
    <row r="66" spans="1:24">
      <c r="A66" s="212"/>
      <c r="B66" s="212"/>
      <c r="C66" s="199"/>
      <c r="D66" s="199"/>
      <c r="E66" s="199"/>
      <c r="F66" s="21" t="s">
        <v>247</v>
      </c>
      <c r="G66" s="22" t="s">
        <v>254</v>
      </c>
      <c r="H66" s="184"/>
      <c r="I66" s="23">
        <f ca="1">I65*労務費経費単価SC!D$7</f>
        <v>0</v>
      </c>
      <c r="J66" s="23">
        <f ca="1">J65*労務費経費単価SC!D$11</f>
        <v>0</v>
      </c>
      <c r="K66" s="22">
        <f ca="1">K65*$E65</f>
        <v>0</v>
      </c>
      <c r="L66" s="22">
        <f ca="1">L65*$E65</f>
        <v>0</v>
      </c>
      <c r="M66" s="22">
        <f t="shared" ref="M66" ca="1" si="204">M65*$E65</f>
        <v>0</v>
      </c>
      <c r="N66" s="22">
        <f t="shared" ref="N66" ca="1" si="205">N65*$E65</f>
        <v>0</v>
      </c>
      <c r="O66" s="22">
        <f t="shared" ref="O66" ca="1" si="206">O65*$E65</f>
        <v>0</v>
      </c>
      <c r="P66" s="22">
        <f t="shared" ref="P66" ca="1" si="207">P65*$E65</f>
        <v>0</v>
      </c>
      <c r="Q66" s="22">
        <f t="shared" ref="Q66" ca="1" si="208">Q65*$E65</f>
        <v>0</v>
      </c>
      <c r="R66" s="22">
        <f t="shared" ref="R66" ca="1" si="209">R65*$E65</f>
        <v>0</v>
      </c>
      <c r="S66" s="22">
        <f t="shared" ref="S66" ca="1" si="210">S65*$E65</f>
        <v>0</v>
      </c>
      <c r="U66" s="17"/>
      <c r="V66" s="18"/>
      <c r="W66" s="19"/>
      <c r="X66" s="20"/>
    </row>
    <row r="67" spans="1:24">
      <c r="A67" s="212"/>
      <c r="B67" s="212"/>
      <c r="C67" s="199" t="s">
        <v>274</v>
      </c>
      <c r="D67" s="199" t="str">
        <f>VLOOKUP(C67,'仕掛品名寄（貼付）'!B:C,2,FALSE)</f>
        <v>G</v>
      </c>
      <c r="E67" s="199">
        <f>VLOOKUP(D67,'仕掛品標準単価一覧表（貼付）'!B:G,6,FALSE)</f>
        <v>2344.7183999999997</v>
      </c>
      <c r="F67" s="12" t="s">
        <v>246</v>
      </c>
      <c r="G67" s="24">
        <v>36.5</v>
      </c>
      <c r="H67" s="13">
        <f ca="1">SUMIF('1.3②原材料使用'!B:E,C67,'1.3②原材料使用'!E:E)</f>
        <v>0</v>
      </c>
      <c r="I67" s="13">
        <f ca="1">SUMIF('2.10原液別作業時間'!A:B,C67,'2.10原液別作業時間'!B:B)</f>
        <v>0</v>
      </c>
      <c r="J67" s="13">
        <f ca="1">SUM(G67:H67,K67)</f>
        <v>36.5</v>
      </c>
      <c r="K67" s="13">
        <f ca="1">SUMIF('2.2⑤純増減→前工程費'!B:E,C67,'2.2⑤純増減→前工程費'!E:E)</f>
        <v>0</v>
      </c>
      <c r="L67" s="13">
        <f ca="1">SUMIF('2.6完成品'!C:D,C67,'2.6完成品'!D:D)</f>
        <v>0</v>
      </c>
      <c r="M67" s="13">
        <f ca="1">SUMIF('2.3研究費'!D:E,C67,'2.3研究費'!E:E)</f>
        <v>0</v>
      </c>
      <c r="N67" s="13">
        <f ca="1">SUMIF('2.4販促費'!D:E,C67,'2.4販促費'!E:E)</f>
        <v>0</v>
      </c>
      <c r="O67" s="13">
        <f ca="1">SUMIF('2.5廃棄処分'!D:E,C67,'2.5廃棄処分'!E:E)</f>
        <v>0</v>
      </c>
      <c r="P67" s="13">
        <f ca="1">SUMIF('2.1④異種原液'!D:E,C67,'2.1④異種原液'!E:E)</f>
        <v>0</v>
      </c>
      <c r="Q67" s="14">
        <f ca="1">SUMIF('2.7製造部生産分'!D:I,C67,'2.7製造部生産分'!H:H)</f>
        <v>0</v>
      </c>
      <c r="R67" s="15">
        <f ca="1">-(G67+H67+K67-L67-M67-N67-O67-P67-Q67-S67)</f>
        <v>0</v>
      </c>
      <c r="S67" s="13">
        <f ca="1">SUMIF('2.9原液在庫'!B:H,C67,'2.9原液在庫'!H:H)</f>
        <v>36.5</v>
      </c>
      <c r="T67" s="16">
        <f ca="1">IFERROR(SUM(G68:K68)/(G67+H67+K67),0)</f>
        <v>1071.6435680090544</v>
      </c>
      <c r="U67" s="17" t="str">
        <f>C67</f>
        <v>16G</v>
      </c>
      <c r="V67" s="18">
        <f ca="1">IF(ISERROR(SUM(G68:K68)/SUM(L67:Q67,S67)),0,SUM(G68:K68)/SUM(L67:Q67,S67))</f>
        <v>1071.6435680090544</v>
      </c>
      <c r="W67" s="19">
        <f ca="1">V67</f>
        <v>1071.6435680090544</v>
      </c>
      <c r="X67" s="20">
        <f ca="1">W67/1000</f>
        <v>1.0716435680090544</v>
      </c>
    </row>
    <row r="68" spans="1:24">
      <c r="A68" s="212"/>
      <c r="B68" s="212"/>
      <c r="C68" s="199"/>
      <c r="D68" s="199"/>
      <c r="E68" s="199"/>
      <c r="F68" s="21" t="s">
        <v>247</v>
      </c>
      <c r="G68" s="22">
        <v>38019.990232330485</v>
      </c>
      <c r="H68" s="184"/>
      <c r="I68" s="23">
        <f ca="1">I67*労務費経費単価SC!D$7</f>
        <v>0</v>
      </c>
      <c r="J68" s="23">
        <f ca="1">J67*労務費経費単価SC!D$11</f>
        <v>1095</v>
      </c>
      <c r="K68" s="22">
        <f ca="1">K67*$E67</f>
        <v>0</v>
      </c>
      <c r="L68" s="22">
        <f ca="1">L67*$E67</f>
        <v>0</v>
      </c>
      <c r="M68" s="22">
        <f t="shared" ref="M68" ca="1" si="211">M67*$E67</f>
        <v>0</v>
      </c>
      <c r="N68" s="22">
        <f t="shared" ref="N68" ca="1" si="212">N67*$E67</f>
        <v>0</v>
      </c>
      <c r="O68" s="22">
        <f t="shared" ref="O68" ca="1" si="213">O67*$E67</f>
        <v>0</v>
      </c>
      <c r="P68" s="22">
        <f t="shared" ref="P68" ca="1" si="214">P67*$E67</f>
        <v>0</v>
      </c>
      <c r="Q68" s="22">
        <f t="shared" ref="Q68" ca="1" si="215">Q67*$E67</f>
        <v>0</v>
      </c>
      <c r="R68" s="22">
        <f t="shared" ref="R68" ca="1" si="216">R67*$E67</f>
        <v>0</v>
      </c>
      <c r="S68" s="22">
        <f t="shared" ref="S68" ca="1" si="217">S67*$E67</f>
        <v>85582.22159999999</v>
      </c>
      <c r="U68" s="17"/>
      <c r="V68" s="18"/>
      <c r="W68" s="19"/>
      <c r="X68" s="20"/>
    </row>
    <row r="69" spans="1:24">
      <c r="A69" s="212"/>
      <c r="B69" s="212"/>
      <c r="C69" s="211" t="s">
        <v>275</v>
      </c>
      <c r="D69" s="199" t="str">
        <f>VLOOKUP(C69,'仕掛品名寄（貼付）'!B:C,2,FALSE)</f>
        <v>GA</v>
      </c>
      <c r="E69" s="199">
        <f>VLOOKUP(D69,'仕掛品標準単価一覧表（貼付）'!B:G,6,FALSE)</f>
        <v>2374.7183999999997</v>
      </c>
      <c r="F69" s="12" t="s">
        <v>246</v>
      </c>
      <c r="G69" s="13">
        <v>0</v>
      </c>
      <c r="H69" s="13">
        <f ca="1">SUMIF('1.3②原材料使用'!B:E,C69,'1.3②原材料使用'!E:E)</f>
        <v>0</v>
      </c>
      <c r="I69" s="13">
        <f ca="1">SUMIF('2.10原液別作業時間'!A:B,C69,'2.10原液別作業時間'!B:B)</f>
        <v>0</v>
      </c>
      <c r="J69" s="13">
        <f ca="1">SUM(G69:H69,K69)</f>
        <v>0</v>
      </c>
      <c r="K69" s="13">
        <f ca="1">SUMIF('2.2⑤純増減→前工程費'!B:E,C69,'2.2⑤純増減→前工程費'!E:E)</f>
        <v>0</v>
      </c>
      <c r="L69" s="13">
        <f ca="1">SUMIF('2.6完成品'!C:D,C69,'2.6完成品'!D:D)</f>
        <v>0</v>
      </c>
      <c r="M69" s="13">
        <f ca="1">SUMIF('2.3研究費'!D:E,C69,'2.3研究費'!E:E)</f>
        <v>0</v>
      </c>
      <c r="N69" s="13">
        <f ca="1">SUMIF('2.4販促費'!D:E,C69,'2.4販促費'!E:E)</f>
        <v>0</v>
      </c>
      <c r="O69" s="13">
        <f ca="1">SUMIF('2.5廃棄処分'!D:E,C69,'2.5廃棄処分'!E:E)</f>
        <v>0</v>
      </c>
      <c r="P69" s="13">
        <f ca="1">SUMIF('2.1④異種原液'!D:E,C69,'2.1④異種原液'!E:E)</f>
        <v>0</v>
      </c>
      <c r="Q69" s="14">
        <f ca="1">SUMIF('2.7製造部生産分'!D:I,C69,'2.7製造部生産分'!H:H)</f>
        <v>0</v>
      </c>
      <c r="R69" s="15">
        <f ca="1">-(G69+H69+K69-L69-M69-N69-O69-P69-Q69-S69)</f>
        <v>0</v>
      </c>
      <c r="S69" s="13">
        <f ca="1">SUMIF('2.9原液在庫'!B:H,C69,'2.9原液在庫'!H:H)</f>
        <v>0</v>
      </c>
      <c r="T69" s="16">
        <f ca="1">IFERROR(SUM(G70:K70)/(G69+H69+K69),0)</f>
        <v>0</v>
      </c>
      <c r="U69" s="17" t="str">
        <f>C69</f>
        <v>16GA</v>
      </c>
      <c r="V69" s="18">
        <f ca="1">IF(ISERROR(SUM(G70:K70)/SUM(L69:Q69,S69)),0,SUM(G70:K70)/SUM(L69:Q69,S69))</f>
        <v>0</v>
      </c>
      <c r="W69" s="19">
        <f ca="1">V69</f>
        <v>0</v>
      </c>
      <c r="X69" s="20">
        <f ca="1">W69/1000</f>
        <v>0</v>
      </c>
    </row>
    <row r="70" spans="1:24">
      <c r="A70" s="201"/>
      <c r="B70" s="201"/>
      <c r="C70" s="201"/>
      <c r="D70" s="199"/>
      <c r="E70" s="199"/>
      <c r="F70" s="21" t="s">
        <v>247</v>
      </c>
      <c r="G70" s="22" t="s">
        <v>254</v>
      </c>
      <c r="H70" s="184"/>
      <c r="I70" s="23">
        <f ca="1">I69*労務費経費単価SC!D$7</f>
        <v>0</v>
      </c>
      <c r="J70" s="23">
        <f ca="1">J69*労務費経費単価SC!D$11</f>
        <v>0</v>
      </c>
      <c r="K70" s="22">
        <f ca="1">K69*$E69</f>
        <v>0</v>
      </c>
      <c r="L70" s="22">
        <f ca="1">L69*$E69</f>
        <v>0</v>
      </c>
      <c r="M70" s="22">
        <f t="shared" ref="M70" ca="1" si="218">M69*$E69</f>
        <v>0</v>
      </c>
      <c r="N70" s="22">
        <f t="shared" ref="N70" ca="1" si="219">N69*$E69</f>
        <v>0</v>
      </c>
      <c r="O70" s="22">
        <f t="shared" ref="O70" ca="1" si="220">O69*$E69</f>
        <v>0</v>
      </c>
      <c r="P70" s="22">
        <f t="shared" ref="P70" ca="1" si="221">P69*$E69</f>
        <v>0</v>
      </c>
      <c r="Q70" s="22">
        <f t="shared" ref="Q70" ca="1" si="222">Q69*$E69</f>
        <v>0</v>
      </c>
      <c r="R70" s="22">
        <f t="shared" ref="R70" ca="1" si="223">R69*$E69</f>
        <v>0</v>
      </c>
      <c r="S70" s="22">
        <f t="shared" ref="S70" ca="1" si="224">S69*$E69</f>
        <v>0</v>
      </c>
      <c r="U70" s="17"/>
      <c r="V70" s="18"/>
      <c r="W70" s="19"/>
      <c r="X70" s="20"/>
    </row>
    <row r="71" spans="1:24">
      <c r="A71" s="211" t="s">
        <v>276</v>
      </c>
      <c r="B71" s="211">
        <v>17</v>
      </c>
      <c r="C71" s="199" t="s">
        <v>277</v>
      </c>
      <c r="D71" s="199" t="str">
        <f>VLOOKUP(C71,'仕掛品名寄（貼付）'!B:C,2,FALSE)</f>
        <v>R</v>
      </c>
      <c r="E71" s="199">
        <f>VLOOKUP(D71,'仕掛品標準単価一覧表（貼付）'!B:G,6,FALSE)</f>
        <v>908</v>
      </c>
      <c r="F71" s="12" t="s">
        <v>246</v>
      </c>
      <c r="G71" s="13">
        <v>521.5</v>
      </c>
      <c r="H71" s="13">
        <f ca="1">SUMIF('1.3②原材料使用'!B:E,C71,'1.3②原材料使用'!E:E)</f>
        <v>0</v>
      </c>
      <c r="I71" s="13">
        <f ca="1">SUMIF('2.10原液別作業時間'!A:B,C71,'2.10原液別作業時間'!B:B)</f>
        <v>0</v>
      </c>
      <c r="J71" s="13">
        <f ca="1">SUM(G71:H71,K71)</f>
        <v>521.5</v>
      </c>
      <c r="K71" s="13">
        <f ca="1">SUMIF('2.2⑤純増減→前工程費'!B:E,C71,'2.2⑤純増減→前工程費'!E:E)</f>
        <v>0</v>
      </c>
      <c r="L71" s="13">
        <f ca="1">SUMIF('2.6完成品'!C:D,C71,'2.6完成品'!D:D)</f>
        <v>0</v>
      </c>
      <c r="M71" s="13">
        <f ca="1">SUMIF('2.3研究費'!D:E,C71,'2.3研究費'!E:E)</f>
        <v>0</v>
      </c>
      <c r="N71" s="13">
        <f ca="1">SUMIF('2.4販促費'!D:E,C71,'2.4販促費'!E:E)</f>
        <v>0</v>
      </c>
      <c r="O71" s="13">
        <f ca="1">SUMIF('2.5廃棄処分'!D:E,C71,'2.5廃棄処分'!E:E)</f>
        <v>0</v>
      </c>
      <c r="P71" s="13">
        <f ca="1">SUMIF('2.1④異種原液'!D:E,C71,'2.1④異種原液'!E:E)</f>
        <v>0</v>
      </c>
      <c r="Q71" s="14">
        <f ca="1">SUMIF('2.7製造部生産分'!D:I,C71,'2.7製造部生産分'!H:H)</f>
        <v>0</v>
      </c>
      <c r="R71" s="15">
        <f ca="1">-(G71+H71+K71-L71-M71-N71-O71-P71-Q71-S71)</f>
        <v>0</v>
      </c>
      <c r="S71" s="13">
        <f ca="1">SUMIF('2.9原液在庫'!B:H,C71,'2.9原液在庫'!H:H)</f>
        <v>521.5</v>
      </c>
      <c r="T71" s="16">
        <f ca="1">IFERROR(SUM(G72:K72)/(G71+H71+K71),0)</f>
        <v>1210.7008115134086</v>
      </c>
      <c r="U71" s="17" t="str">
        <f>C71</f>
        <v>17R</v>
      </c>
      <c r="V71" s="18">
        <f ca="1">IF(ISERROR(SUM(G72:K72)/SUM(L71:Q71,S71)),0,SUM(G72:K72)/SUM(L71:Q71,S71))</f>
        <v>1210.7008115134086</v>
      </c>
      <c r="W71" s="19">
        <f ca="1">V71</f>
        <v>1210.7008115134086</v>
      </c>
      <c r="X71" s="20">
        <f ca="1">W71/1000</f>
        <v>1.2107008115134086</v>
      </c>
    </row>
    <row r="72" spans="1:24">
      <c r="A72" s="212"/>
      <c r="B72" s="212"/>
      <c r="C72" s="199"/>
      <c r="D72" s="199"/>
      <c r="E72" s="199"/>
      <c r="F72" s="21" t="s">
        <v>247</v>
      </c>
      <c r="G72" s="22">
        <v>615735.47320424253</v>
      </c>
      <c r="H72" s="184"/>
      <c r="I72" s="23">
        <f ca="1">I71*労務費経費単価SC!D$7</f>
        <v>0</v>
      </c>
      <c r="J72" s="23">
        <f ca="1">J71*労務費経費単価SC!D$11</f>
        <v>15645</v>
      </c>
      <c r="K72" s="22">
        <f ca="1">K71*$E71</f>
        <v>0</v>
      </c>
      <c r="L72" s="22">
        <f ca="1">L71*$E71</f>
        <v>0</v>
      </c>
      <c r="M72" s="22">
        <f t="shared" ref="M72" ca="1" si="225">M71*$E71</f>
        <v>0</v>
      </c>
      <c r="N72" s="22">
        <f t="shared" ref="N72" ca="1" si="226">N71*$E71</f>
        <v>0</v>
      </c>
      <c r="O72" s="22">
        <f t="shared" ref="O72" ca="1" si="227">O71*$E71</f>
        <v>0</v>
      </c>
      <c r="P72" s="22">
        <f t="shared" ref="P72" ca="1" si="228">P71*$E71</f>
        <v>0</v>
      </c>
      <c r="Q72" s="22">
        <f t="shared" ref="Q72" ca="1" si="229">Q71*$E71</f>
        <v>0</v>
      </c>
      <c r="R72" s="22">
        <f t="shared" ref="R72" ca="1" si="230">R71*$E71</f>
        <v>0</v>
      </c>
      <c r="S72" s="22">
        <f t="shared" ref="S72" ca="1" si="231">S71*$E71</f>
        <v>473522</v>
      </c>
      <c r="U72" s="17"/>
      <c r="V72" s="18"/>
      <c r="W72" s="19"/>
      <c r="X72" s="20"/>
    </row>
    <row r="73" spans="1:24">
      <c r="A73" s="212"/>
      <c r="B73" s="212"/>
      <c r="C73" s="199" t="s">
        <v>278</v>
      </c>
      <c r="D73" s="199" t="str">
        <f>VLOOKUP(C73,'仕掛品名寄（貼付）'!B:C,2,FALSE)</f>
        <v>その他</v>
      </c>
      <c r="E73" s="199">
        <f>VLOOKUP(D73,'仕掛品標準単価一覧表（貼付）'!B:G,6,FALSE)</f>
        <v>1080</v>
      </c>
      <c r="F73" s="12" t="s">
        <v>246</v>
      </c>
      <c r="G73" s="24">
        <v>0</v>
      </c>
      <c r="H73" s="13">
        <f ca="1">SUMIF('1.3②原材料使用'!B:E,C73,'1.3②原材料使用'!E:E)</f>
        <v>0</v>
      </c>
      <c r="I73" s="13">
        <f ca="1">SUMIF('2.10原液別作業時間'!A:B,C73,'2.10原液別作業時間'!B:B)</f>
        <v>0</v>
      </c>
      <c r="J73" s="13">
        <f ca="1">SUM(G73:H73,K73)</f>
        <v>0</v>
      </c>
      <c r="K73" s="13">
        <f ca="1">SUMIF('2.2⑤純増減→前工程費'!B:E,C73,'2.2⑤純増減→前工程費'!E:E)</f>
        <v>0</v>
      </c>
      <c r="L73" s="13">
        <f ca="1">SUMIF('2.6完成品'!C:D,C73,'2.6完成品'!D:D)</f>
        <v>0</v>
      </c>
      <c r="M73" s="13">
        <f ca="1">SUMIF('2.3研究費'!D:E,C73,'2.3研究費'!E:E)</f>
        <v>0</v>
      </c>
      <c r="N73" s="13">
        <f ca="1">SUMIF('2.4販促費'!D:E,C73,'2.4販促費'!E:E)</f>
        <v>0</v>
      </c>
      <c r="O73" s="13">
        <f ca="1">SUMIF('2.5廃棄処分'!D:E,C73,'2.5廃棄処分'!E:E)</f>
        <v>0</v>
      </c>
      <c r="P73" s="13">
        <f ca="1">SUMIF('2.1④異種原液'!D:E,C73,'2.1④異種原液'!E:E)</f>
        <v>0</v>
      </c>
      <c r="Q73" s="14">
        <f ca="1">SUMIF('2.7製造部生産分'!D:I,C73,'2.7製造部生産分'!H:H)</f>
        <v>0</v>
      </c>
      <c r="R73" s="15">
        <f ca="1">-(G73+H73+K73-L73-M73-N73-O73-P73-Q73-S73)</f>
        <v>0</v>
      </c>
      <c r="S73" s="13">
        <f ca="1">SUMIF('2.9原液在庫'!B:H,C73,'2.9原液在庫'!H:H)</f>
        <v>0</v>
      </c>
      <c r="T73" s="16">
        <f ca="1">IFERROR(SUM(G74:K74)/(G73+H73+K73),0)</f>
        <v>0</v>
      </c>
      <c r="U73" s="17" t="str">
        <f>C73</f>
        <v>17Rｸ</v>
      </c>
      <c r="V73" s="18">
        <f ca="1">IF(ISERROR(SUM(G74:K74)/SUM(L73:Q73,S73)),0,SUM(G74:K74)/SUM(L73:Q73,S73))</f>
        <v>0</v>
      </c>
      <c r="W73" s="19">
        <f ca="1">V73</f>
        <v>0</v>
      </c>
      <c r="X73" s="20">
        <f ca="1">W73/1000</f>
        <v>0</v>
      </c>
    </row>
    <row r="74" spans="1:24">
      <c r="A74" s="212"/>
      <c r="B74" s="212"/>
      <c r="C74" s="199"/>
      <c r="D74" s="199"/>
      <c r="E74" s="199"/>
      <c r="F74" s="21" t="s">
        <v>247</v>
      </c>
      <c r="G74" s="22" t="s">
        <v>254</v>
      </c>
      <c r="H74" s="184"/>
      <c r="I74" s="23">
        <f ca="1">I73*労務費経費単価SC!D$7</f>
        <v>0</v>
      </c>
      <c r="J74" s="23">
        <f ca="1">J73*労務費経費単価SC!D$11</f>
        <v>0</v>
      </c>
      <c r="K74" s="22">
        <f ca="1">K73*$E73</f>
        <v>0</v>
      </c>
      <c r="L74" s="22">
        <f ca="1">L73*$E73</f>
        <v>0</v>
      </c>
      <c r="M74" s="22">
        <f t="shared" ref="M74" ca="1" si="232">M73*$E73</f>
        <v>0</v>
      </c>
      <c r="N74" s="22">
        <f t="shared" ref="N74" ca="1" si="233">N73*$E73</f>
        <v>0</v>
      </c>
      <c r="O74" s="22">
        <f t="shared" ref="O74" ca="1" si="234">O73*$E73</f>
        <v>0</v>
      </c>
      <c r="P74" s="22">
        <f t="shared" ref="P74" ca="1" si="235">P73*$E73</f>
        <v>0</v>
      </c>
      <c r="Q74" s="22">
        <f t="shared" ref="Q74" ca="1" si="236">Q73*$E73</f>
        <v>0</v>
      </c>
      <c r="R74" s="22">
        <f t="shared" ref="R74" ca="1" si="237">R73*$E73</f>
        <v>0</v>
      </c>
      <c r="S74" s="22">
        <f t="shared" ref="S74" ca="1" si="238">S73*$E73</f>
        <v>0</v>
      </c>
      <c r="U74" s="17"/>
      <c r="V74" s="18"/>
      <c r="W74" s="19"/>
      <c r="X74" s="20"/>
    </row>
    <row r="75" spans="1:24">
      <c r="A75" s="212"/>
      <c r="B75" s="212"/>
      <c r="C75" s="199" t="s">
        <v>29</v>
      </c>
      <c r="D75" s="199" t="str">
        <f>VLOOKUP(C75,'仕掛品名寄（貼付）'!B:C,2,FALSE)</f>
        <v>その他</v>
      </c>
      <c r="E75" s="199">
        <f>VLOOKUP(D75,'仕掛品標準単価一覧表（貼付）'!B:G,6,FALSE)</f>
        <v>1080</v>
      </c>
      <c r="F75" s="12" t="s">
        <v>246</v>
      </c>
      <c r="G75" s="24">
        <v>0</v>
      </c>
      <c r="H75" s="13">
        <f ca="1">SUMIF('1.3②原材料使用'!B:E,C75,'1.3②原材料使用'!E:E)</f>
        <v>0</v>
      </c>
      <c r="I75" s="13">
        <f ca="1">SUMIF('2.10原液別作業時間'!A:B,C75,'2.10原液別作業時間'!B:B)</f>
        <v>0</v>
      </c>
      <c r="J75" s="13">
        <f ca="1">SUM(G75:H75,K75)</f>
        <v>0</v>
      </c>
      <c r="K75" s="13">
        <f ca="1">SUMIF('2.2⑤純増減→前工程費'!B:E,C75,'2.2⑤純増減→前工程費'!E:E)</f>
        <v>0</v>
      </c>
      <c r="L75" s="13">
        <f ca="1">SUMIF('2.6完成品'!C:D,C75,'2.6完成品'!D:D)</f>
        <v>0</v>
      </c>
      <c r="M75" s="13">
        <f ca="1">SUMIF('2.3研究費'!D:E,C75,'2.3研究費'!E:E)</f>
        <v>0</v>
      </c>
      <c r="N75" s="13">
        <f ca="1">SUMIF('2.4販促費'!D:E,C75,'2.4販促費'!E:E)</f>
        <v>0</v>
      </c>
      <c r="O75" s="13">
        <f ca="1">SUMIF('2.5廃棄処分'!D:E,C75,'2.5廃棄処分'!E:E)</f>
        <v>0</v>
      </c>
      <c r="P75" s="13">
        <f ca="1">SUMIF('2.1④異種原液'!D:E,C75,'2.1④異種原液'!E:E)</f>
        <v>0</v>
      </c>
      <c r="Q75" s="14">
        <f ca="1">SUMIF('2.7製造部生産分'!D:I,C75,'2.7製造部生産分'!H:H)</f>
        <v>0</v>
      </c>
      <c r="R75" s="15">
        <f ca="1">-(G75+H75+K75-L75-M75-N75-O75-P75-Q75-S75)</f>
        <v>0</v>
      </c>
      <c r="S75" s="13">
        <f ca="1">SUMIF('2.9原液在庫'!B:H,C75,'2.9原液在庫'!H:H)</f>
        <v>0</v>
      </c>
      <c r="T75" s="16">
        <f ca="1">IFERROR(SUM(G76:K76)/(G75+H75+K75),0)</f>
        <v>0</v>
      </c>
      <c r="U75" s="17" t="str">
        <f>C75</f>
        <v>17Rﾊﾟ</v>
      </c>
      <c r="V75" s="18">
        <f ca="1">IF(ISERROR(SUM(G76:K76)/SUM(L75:Q75,S75)),0,SUM(G76:K76)/SUM(L75:Q75,S75))</f>
        <v>0</v>
      </c>
      <c r="W75" s="19">
        <f ca="1">V75</f>
        <v>0</v>
      </c>
      <c r="X75" s="20">
        <f ca="1">W75/1000</f>
        <v>0</v>
      </c>
    </row>
    <row r="76" spans="1:24">
      <c r="A76" s="212"/>
      <c r="B76" s="212"/>
      <c r="C76" s="199"/>
      <c r="D76" s="199"/>
      <c r="E76" s="199"/>
      <c r="F76" s="21" t="s">
        <v>247</v>
      </c>
      <c r="G76" s="22" t="s">
        <v>254</v>
      </c>
      <c r="H76" s="184"/>
      <c r="I76" s="23">
        <f ca="1">I75*労務費経費単価SC!D$7</f>
        <v>0</v>
      </c>
      <c r="J76" s="23">
        <f ca="1">J75*労務費経費単価SC!D$11</f>
        <v>0</v>
      </c>
      <c r="K76" s="22">
        <f ca="1">K75*$E75</f>
        <v>0</v>
      </c>
      <c r="L76" s="22">
        <f ca="1">L75*$E75</f>
        <v>0</v>
      </c>
      <c r="M76" s="22">
        <f t="shared" ref="M76" ca="1" si="239">M75*$E75</f>
        <v>0</v>
      </c>
      <c r="N76" s="22">
        <f t="shared" ref="N76" ca="1" si="240">N75*$E75</f>
        <v>0</v>
      </c>
      <c r="O76" s="22">
        <f t="shared" ref="O76" ca="1" si="241">O75*$E75</f>
        <v>0</v>
      </c>
      <c r="P76" s="22">
        <f t="shared" ref="P76" ca="1" si="242">P75*$E75</f>
        <v>0</v>
      </c>
      <c r="Q76" s="22">
        <f t="shared" ref="Q76" ca="1" si="243">Q75*$E75</f>
        <v>0</v>
      </c>
      <c r="R76" s="22">
        <f t="shared" ref="R76" ca="1" si="244">R75*$E75</f>
        <v>0</v>
      </c>
      <c r="S76" s="22">
        <f t="shared" ref="S76" ca="1" si="245">S75*$E75</f>
        <v>0</v>
      </c>
      <c r="U76" s="17"/>
      <c r="V76" s="18"/>
      <c r="W76" s="19"/>
      <c r="X76" s="20"/>
    </row>
    <row r="77" spans="1:24">
      <c r="A77" s="212"/>
      <c r="B77" s="212"/>
      <c r="C77" s="206" t="s">
        <v>30</v>
      </c>
      <c r="D77" s="199" t="str">
        <f>VLOOKUP(C77,'仕掛品名寄（貼付）'!B:C,2,FALSE)</f>
        <v>その他</v>
      </c>
      <c r="E77" s="199">
        <f>VLOOKUP(D77,'仕掛品標準単価一覧表（貼付）'!B:G,6,FALSE)</f>
        <v>1080</v>
      </c>
      <c r="F77" s="12" t="s">
        <v>246</v>
      </c>
      <c r="G77" s="24">
        <v>0</v>
      </c>
      <c r="H77" s="13">
        <f ca="1">SUMIF('1.3②原材料使用'!B:E,C77,'1.3②原材料使用'!E:E)</f>
        <v>0</v>
      </c>
      <c r="I77" s="13">
        <f ca="1">SUMIF('2.10原液別作業時間'!A:B,C77,'2.10原液別作業時間'!B:B)</f>
        <v>0</v>
      </c>
      <c r="J77" s="13">
        <f ca="1">SUM(G77:H77,K77)</f>
        <v>0</v>
      </c>
      <c r="K77" s="13">
        <f ca="1">SUMIF('2.2⑤純増減→前工程費'!B:E,C77,'2.2⑤純増減→前工程費'!E:E)</f>
        <v>0</v>
      </c>
      <c r="L77" s="13">
        <f ca="1">SUMIF('2.6完成品'!C:D,C77,'2.6完成品'!D:D)</f>
        <v>0</v>
      </c>
      <c r="M77" s="13">
        <f ca="1">SUMIF('2.3研究費'!D:E,C77,'2.3研究費'!E:E)</f>
        <v>0</v>
      </c>
      <c r="N77" s="13">
        <f ca="1">SUMIF('2.4販促費'!D:E,C77,'2.4販促費'!E:E)</f>
        <v>0</v>
      </c>
      <c r="O77" s="13">
        <f ca="1">SUMIF('2.5廃棄処分'!D:E,C77,'2.5廃棄処分'!E:E)</f>
        <v>0</v>
      </c>
      <c r="P77" s="13">
        <f ca="1">SUMIF('2.1④異種原液'!D:E,C77,'2.1④異種原液'!E:E)</f>
        <v>0</v>
      </c>
      <c r="Q77" s="14">
        <f ca="1">SUMIF('2.7製造部生産分'!D:I,C77,'2.7製造部生産分'!H:H)</f>
        <v>0</v>
      </c>
      <c r="R77" s="15">
        <f ca="1">-(G77+H77+K77-L77-M77-N77-O77-P77-Q77-S77)</f>
        <v>0</v>
      </c>
      <c r="S77" s="13">
        <f ca="1">SUMIF('2.9原液在庫'!B:H,C77,'2.9原液在庫'!H:H)</f>
        <v>0</v>
      </c>
      <c r="T77" s="16">
        <f ca="1">IFERROR(SUM(G78:K78)/(G77+H77+K77),0)</f>
        <v>0</v>
      </c>
      <c r="U77" s="17" t="str">
        <f>C77</f>
        <v>17Rﾊﾟ海</v>
      </c>
      <c r="V77" s="18">
        <f ca="1">IF(ISERROR(SUM(G78:K78)/SUM(L77:Q77,S77)),0,SUM(G78:K78)/SUM(L77:Q77,S77))</f>
        <v>0</v>
      </c>
      <c r="W77" s="19">
        <f ca="1">V77</f>
        <v>0</v>
      </c>
      <c r="X77" s="20">
        <f ca="1">W77/1000</f>
        <v>0</v>
      </c>
    </row>
    <row r="78" spans="1:24">
      <c r="A78" s="212"/>
      <c r="B78" s="212"/>
      <c r="C78" s="199"/>
      <c r="D78" s="199"/>
      <c r="E78" s="199"/>
      <c r="F78" s="21" t="s">
        <v>247</v>
      </c>
      <c r="G78" s="22" t="s">
        <v>254</v>
      </c>
      <c r="H78" s="184"/>
      <c r="I78" s="23">
        <f ca="1">I77*労務費経費単価SC!D$7</f>
        <v>0</v>
      </c>
      <c r="J78" s="23">
        <f ca="1">J77*労務費経費単価SC!D$11</f>
        <v>0</v>
      </c>
      <c r="K78" s="22">
        <f ca="1">K77*$E77</f>
        <v>0</v>
      </c>
      <c r="L78" s="22">
        <f ca="1">L77*$E77</f>
        <v>0</v>
      </c>
      <c r="M78" s="22">
        <f t="shared" ref="M78" ca="1" si="246">M77*$E77</f>
        <v>0</v>
      </c>
      <c r="N78" s="22">
        <f t="shared" ref="N78" ca="1" si="247">N77*$E77</f>
        <v>0</v>
      </c>
      <c r="O78" s="22">
        <f t="shared" ref="O78" ca="1" si="248">O77*$E77</f>
        <v>0</v>
      </c>
      <c r="P78" s="22">
        <f t="shared" ref="P78" ca="1" si="249">P77*$E77</f>
        <v>0</v>
      </c>
      <c r="Q78" s="22">
        <f t="shared" ref="Q78" ca="1" si="250">Q77*$E77</f>
        <v>0</v>
      </c>
      <c r="R78" s="22">
        <f t="shared" ref="R78" ca="1" si="251">R77*$E77</f>
        <v>0</v>
      </c>
      <c r="S78" s="22">
        <f t="shared" ref="S78" ca="1" si="252">S77*$E77</f>
        <v>0</v>
      </c>
      <c r="U78" s="17"/>
      <c r="V78" s="18"/>
      <c r="W78" s="19"/>
      <c r="X78" s="20"/>
    </row>
    <row r="79" spans="1:24">
      <c r="A79" s="212"/>
      <c r="B79" s="212"/>
      <c r="C79" s="199" t="s">
        <v>279</v>
      </c>
      <c r="D79" s="199" t="str">
        <f>VLOOKUP(C79,'仕掛品名寄（貼付）'!B:C,2,FALSE)</f>
        <v>その他</v>
      </c>
      <c r="E79" s="199">
        <f>VLOOKUP(D79,'仕掛品標準単価一覧表（貼付）'!B:G,6,FALSE)</f>
        <v>1080</v>
      </c>
      <c r="F79" s="12" t="s">
        <v>246</v>
      </c>
      <c r="G79" s="24">
        <v>1099.5</v>
      </c>
      <c r="H79" s="13">
        <f ca="1">SUMIF('1.3②原材料使用'!B:E,C79,'1.3②原材料使用'!E:E)</f>
        <v>0</v>
      </c>
      <c r="I79" s="13">
        <f ca="1">SUMIF('2.10原液別作業時間'!A:B,C79,'2.10原液別作業時間'!B:B)</f>
        <v>0</v>
      </c>
      <c r="J79" s="13">
        <f ca="1">SUM(G79:H79,K79)</f>
        <v>1099.5</v>
      </c>
      <c r="K79" s="13">
        <f ca="1">SUMIF('2.2⑤純増減→前工程費'!B:E,C79,'2.2⑤純増減→前工程費'!E:E)</f>
        <v>0</v>
      </c>
      <c r="L79" s="13">
        <f ca="1">SUMIF('2.6完成品'!C:D,C79,'2.6完成品'!D:D)</f>
        <v>0</v>
      </c>
      <c r="M79" s="13">
        <f ca="1">SUMIF('2.3研究費'!D:E,C79,'2.3研究費'!E:E)</f>
        <v>0</v>
      </c>
      <c r="N79" s="13">
        <f ca="1">SUMIF('2.4販促費'!D:E,C79,'2.4販促費'!E:E)</f>
        <v>0</v>
      </c>
      <c r="O79" s="13">
        <f ca="1">SUMIF('2.5廃棄処分'!D:E,C79,'2.5廃棄処分'!E:E)</f>
        <v>0</v>
      </c>
      <c r="P79" s="13">
        <f ca="1">SUMIF('2.1④異種原液'!D:E,C79,'2.1④異種原液'!E:E)</f>
        <v>0</v>
      </c>
      <c r="Q79" s="14">
        <f ca="1">SUMIF('2.7製造部生産分'!D:I,C79,'2.7製造部生産分'!H:H)</f>
        <v>0</v>
      </c>
      <c r="R79" s="15">
        <f ca="1">-(G79+H79+K79-L79-M79-N79-O79-P79-Q79-S79)</f>
        <v>0</v>
      </c>
      <c r="S79" s="13">
        <f ca="1">SUMIF('2.9原液在庫'!B:H,C79,'2.9原液在庫'!H:H)</f>
        <v>1099.5</v>
      </c>
      <c r="T79" s="16">
        <f ca="1">IFERROR(SUM(G80:K80)/(G79+H79+K79),0)</f>
        <v>1107.272745623651</v>
      </c>
      <c r="U79" s="17" t="str">
        <f>C79</f>
        <v>17R納</v>
      </c>
      <c r="V79" s="18">
        <f ca="1">IF(ISERROR(SUM(G80:K80)/SUM(L79:Q79,S79)),0,SUM(G80:K80)/SUM(L79:Q79,S79))</f>
        <v>1107.272745623651</v>
      </c>
      <c r="W79" s="19">
        <f ca="1">V79</f>
        <v>1107.272745623651</v>
      </c>
      <c r="X79" s="20">
        <f ca="1">W79/1000</f>
        <v>1.1072727456236509</v>
      </c>
    </row>
    <row r="80" spans="1:24">
      <c r="A80" s="212"/>
      <c r="B80" s="212"/>
      <c r="C80" s="199"/>
      <c r="D80" s="199"/>
      <c r="E80" s="199"/>
      <c r="F80" s="21" t="s">
        <v>247</v>
      </c>
      <c r="G80" s="22">
        <v>1184461.3838132042</v>
      </c>
      <c r="H80" s="184"/>
      <c r="I80" s="23">
        <f ca="1">I79*労務費経費単価SC!D$7</f>
        <v>0</v>
      </c>
      <c r="J80" s="23">
        <f ca="1">J79*労務費経費単価SC!D$11</f>
        <v>32985</v>
      </c>
      <c r="K80" s="22">
        <f ca="1">K79*$E79</f>
        <v>0</v>
      </c>
      <c r="L80" s="22">
        <f ca="1">L79*$E79</f>
        <v>0</v>
      </c>
      <c r="M80" s="22">
        <f t="shared" ref="M80" ca="1" si="253">M79*$E79</f>
        <v>0</v>
      </c>
      <c r="N80" s="22">
        <f t="shared" ref="N80" ca="1" si="254">N79*$E79</f>
        <v>0</v>
      </c>
      <c r="O80" s="22">
        <f t="shared" ref="O80" ca="1" si="255">O79*$E79</f>
        <v>0</v>
      </c>
      <c r="P80" s="22">
        <f t="shared" ref="P80" ca="1" si="256">P79*$E79</f>
        <v>0</v>
      </c>
      <c r="Q80" s="22">
        <f t="shared" ref="Q80" ca="1" si="257">Q79*$E79</f>
        <v>0</v>
      </c>
      <c r="R80" s="22">
        <f t="shared" ref="R80" ca="1" si="258">R79*$E79</f>
        <v>0</v>
      </c>
      <c r="S80" s="22">
        <f t="shared" ref="S80" ca="1" si="259">S79*$E79</f>
        <v>1187460</v>
      </c>
      <c r="U80" s="17"/>
      <c r="V80" s="18"/>
      <c r="W80" s="19"/>
      <c r="X80" s="20"/>
    </row>
    <row r="81" spans="1:24">
      <c r="A81" s="212"/>
      <c r="B81" s="212"/>
      <c r="C81" s="199" t="s">
        <v>280</v>
      </c>
      <c r="D81" s="199" t="str">
        <f>VLOOKUP(C81,'仕掛品名寄（貼付）'!B:C,2,FALSE)</f>
        <v>HI</v>
      </c>
      <c r="E81" s="199">
        <f>VLOOKUP(D81,'仕掛品標準単価一覧表（貼付）'!B:G,6,FALSE)</f>
        <v>1176</v>
      </c>
      <c r="F81" s="12" t="s">
        <v>246</v>
      </c>
      <c r="G81" s="24">
        <v>419.5</v>
      </c>
      <c r="H81" s="13">
        <f ca="1">SUMIF('1.3②原材料使用'!B:E,C81,'1.3②原材料使用'!E:E)</f>
        <v>0</v>
      </c>
      <c r="I81" s="13">
        <f ca="1">SUMIF('2.10原液別作業時間'!A:B,C81,'2.10原液別作業時間'!B:B)</f>
        <v>0</v>
      </c>
      <c r="J81" s="13">
        <f ca="1">SUM(G81:H81,K81)</f>
        <v>419.5</v>
      </c>
      <c r="K81" s="13">
        <f ca="1">SUMIF('2.2⑤純増減→前工程費'!B:E,C81,'2.2⑤純増減→前工程費'!E:E)</f>
        <v>0</v>
      </c>
      <c r="L81" s="13">
        <f ca="1">SUMIF('2.6完成品'!C:D,C81,'2.6完成品'!D:D)</f>
        <v>0</v>
      </c>
      <c r="M81" s="13">
        <f ca="1">SUMIF('2.3研究費'!D:E,C81,'2.3研究費'!E:E)</f>
        <v>0</v>
      </c>
      <c r="N81" s="13">
        <f ca="1">SUMIF('2.4販促費'!D:E,C81,'2.4販促費'!E:E)</f>
        <v>0</v>
      </c>
      <c r="O81" s="13">
        <f ca="1">SUMIF('2.5廃棄処分'!D:E,C81,'2.5廃棄処分'!E:E)</f>
        <v>0</v>
      </c>
      <c r="P81" s="13">
        <f ca="1">SUMIF('2.1④異種原液'!D:E,C81,'2.1④異種原液'!E:E)</f>
        <v>0</v>
      </c>
      <c r="Q81" s="14">
        <f ca="1">SUMIF('2.7製造部生産分'!D:I,C81,'2.7製造部生産分'!H:H)</f>
        <v>0</v>
      </c>
      <c r="R81" s="15">
        <f ca="1">-(G81+H81+K81-L81-M81-N81-O81-P81-Q81-S81)</f>
        <v>0</v>
      </c>
      <c r="S81" s="13">
        <f ca="1">SUMIF('2.9原液在庫'!B:H,C81,'2.9原液在庫'!H:H)</f>
        <v>419.5</v>
      </c>
      <c r="T81" s="16">
        <f ca="1">IFERROR(SUM(G82:K82)/(G81+H81+K81),0)</f>
        <v>1227.239388669818</v>
      </c>
      <c r="U81" s="17" t="str">
        <f>C81</f>
        <v>17HI</v>
      </c>
      <c r="V81" s="18">
        <f ca="1">IF(ISERROR(SUM(G82:K82)/SUM(L81:Q81,S81)),0,SUM(G82:K82)/SUM(L81:Q81,S81))</f>
        <v>1227.239388669818</v>
      </c>
      <c r="W81" s="19">
        <f ca="1">V81</f>
        <v>1227.239388669818</v>
      </c>
      <c r="X81" s="20">
        <f ca="1">W81/1000</f>
        <v>1.2272393886698181</v>
      </c>
    </row>
    <row r="82" spans="1:24">
      <c r="A82" s="212"/>
      <c r="B82" s="212"/>
      <c r="C82" s="199"/>
      <c r="D82" s="199"/>
      <c r="E82" s="199"/>
      <c r="F82" s="21" t="s">
        <v>247</v>
      </c>
      <c r="G82" s="22">
        <v>502241.92354698869</v>
      </c>
      <c r="H82" s="184"/>
      <c r="I82" s="23">
        <f ca="1">I81*労務費経費単価SC!D$7</f>
        <v>0</v>
      </c>
      <c r="J82" s="23">
        <f ca="1">J81*労務費経費単価SC!D$11</f>
        <v>12585</v>
      </c>
      <c r="K82" s="22">
        <f ca="1">K81*$E81</f>
        <v>0</v>
      </c>
      <c r="L82" s="22">
        <f ca="1">L81*$E81</f>
        <v>0</v>
      </c>
      <c r="M82" s="22">
        <f t="shared" ref="M82" ca="1" si="260">M81*$E81</f>
        <v>0</v>
      </c>
      <c r="N82" s="22">
        <f t="shared" ref="N82" ca="1" si="261">N81*$E81</f>
        <v>0</v>
      </c>
      <c r="O82" s="22">
        <f t="shared" ref="O82" ca="1" si="262">O81*$E81</f>
        <v>0</v>
      </c>
      <c r="P82" s="22">
        <f t="shared" ref="P82" ca="1" si="263">P81*$E81</f>
        <v>0</v>
      </c>
      <c r="Q82" s="22">
        <f t="shared" ref="Q82" ca="1" si="264">Q81*$E81</f>
        <v>0</v>
      </c>
      <c r="R82" s="22">
        <f t="shared" ref="R82" ca="1" si="265">R81*$E81</f>
        <v>0</v>
      </c>
      <c r="S82" s="22">
        <f t="shared" ref="S82" ca="1" si="266">S81*$E81</f>
        <v>493332</v>
      </c>
      <c r="U82" s="17"/>
      <c r="V82" s="18"/>
      <c r="W82" s="19"/>
      <c r="X82" s="20"/>
    </row>
    <row r="83" spans="1:24">
      <c r="A83" s="212"/>
      <c r="B83" s="212"/>
      <c r="C83" s="211" t="s">
        <v>281</v>
      </c>
      <c r="D83" s="199" t="str">
        <f>VLOOKUP(C83,'仕掛品名寄（貼付）'!B:C,2,FALSE)</f>
        <v>HIA</v>
      </c>
      <c r="E83" s="199">
        <f>VLOOKUP(D83,'仕掛品標準単価一覧表（貼付）'!B:G,6,FALSE)</f>
        <v>1254</v>
      </c>
      <c r="F83" s="12" t="s">
        <v>246</v>
      </c>
      <c r="G83" s="13">
        <v>1190</v>
      </c>
      <c r="H83" s="13">
        <f ca="1">SUMIF('1.3②原材料使用'!B:E,C83,'1.3②原材料使用'!E:E)</f>
        <v>0</v>
      </c>
      <c r="I83" s="13">
        <f ca="1">SUMIF('2.10原液別作業時間'!A:B,C83,'2.10原液別作業時間'!B:B)</f>
        <v>0</v>
      </c>
      <c r="J83" s="13">
        <f ca="1">SUM(G83:H83,K83)</f>
        <v>1190</v>
      </c>
      <c r="K83" s="13">
        <f ca="1">SUMIF('2.2⑤純増減→前工程費'!B:E,C83,'2.2⑤純増減→前工程費'!E:E)</f>
        <v>0</v>
      </c>
      <c r="L83" s="13">
        <f ca="1">SUMIF('2.6完成品'!C:D,C83,'2.6完成品'!D:D)</f>
        <v>0</v>
      </c>
      <c r="M83" s="13">
        <f ca="1">SUMIF('2.3研究費'!D:E,C83,'2.3研究費'!E:E)</f>
        <v>0</v>
      </c>
      <c r="N83" s="13">
        <f ca="1">SUMIF('2.4販促費'!D:E,C83,'2.4販促費'!E:E)</f>
        <v>0</v>
      </c>
      <c r="O83" s="13">
        <f ca="1">SUMIF('2.5廃棄処分'!D:E,C83,'2.5廃棄処分'!E:E)</f>
        <v>0</v>
      </c>
      <c r="P83" s="13">
        <f ca="1">SUMIF('2.1④異種原液'!D:E,C83,'2.1④異種原液'!E:E)</f>
        <v>402</v>
      </c>
      <c r="Q83" s="14">
        <f ca="1">SUMIF('2.7製造部生産分'!D:I,C83,'2.7製造部生産分'!H:H)</f>
        <v>0</v>
      </c>
      <c r="R83" s="15">
        <f ca="1">-(G83+H83+K83-L83-M83-N83-O83-P83-Q83-S83)</f>
        <v>-4</v>
      </c>
      <c r="S83" s="13">
        <f ca="1">SUMIF('2.9原液在庫'!B:H,C83,'2.9原液在庫'!H:H)</f>
        <v>784</v>
      </c>
      <c r="T83" s="16">
        <f ca="1">IFERROR(SUM(G84:K84)/(G83+H83+K83),0)</f>
        <v>1263.8267420249847</v>
      </c>
      <c r="U83" s="17" t="str">
        <f>C83</f>
        <v>17HIA</v>
      </c>
      <c r="V83" s="18">
        <f ca="1">IF(ISERROR(SUM(G84:K84)/SUM(L83:Q83,S83)),0,SUM(G84:K84)/SUM(L83:Q83,S83))</f>
        <v>1268.0892268210216</v>
      </c>
      <c r="W83" s="19">
        <f ca="1">V83</f>
        <v>1268.0892268210216</v>
      </c>
      <c r="X83" s="20">
        <f ca="1">W83/1000</f>
        <v>1.2680892268210215</v>
      </c>
    </row>
    <row r="84" spans="1:24">
      <c r="A84" s="212"/>
      <c r="B84" s="212"/>
      <c r="C84" s="201"/>
      <c r="D84" s="199"/>
      <c r="E84" s="199"/>
      <c r="F84" s="21" t="s">
        <v>247</v>
      </c>
      <c r="G84" s="22">
        <v>1468253.8230097317</v>
      </c>
      <c r="H84" s="184"/>
      <c r="I84" s="23">
        <f ca="1">I83*労務費経費単価SC!D$7</f>
        <v>0</v>
      </c>
      <c r="J84" s="23">
        <f ca="1">J83*労務費経費単価SC!D$11</f>
        <v>35700</v>
      </c>
      <c r="K84" s="22">
        <f ca="1">K83*$E83</f>
        <v>0</v>
      </c>
      <c r="L84" s="22">
        <f ca="1">L83*$E83</f>
        <v>0</v>
      </c>
      <c r="M84" s="22">
        <f t="shared" ref="M84" ca="1" si="267">M83*$E83</f>
        <v>0</v>
      </c>
      <c r="N84" s="22">
        <f t="shared" ref="N84" ca="1" si="268">N83*$E83</f>
        <v>0</v>
      </c>
      <c r="O84" s="22">
        <f t="shared" ref="O84" ca="1" si="269">O83*$E83</f>
        <v>0</v>
      </c>
      <c r="P84" s="22">
        <f t="shared" ref="P84" ca="1" si="270">P83*$E83</f>
        <v>504108</v>
      </c>
      <c r="Q84" s="22">
        <f t="shared" ref="Q84" ca="1" si="271">Q83*$E83</f>
        <v>0</v>
      </c>
      <c r="R84" s="22">
        <f t="shared" ref="R84" ca="1" si="272">R83*$E83</f>
        <v>-5016</v>
      </c>
      <c r="S84" s="22">
        <f t="shared" ref="S84" ca="1" si="273">S83*$E83</f>
        <v>983136</v>
      </c>
      <c r="U84" s="17"/>
      <c r="V84" s="18"/>
      <c r="W84" s="19"/>
      <c r="X84" s="20"/>
    </row>
    <row r="85" spans="1:24">
      <c r="A85" s="212"/>
      <c r="B85" s="212"/>
      <c r="C85" s="206" t="s">
        <v>282</v>
      </c>
      <c r="D85" s="199" t="str">
        <f>VLOOKUP(C85,'仕掛品名寄（貼付）'!B:C,2,FALSE)</f>
        <v>その他</v>
      </c>
      <c r="E85" s="199">
        <f>VLOOKUP(D85,'仕掛品標準単価一覧表（貼付）'!B:G,6,FALSE)</f>
        <v>1080</v>
      </c>
      <c r="F85" s="12" t="s">
        <v>246</v>
      </c>
      <c r="G85" s="13">
        <v>6799.5</v>
      </c>
      <c r="H85" s="13">
        <f ca="1">SUMIF('1.3②原材料使用'!B:E,C85,'1.3②原材料使用'!E:E)</f>
        <v>0</v>
      </c>
      <c r="I85" s="13">
        <f ca="1">SUMIF('2.10原液別作業時間'!A:B,C85,'2.10原液別作業時間'!B:B)</f>
        <v>0</v>
      </c>
      <c r="J85" s="13">
        <f ca="1">SUM(G85:H85,K85)</f>
        <v>6799.5</v>
      </c>
      <c r="K85" s="13">
        <f ca="1">SUMIF('2.2⑤純増減→前工程費'!B:E,C85,'2.2⑤純増減→前工程費'!E:E)</f>
        <v>0</v>
      </c>
      <c r="L85" s="13">
        <f ca="1">SUMIF('2.6完成品'!C:D,C85,'2.6完成品'!D:D)</f>
        <v>0</v>
      </c>
      <c r="M85" s="13">
        <f ca="1">SUMIF('2.3研究費'!D:E,C85,'2.3研究費'!E:E)</f>
        <v>0</v>
      </c>
      <c r="N85" s="13">
        <f ca="1">SUMIF('2.4販促費'!D:E,C85,'2.4販促費'!E:E)</f>
        <v>0</v>
      </c>
      <c r="O85" s="13">
        <f ca="1">SUMIF('2.5廃棄処分'!D:E,C85,'2.5廃棄処分'!E:E)</f>
        <v>0</v>
      </c>
      <c r="P85" s="13">
        <f ca="1">SUMIF('2.1④異種原液'!D:E,C85,'2.1④異種原液'!E:E)</f>
        <v>0</v>
      </c>
      <c r="Q85" s="14">
        <f ca="1">SUMIF('2.7製造部生産分'!D:I,C85,'2.7製造部生産分'!H:H)</f>
        <v>0</v>
      </c>
      <c r="R85" s="15">
        <f ca="1">-(G85+H85+K85-L85-M85-N85-O85-P85-Q85-S85)</f>
        <v>0</v>
      </c>
      <c r="S85" s="13">
        <f ca="1">SUMIF('2.9原液在庫'!B:H,C85,'2.9原液在庫'!H:H)</f>
        <v>6799.5</v>
      </c>
      <c r="T85" s="16">
        <f ca="1">IFERROR(SUM(G86:K86)/(G85+H85+K85),0)</f>
        <v>1197.6129349718979</v>
      </c>
      <c r="U85" s="17" t="str">
        <f>C85</f>
        <v>17HI(231)</v>
      </c>
      <c r="V85" s="18">
        <f ca="1">IF(ISERROR(SUM(G86:K86)/SUM(L85:Q85,S85)),0,SUM(G86:K86)/SUM(L85:Q85,S85))</f>
        <v>1197.6129349718979</v>
      </c>
      <c r="W85" s="19">
        <f ca="1">V85</f>
        <v>1197.6129349718979</v>
      </c>
      <c r="X85" s="20">
        <f ca="1">W85/1000</f>
        <v>1.1976129349718978</v>
      </c>
    </row>
    <row r="86" spans="1:24">
      <c r="A86" s="212"/>
      <c r="B86" s="212"/>
      <c r="C86" s="199"/>
      <c r="D86" s="199"/>
      <c r="E86" s="199"/>
      <c r="F86" s="21" t="s">
        <v>247</v>
      </c>
      <c r="G86" s="22">
        <v>7939184.1513414197</v>
      </c>
      <c r="H86" s="184"/>
      <c r="I86" s="23">
        <f ca="1">I85*労務費経費単価SC!D$7</f>
        <v>0</v>
      </c>
      <c r="J86" s="23">
        <f ca="1">J85*労務費経費単価SC!D$11</f>
        <v>203985</v>
      </c>
      <c r="K86" s="22">
        <f ca="1">K85*$E85</f>
        <v>0</v>
      </c>
      <c r="L86" s="22">
        <f ca="1">L85*$E85</f>
        <v>0</v>
      </c>
      <c r="M86" s="22">
        <f t="shared" ref="M86" ca="1" si="274">M85*$E85</f>
        <v>0</v>
      </c>
      <c r="N86" s="22">
        <f t="shared" ref="N86" ca="1" si="275">N85*$E85</f>
        <v>0</v>
      </c>
      <c r="O86" s="22">
        <f t="shared" ref="O86" ca="1" si="276">O85*$E85</f>
        <v>0</v>
      </c>
      <c r="P86" s="22">
        <f t="shared" ref="P86" ca="1" si="277">P85*$E85</f>
        <v>0</v>
      </c>
      <c r="Q86" s="22">
        <f t="shared" ref="Q86" ca="1" si="278">Q85*$E85</f>
        <v>0</v>
      </c>
      <c r="R86" s="22">
        <f t="shared" ref="R86" ca="1" si="279">R85*$E85</f>
        <v>0</v>
      </c>
      <c r="S86" s="22">
        <f t="shared" ref="S86" ca="1" si="280">S85*$E85</f>
        <v>7343460</v>
      </c>
      <c r="U86" s="17"/>
      <c r="V86" s="18"/>
      <c r="W86" s="19"/>
      <c r="X86" s="20"/>
    </row>
    <row r="87" spans="1:24">
      <c r="A87" s="212"/>
      <c r="B87" s="212"/>
      <c r="C87" s="200" t="s">
        <v>34</v>
      </c>
      <c r="D87" s="199" t="str">
        <f>VLOOKUP(C87,'仕掛品名寄（貼付）'!B:C,2,FALSE)</f>
        <v>その他</v>
      </c>
      <c r="E87" s="199">
        <f>VLOOKUP(D87,'仕掛品標準単価一覧表（貼付）'!B:G,6,FALSE)</f>
        <v>1080</v>
      </c>
      <c r="F87" s="12" t="s">
        <v>246</v>
      </c>
      <c r="G87" s="13">
        <v>578.5</v>
      </c>
      <c r="H87" s="13">
        <f ca="1">SUMIF('1.3②原材料使用'!B:E,C87,'1.3②原材料使用'!E:E)</f>
        <v>0</v>
      </c>
      <c r="I87" s="13">
        <f ca="1">SUMIF('2.10原液別作業時間'!A:B,C87,'2.10原液別作業時間'!B:B)</f>
        <v>0</v>
      </c>
      <c r="J87" s="13">
        <f ca="1">SUM(G87:H87,K87)</f>
        <v>578.5</v>
      </c>
      <c r="K87" s="13">
        <f ca="1">SUMIF('2.2⑤純増減→前工程費'!B:E,C87,'2.2⑤純増減→前工程費'!E:E)</f>
        <v>0</v>
      </c>
      <c r="L87" s="13">
        <f ca="1">SUMIF('2.6完成品'!C:D,C87,'2.6完成品'!D:D)</f>
        <v>0</v>
      </c>
      <c r="M87" s="13">
        <f ca="1">SUMIF('2.3研究費'!D:E,C87,'2.3研究費'!E:E)</f>
        <v>0</v>
      </c>
      <c r="N87" s="13">
        <f ca="1">SUMIF('2.4販促費'!D:E,C87,'2.4販促費'!E:E)</f>
        <v>0</v>
      </c>
      <c r="O87" s="13">
        <f ca="1">SUMIF('2.5廃棄処分'!D:E,C87,'2.5廃棄処分'!E:E)</f>
        <v>0</v>
      </c>
      <c r="P87" s="13">
        <f ca="1">SUMIF('2.1④異種原液'!D:E,C87,'2.1④異種原液'!E:E)</f>
        <v>0</v>
      </c>
      <c r="Q87" s="14">
        <f ca="1">SUMIF('2.7製造部生産分'!D:I,C87,'2.7製造部生産分'!H:H)</f>
        <v>0</v>
      </c>
      <c r="R87" s="15">
        <f ca="1">-(G87+H87+K87-L87-M87-N87-O87-P87-Q87-S87)</f>
        <v>0</v>
      </c>
      <c r="S87" s="13">
        <f ca="1">SUMIF('2.9原液在庫'!B:H,C87,'2.9原液在庫'!H:H)</f>
        <v>578.5</v>
      </c>
      <c r="T87" s="16">
        <f ca="1">IFERROR(SUM(G88:K88)/(G87+H87+K87),0)</f>
        <v>1710.7601080260342</v>
      </c>
      <c r="U87" s="17" t="str">
        <f>C87</f>
        <v>17HIAｼ</v>
      </c>
      <c r="V87" s="18">
        <f ca="1">IF(ISERROR(SUM(G88:K88)/SUM(L87:Q87,S87)),0,SUM(G88:K88)/SUM(L87:Q87,S87))</f>
        <v>1710.7601080260342</v>
      </c>
      <c r="W87" s="19">
        <f ca="1">V87</f>
        <v>1710.7601080260342</v>
      </c>
      <c r="X87" s="20">
        <f ca="1">W87/1000</f>
        <v>1.7107601080260342</v>
      </c>
    </row>
    <row r="88" spans="1:24">
      <c r="A88" s="212"/>
      <c r="B88" s="212"/>
      <c r="C88" s="201"/>
      <c r="D88" s="199"/>
      <c r="E88" s="199"/>
      <c r="F88" s="21" t="s">
        <v>247</v>
      </c>
      <c r="G88" s="22">
        <v>972319.72249306086</v>
      </c>
      <c r="H88" s="184"/>
      <c r="I88" s="23">
        <f ca="1">I87*労務費経費単価SC!D$7</f>
        <v>0</v>
      </c>
      <c r="J88" s="23">
        <f ca="1">J87*労務費経費単価SC!D$11</f>
        <v>17355</v>
      </c>
      <c r="K88" s="22">
        <f ca="1">K87*$E87</f>
        <v>0</v>
      </c>
      <c r="L88" s="22">
        <f ca="1">L87*$E87</f>
        <v>0</v>
      </c>
      <c r="M88" s="22">
        <f t="shared" ref="M88" ca="1" si="281">M87*$E87</f>
        <v>0</v>
      </c>
      <c r="N88" s="22">
        <f t="shared" ref="N88" ca="1" si="282">N87*$E87</f>
        <v>0</v>
      </c>
      <c r="O88" s="22">
        <f t="shared" ref="O88" ca="1" si="283">O87*$E87</f>
        <v>0</v>
      </c>
      <c r="P88" s="22">
        <f t="shared" ref="P88" ca="1" si="284">P87*$E87</f>
        <v>0</v>
      </c>
      <c r="Q88" s="22">
        <f t="shared" ref="Q88" ca="1" si="285">Q87*$E87</f>
        <v>0</v>
      </c>
      <c r="R88" s="22">
        <f t="shared" ref="R88" ca="1" si="286">R87*$E87</f>
        <v>0</v>
      </c>
      <c r="S88" s="22">
        <f t="shared" ref="S88" ca="1" si="287">S87*$E87</f>
        <v>624780</v>
      </c>
      <c r="U88" s="17"/>
      <c r="V88" s="18"/>
      <c r="W88" s="19"/>
      <c r="X88" s="20"/>
    </row>
    <row r="89" spans="1:24">
      <c r="A89" s="212"/>
      <c r="B89" s="212"/>
      <c r="C89" s="199" t="s">
        <v>283</v>
      </c>
      <c r="D89" s="199" t="str">
        <f>VLOOKUP(C89,'仕掛品名寄（貼付）'!B:C,2,FALSE)</f>
        <v>その他</v>
      </c>
      <c r="E89" s="199">
        <f>VLOOKUP(D89,'仕掛品標準単価一覧表（貼付）'!B:G,6,FALSE)</f>
        <v>1080</v>
      </c>
      <c r="F89" s="12" t="s">
        <v>246</v>
      </c>
      <c r="G89" s="13">
        <v>0</v>
      </c>
      <c r="H89" s="13">
        <f ca="1">SUMIF('1.3②原材料使用'!B:E,C89,'1.3②原材料使用'!E:E)</f>
        <v>0</v>
      </c>
      <c r="I89" s="13">
        <f ca="1">SUMIF('2.10原液別作業時間'!A:B,C89,'2.10原液別作業時間'!B:B)</f>
        <v>0</v>
      </c>
      <c r="J89" s="13">
        <f ca="1">SUM(G89:H89,K89)</f>
        <v>0</v>
      </c>
      <c r="K89" s="13">
        <f ca="1">SUMIF('2.2⑤純増減→前工程費'!B:E,C89,'2.2⑤純増減→前工程費'!E:E)</f>
        <v>0</v>
      </c>
      <c r="L89" s="13">
        <f ca="1">SUMIF('2.6完成品'!C:D,C89,'2.6完成品'!D:D)</f>
        <v>0</v>
      </c>
      <c r="M89" s="13">
        <f ca="1">SUMIF('2.3研究費'!D:E,C89,'2.3研究費'!E:E)</f>
        <v>0</v>
      </c>
      <c r="N89" s="13">
        <f ca="1">SUMIF('2.4販促費'!D:E,C89,'2.4販促費'!E:E)</f>
        <v>0</v>
      </c>
      <c r="O89" s="13">
        <f ca="1">SUMIF('2.5廃棄処分'!D:E,C89,'2.5廃棄処分'!E:E)</f>
        <v>0</v>
      </c>
      <c r="P89" s="13">
        <f ca="1">SUMIF('2.1④異種原液'!D:E,C89,'2.1④異種原液'!E:E)</f>
        <v>0</v>
      </c>
      <c r="Q89" s="14">
        <f ca="1">SUMIF('2.7製造部生産分'!D:I,C89,'2.7製造部生産分'!H:H)</f>
        <v>0</v>
      </c>
      <c r="R89" s="15">
        <f ca="1">-(G89+H89+K89-L89-M89-N89-O89-P89-Q89-S89)</f>
        <v>0</v>
      </c>
      <c r="S89" s="13">
        <f ca="1">SUMIF('2.9原液在庫'!B:H,C89,'2.9原液在庫'!H:H)</f>
        <v>0</v>
      </c>
      <c r="T89" s="16">
        <f ca="1">IFERROR(SUM(G90:K90)/(G89+H89+K89),0)</f>
        <v>0</v>
      </c>
      <c r="U89" s="17" t="str">
        <f>C89</f>
        <v>17HIｸ</v>
      </c>
      <c r="V89" s="18">
        <f ca="1">IF(ISERROR(SUM(G90:K90)/SUM(L89:Q89,S89)),0,SUM(G90:K90)/SUM(L89:Q89,S89))</f>
        <v>0</v>
      </c>
      <c r="W89" s="19">
        <f ca="1">V89</f>
        <v>0</v>
      </c>
      <c r="X89" s="20">
        <f ca="1">W89/1000</f>
        <v>0</v>
      </c>
    </row>
    <row r="90" spans="1:24">
      <c r="A90" s="212"/>
      <c r="B90" s="212"/>
      <c r="C90" s="199"/>
      <c r="D90" s="199"/>
      <c r="E90" s="199"/>
      <c r="F90" s="21" t="s">
        <v>247</v>
      </c>
      <c r="G90" s="22" t="s">
        <v>254</v>
      </c>
      <c r="H90" s="184"/>
      <c r="I90" s="23">
        <f ca="1">I89*労務費経費単価SC!D$7</f>
        <v>0</v>
      </c>
      <c r="J90" s="23">
        <f ca="1">J89*労務費経費単価SC!D$11</f>
        <v>0</v>
      </c>
      <c r="K90" s="22">
        <f ca="1">K89*$E89</f>
        <v>0</v>
      </c>
      <c r="L90" s="22">
        <f ca="1">L89*$E89</f>
        <v>0</v>
      </c>
      <c r="M90" s="22">
        <f t="shared" ref="M90" ca="1" si="288">M89*$E89</f>
        <v>0</v>
      </c>
      <c r="N90" s="22">
        <f t="shared" ref="N90" ca="1" si="289">N89*$E89</f>
        <v>0</v>
      </c>
      <c r="O90" s="22">
        <f t="shared" ref="O90" ca="1" si="290">O89*$E89</f>
        <v>0</v>
      </c>
      <c r="P90" s="22">
        <f t="shared" ref="P90" ca="1" si="291">P89*$E89</f>
        <v>0</v>
      </c>
      <c r="Q90" s="22">
        <f t="shared" ref="Q90" ca="1" si="292">Q89*$E89</f>
        <v>0</v>
      </c>
      <c r="R90" s="22">
        <f t="shared" ref="R90" ca="1" si="293">R89*$E89</f>
        <v>0</v>
      </c>
      <c r="S90" s="22">
        <f t="shared" ref="S90" ca="1" si="294">S89*$E89</f>
        <v>0</v>
      </c>
      <c r="U90" s="17"/>
      <c r="V90" s="18"/>
      <c r="W90" s="19"/>
      <c r="X90" s="20"/>
    </row>
    <row r="91" spans="1:24">
      <c r="A91" s="212"/>
      <c r="B91" s="212"/>
      <c r="C91" s="199" t="s">
        <v>284</v>
      </c>
      <c r="D91" s="199" t="str">
        <f>VLOOKUP(C91,'仕掛品名寄（貼付）'!B:C,2,FALSE)</f>
        <v>その他</v>
      </c>
      <c r="E91" s="199">
        <f>VLOOKUP(D91,'仕掛品標準単価一覧表（貼付）'!B:G,6,FALSE)</f>
        <v>1080</v>
      </c>
      <c r="F91" s="12" t="s">
        <v>246</v>
      </c>
      <c r="G91" s="13">
        <v>0</v>
      </c>
      <c r="H91" s="13">
        <f ca="1">SUMIF('1.3②原材料使用'!B:E,C91,'1.3②原材料使用'!E:E)</f>
        <v>0</v>
      </c>
      <c r="I91" s="13">
        <f ca="1">SUMIF('2.10原液別作業時間'!A:B,C91,'2.10原液別作業時間'!B:B)</f>
        <v>0</v>
      </c>
      <c r="J91" s="13">
        <f ca="1">SUM(G91:H91,K91)</f>
        <v>0</v>
      </c>
      <c r="K91" s="13">
        <f ca="1">SUMIF('2.2⑤純増減→前工程費'!B:E,C91,'2.2⑤純増減→前工程費'!E:E)</f>
        <v>0</v>
      </c>
      <c r="L91" s="13">
        <f ca="1">SUMIF('2.6完成品'!C:D,C91,'2.6完成品'!D:D)</f>
        <v>0</v>
      </c>
      <c r="M91" s="13">
        <f ca="1">SUMIF('2.3研究費'!D:E,C91,'2.3研究費'!E:E)</f>
        <v>0</v>
      </c>
      <c r="N91" s="13">
        <f ca="1">SUMIF('2.4販促費'!D:E,C91,'2.4販促費'!E:E)</f>
        <v>0</v>
      </c>
      <c r="O91" s="13">
        <f ca="1">SUMIF('2.5廃棄処分'!D:E,C91,'2.5廃棄処分'!E:E)</f>
        <v>0</v>
      </c>
      <c r="P91" s="13">
        <f ca="1">SUMIF('2.1④異種原液'!D:E,C91,'2.1④異種原液'!E:E)</f>
        <v>0</v>
      </c>
      <c r="Q91" s="14">
        <f ca="1">SUMIF('2.7製造部生産分'!D:I,C91,'2.7製造部生産分'!H:H)</f>
        <v>0</v>
      </c>
      <c r="R91" s="15">
        <f ca="1">-(G91+H91+K91-L91-M91-N91-O91-P91-Q91-S91)</f>
        <v>0</v>
      </c>
      <c r="S91" s="13">
        <f ca="1">SUMIF('2.9原液在庫'!B:H,C91,'2.9原液在庫'!H:H)</f>
        <v>0</v>
      </c>
      <c r="T91" s="16">
        <f ca="1">IFERROR(SUM(G92:K92)/(G91+H91+K91),0)</f>
        <v>0</v>
      </c>
      <c r="U91" s="17" t="str">
        <f>C91</f>
        <v>17HIｸ生</v>
      </c>
      <c r="V91" s="18">
        <f ca="1">IF(ISERROR(SUM(G92:K92)/SUM(L91:Q91,S91)),0,SUM(G92:K92)/SUM(L91:Q91,S91))</f>
        <v>0</v>
      </c>
      <c r="W91" s="19">
        <f ca="1">V91</f>
        <v>0</v>
      </c>
      <c r="X91" s="20">
        <f ca="1">W91/1000</f>
        <v>0</v>
      </c>
    </row>
    <row r="92" spans="1:24">
      <c r="A92" s="212"/>
      <c r="B92" s="212"/>
      <c r="C92" s="199"/>
      <c r="D92" s="199"/>
      <c r="E92" s="199"/>
      <c r="F92" s="21" t="s">
        <v>247</v>
      </c>
      <c r="G92" s="22" t="s">
        <v>254</v>
      </c>
      <c r="H92" s="184"/>
      <c r="I92" s="23">
        <f ca="1">I91*労務費経費単価SC!D$7</f>
        <v>0</v>
      </c>
      <c r="J92" s="23">
        <f ca="1">J91*労務費経費単価SC!D$11</f>
        <v>0</v>
      </c>
      <c r="K92" s="22">
        <f ca="1">K91*$E91</f>
        <v>0</v>
      </c>
      <c r="L92" s="22">
        <f ca="1">L91*$E91</f>
        <v>0</v>
      </c>
      <c r="M92" s="22">
        <f t="shared" ref="M92" ca="1" si="295">M91*$E91</f>
        <v>0</v>
      </c>
      <c r="N92" s="22">
        <f t="shared" ref="N92" ca="1" si="296">N91*$E91</f>
        <v>0</v>
      </c>
      <c r="O92" s="22">
        <f t="shared" ref="O92" ca="1" si="297">O91*$E91</f>
        <v>0</v>
      </c>
      <c r="P92" s="22">
        <f t="shared" ref="P92" ca="1" si="298">P91*$E91</f>
        <v>0</v>
      </c>
      <c r="Q92" s="22">
        <f t="shared" ref="Q92" ca="1" si="299">Q91*$E91</f>
        <v>0</v>
      </c>
      <c r="R92" s="22">
        <f t="shared" ref="R92" ca="1" si="300">R91*$E91</f>
        <v>0</v>
      </c>
      <c r="S92" s="22">
        <f t="shared" ref="S92" ca="1" si="301">S91*$E91</f>
        <v>0</v>
      </c>
      <c r="U92" s="17"/>
      <c r="V92" s="18"/>
      <c r="W92" s="19"/>
      <c r="X92" s="20"/>
    </row>
    <row r="93" spans="1:24">
      <c r="A93" s="212"/>
      <c r="B93" s="212"/>
      <c r="C93" s="199" t="s">
        <v>33</v>
      </c>
      <c r="D93" s="199" t="str">
        <f>VLOOKUP(C93,'仕掛品名寄（貼付）'!B:C,2,FALSE)</f>
        <v>その他</v>
      </c>
      <c r="E93" s="199">
        <f>VLOOKUP(D93,'仕掛品標準単価一覧表（貼付）'!B:G,6,FALSE)</f>
        <v>1080</v>
      </c>
      <c r="F93" s="12" t="s">
        <v>246</v>
      </c>
      <c r="G93" s="13">
        <v>0</v>
      </c>
      <c r="H93" s="13">
        <f ca="1">SUMIF('1.3②原材料使用'!B:E,C93,'1.3②原材料使用'!E:E)</f>
        <v>0</v>
      </c>
      <c r="I93" s="13">
        <f ca="1">SUMIF('2.10原液別作業時間'!A:B,C93,'2.10原液別作業時間'!B:B)</f>
        <v>0</v>
      </c>
      <c r="J93" s="13">
        <f ca="1">SUM(G93:H93,K93)</f>
        <v>0</v>
      </c>
      <c r="K93" s="13">
        <f ca="1">SUMIF('2.2⑤純増減→前工程費'!B:E,C93,'2.2⑤純増減→前工程費'!E:E)</f>
        <v>0</v>
      </c>
      <c r="L93" s="13">
        <f ca="1">SUMIF('2.6完成品'!C:D,C93,'2.6完成品'!D:D)</f>
        <v>0</v>
      </c>
      <c r="M93" s="13">
        <f ca="1">SUMIF('2.3研究費'!D:E,C93,'2.3研究費'!E:E)</f>
        <v>0</v>
      </c>
      <c r="N93" s="13">
        <f ca="1">SUMIF('2.4販促費'!D:E,C93,'2.4販促費'!E:E)</f>
        <v>0</v>
      </c>
      <c r="O93" s="13">
        <f ca="1">SUMIF('2.5廃棄処分'!D:E,C93,'2.5廃棄処分'!E:E)</f>
        <v>0</v>
      </c>
      <c r="P93" s="13">
        <f ca="1">SUMIF('2.1④異種原液'!D:E,C93,'2.1④異種原液'!E:E)</f>
        <v>0</v>
      </c>
      <c r="Q93" s="14">
        <f ca="1">SUMIF('2.7製造部生産分'!D:I,C93,'2.7製造部生産分'!H:H)</f>
        <v>0</v>
      </c>
      <c r="R93" s="15">
        <f ca="1">-(G93+H93+K93-L93-M93-N93-O93-P93-Q93-S93)</f>
        <v>0</v>
      </c>
      <c r="S93" s="13">
        <f ca="1">SUMIF('2.9原液在庫'!B:H,C93,'2.9原液在庫'!H:H)</f>
        <v>0</v>
      </c>
      <c r="T93" s="16">
        <f ca="1">IFERROR(SUM(G94:K94)/(G93+H93+K93),0)</f>
        <v>0</v>
      </c>
      <c r="U93" s="17" t="str">
        <f>C93</f>
        <v>17HIｼ</v>
      </c>
      <c r="V93" s="18">
        <f ca="1">IF(ISERROR(SUM(G94:K94)/SUM(L93:Q93,S93)),0,SUM(G94:K94)/SUM(L93:Q93,S93))</f>
        <v>0</v>
      </c>
      <c r="W93" s="19">
        <f ca="1">V93</f>
        <v>0</v>
      </c>
      <c r="X93" s="20">
        <f ca="1">W93/1000</f>
        <v>0</v>
      </c>
    </row>
    <row r="94" spans="1:24">
      <c r="A94" s="212"/>
      <c r="B94" s="212"/>
      <c r="C94" s="199"/>
      <c r="D94" s="199"/>
      <c r="E94" s="199"/>
      <c r="F94" s="21" t="s">
        <v>247</v>
      </c>
      <c r="G94" s="22" t="s">
        <v>254</v>
      </c>
      <c r="H94" s="184"/>
      <c r="I94" s="23">
        <f ca="1">I93*労務費経費単価SC!D$7</f>
        <v>0</v>
      </c>
      <c r="J94" s="23">
        <f ca="1">J93*労務費経費単価SC!D$11</f>
        <v>0</v>
      </c>
      <c r="K94" s="22">
        <f ca="1">K93*$E93</f>
        <v>0</v>
      </c>
      <c r="L94" s="22">
        <f ca="1">L93*$E93</f>
        <v>0</v>
      </c>
      <c r="M94" s="22">
        <f t="shared" ref="M94" ca="1" si="302">M93*$E93</f>
        <v>0</v>
      </c>
      <c r="N94" s="22">
        <f t="shared" ref="N94" ca="1" si="303">N93*$E93</f>
        <v>0</v>
      </c>
      <c r="O94" s="22">
        <f t="shared" ref="O94" ca="1" si="304">O93*$E93</f>
        <v>0</v>
      </c>
      <c r="P94" s="22">
        <f t="shared" ref="P94" ca="1" si="305">P93*$E93</f>
        <v>0</v>
      </c>
      <c r="Q94" s="22">
        <f t="shared" ref="Q94" ca="1" si="306">Q93*$E93</f>
        <v>0</v>
      </c>
      <c r="R94" s="22">
        <f t="shared" ref="R94" ca="1" si="307">R93*$E93</f>
        <v>0</v>
      </c>
      <c r="S94" s="22">
        <f t="shared" ref="S94" ca="1" si="308">S93*$E93</f>
        <v>0</v>
      </c>
      <c r="U94" s="17"/>
      <c r="V94" s="18"/>
      <c r="W94" s="19"/>
      <c r="X94" s="20"/>
    </row>
    <row r="95" spans="1:24">
      <c r="A95" s="212"/>
      <c r="B95" s="212"/>
      <c r="C95" s="211" t="s">
        <v>285</v>
      </c>
      <c r="D95" s="199" t="str">
        <f>VLOOKUP(C95,'仕掛品名寄（貼付）'!B:C,2,FALSE)</f>
        <v>その他</v>
      </c>
      <c r="E95" s="199">
        <f>VLOOKUP(D95,'仕掛品標準単価一覧表（貼付）'!B:G,6,FALSE)</f>
        <v>1080</v>
      </c>
      <c r="F95" s="12" t="s">
        <v>246</v>
      </c>
      <c r="G95" s="24">
        <v>0</v>
      </c>
      <c r="H95" s="13">
        <f ca="1">SUMIF('1.3②原材料使用'!B:E,C95,'1.3②原材料使用'!E:E)</f>
        <v>0</v>
      </c>
      <c r="I95" s="13">
        <f ca="1">SUMIF('2.10原液別作業時間'!A:B,C95,'2.10原液別作業時間'!B:B)</f>
        <v>0</v>
      </c>
      <c r="J95" s="13">
        <f ca="1">SUM(G95:H95,K95)</f>
        <v>0</v>
      </c>
      <c r="K95" s="13">
        <f ca="1">SUMIF('2.2⑤純増減→前工程費'!B:E,C95,'2.2⑤純増減→前工程費'!E:E)</f>
        <v>0</v>
      </c>
      <c r="L95" s="13">
        <f ca="1">SUMIF('2.6完成品'!C:D,C95,'2.6完成品'!D:D)</f>
        <v>0</v>
      </c>
      <c r="M95" s="13">
        <f ca="1">SUMIF('2.3研究費'!D:E,C95,'2.3研究費'!E:E)</f>
        <v>0</v>
      </c>
      <c r="N95" s="13">
        <f ca="1">SUMIF('2.4販促費'!D:E,C95,'2.4販促費'!E:E)</f>
        <v>0</v>
      </c>
      <c r="O95" s="13">
        <f ca="1">SUMIF('2.5廃棄処分'!D:E,C95,'2.5廃棄処分'!E:E)</f>
        <v>0</v>
      </c>
      <c r="P95" s="13">
        <f ca="1">SUMIF('2.1④異種原液'!D:E,C95,'2.1④異種原液'!E:E)</f>
        <v>0</v>
      </c>
      <c r="Q95" s="14">
        <f ca="1">SUMIF('2.7製造部生産分'!D:I,C95,'2.7製造部生産分'!H:H)</f>
        <v>0</v>
      </c>
      <c r="R95" s="15">
        <f ca="1">-(G95+H95+K95-L95-M95-N95-O95-P95-Q95-S95)</f>
        <v>0</v>
      </c>
      <c r="S95" s="13">
        <f ca="1">SUMIF('2.9原液在庫'!B:H,C95,'2.9原液在庫'!H:H)</f>
        <v>0</v>
      </c>
      <c r="T95" s="16">
        <f ca="1">IFERROR(SUM(G96:K96)/(G95+H95+K95),0)</f>
        <v>0</v>
      </c>
      <c r="U95" s="17" t="str">
        <f>C95</f>
        <v>17HIAｸ</v>
      </c>
      <c r="V95" s="18">
        <f ca="1">IF(ISERROR(SUM(G96:K96)/SUM(L95:Q95,S95)),0,SUM(G96:K96)/SUM(L95:Q95,S95))</f>
        <v>0</v>
      </c>
      <c r="W95" s="19">
        <f ca="1">V95</f>
        <v>0</v>
      </c>
      <c r="X95" s="20">
        <f ca="1">W95/1000</f>
        <v>0</v>
      </c>
    </row>
    <row r="96" spans="1:24">
      <c r="A96" s="212"/>
      <c r="B96" s="212"/>
      <c r="C96" s="201"/>
      <c r="D96" s="199"/>
      <c r="E96" s="199"/>
      <c r="F96" s="21" t="s">
        <v>247</v>
      </c>
      <c r="G96" s="22" t="s">
        <v>254</v>
      </c>
      <c r="H96" s="184"/>
      <c r="I96" s="23">
        <f ca="1">I95*労務費経費単価SC!D$7</f>
        <v>0</v>
      </c>
      <c r="J96" s="23">
        <f ca="1">J95*労務費経費単価SC!D$11</f>
        <v>0</v>
      </c>
      <c r="K96" s="22">
        <f ca="1">K95*$E95</f>
        <v>0</v>
      </c>
      <c r="L96" s="22">
        <f ca="1">L95*$E95</f>
        <v>0</v>
      </c>
      <c r="M96" s="22">
        <f t="shared" ref="M96" ca="1" si="309">M95*$E95</f>
        <v>0</v>
      </c>
      <c r="N96" s="22">
        <f t="shared" ref="N96" ca="1" si="310">N95*$E95</f>
        <v>0</v>
      </c>
      <c r="O96" s="22">
        <f t="shared" ref="O96" ca="1" si="311">O95*$E95</f>
        <v>0</v>
      </c>
      <c r="P96" s="22">
        <f t="shared" ref="P96" ca="1" si="312">P95*$E95</f>
        <v>0</v>
      </c>
      <c r="Q96" s="22">
        <f t="shared" ref="Q96" ca="1" si="313">Q95*$E95</f>
        <v>0</v>
      </c>
      <c r="R96" s="22">
        <f t="shared" ref="R96" ca="1" si="314">R95*$E95</f>
        <v>0</v>
      </c>
      <c r="S96" s="22">
        <f t="shared" ref="S96" ca="1" si="315">S95*$E95</f>
        <v>0</v>
      </c>
      <c r="U96" s="17"/>
      <c r="V96" s="18"/>
      <c r="W96" s="19"/>
      <c r="X96" s="20"/>
    </row>
    <row r="97" spans="1:24">
      <c r="A97" s="212"/>
      <c r="B97" s="212"/>
      <c r="C97" s="206" t="s">
        <v>286</v>
      </c>
      <c r="D97" s="199" t="str">
        <f>VLOOKUP(C97,'仕掛品名寄（貼付）'!B:C,2,FALSE)</f>
        <v>その他</v>
      </c>
      <c r="E97" s="199">
        <f>VLOOKUP(D97,'仕掛品標準単価一覧表（貼付）'!B:G,6,FALSE)</f>
        <v>1080</v>
      </c>
      <c r="F97" s="12" t="s">
        <v>246</v>
      </c>
      <c r="G97" s="24">
        <v>0</v>
      </c>
      <c r="H97" s="13">
        <f ca="1">SUMIF('1.3②原材料使用'!B:E,C97,'1.3②原材料使用'!E:E)</f>
        <v>0</v>
      </c>
      <c r="I97" s="13">
        <f ca="1">SUMIF('2.10原液別作業時間'!A:B,C97,'2.10原液別作業時間'!B:B)</f>
        <v>0</v>
      </c>
      <c r="J97" s="13">
        <f ca="1">SUM(G97:H97,K97)</f>
        <v>0</v>
      </c>
      <c r="K97" s="13">
        <f ca="1">SUMIF('2.2⑤純増減→前工程費'!B:E,C97,'2.2⑤純増減→前工程費'!E:E)</f>
        <v>0</v>
      </c>
      <c r="L97" s="13">
        <f ca="1">SUMIF('2.6完成品'!C:D,C97,'2.6完成品'!D:D)</f>
        <v>0</v>
      </c>
      <c r="M97" s="13">
        <f ca="1">SUMIF('2.3研究費'!D:E,C97,'2.3研究費'!E:E)</f>
        <v>0</v>
      </c>
      <c r="N97" s="13">
        <f ca="1">SUMIF('2.4販促費'!D:E,C97,'2.4販促費'!E:E)</f>
        <v>0</v>
      </c>
      <c r="O97" s="13">
        <f ca="1">SUMIF('2.5廃棄処分'!D:E,C97,'2.5廃棄処分'!E:E)</f>
        <v>0</v>
      </c>
      <c r="P97" s="13">
        <f ca="1">SUMIF('2.1④異種原液'!D:E,C97,'2.1④異種原液'!E:E)</f>
        <v>0</v>
      </c>
      <c r="Q97" s="14">
        <f ca="1">SUMIF('2.7製造部生産分'!D:I,C97,'2.7製造部生産分'!H:H)</f>
        <v>0</v>
      </c>
      <c r="R97" s="15">
        <f ca="1">-(G97+H97+K97-L97-M97-N97-O97-P97-Q97-S97)</f>
        <v>0</v>
      </c>
      <c r="S97" s="13">
        <f ca="1">SUMIF('2.9原液在庫'!B:H,C97,'2.9原液在庫'!H:H)</f>
        <v>0</v>
      </c>
      <c r="T97" s="16">
        <f ca="1">IFERROR(SUM(G98:K98)/(G97+H97+K97),0)</f>
        <v>0</v>
      </c>
      <c r="U97" s="17" t="str">
        <f>C97</f>
        <v>17HI(Y)</v>
      </c>
      <c r="V97" s="18">
        <f ca="1">IF(ISERROR(SUM(G98:K98)/SUM(L97:Q97,S97)),0,SUM(G98:K98)/SUM(L97:Q97,S97))</f>
        <v>0</v>
      </c>
      <c r="W97" s="19">
        <f ca="1">V97</f>
        <v>0</v>
      </c>
      <c r="X97" s="20">
        <f ca="1">W97/1000</f>
        <v>0</v>
      </c>
    </row>
    <row r="98" spans="1:24">
      <c r="A98" s="212"/>
      <c r="B98" s="212"/>
      <c r="C98" s="199"/>
      <c r="D98" s="199"/>
      <c r="E98" s="199"/>
      <c r="F98" s="21" t="s">
        <v>247</v>
      </c>
      <c r="G98" s="22" t="s">
        <v>254</v>
      </c>
      <c r="H98" s="184"/>
      <c r="I98" s="23">
        <f ca="1">I97*労務費経費単価SC!D$7</f>
        <v>0</v>
      </c>
      <c r="J98" s="23">
        <f ca="1">J97*労務費経費単価SC!D$11</f>
        <v>0</v>
      </c>
      <c r="K98" s="22">
        <f ca="1">K97*$E97</f>
        <v>0</v>
      </c>
      <c r="L98" s="22">
        <f ca="1">L97*$E97</f>
        <v>0</v>
      </c>
      <c r="M98" s="22">
        <f t="shared" ref="M98" ca="1" si="316">M97*$E97</f>
        <v>0</v>
      </c>
      <c r="N98" s="22">
        <f t="shared" ref="N98" ca="1" si="317">N97*$E97</f>
        <v>0</v>
      </c>
      <c r="O98" s="22">
        <f t="shared" ref="O98" ca="1" si="318">O97*$E97</f>
        <v>0</v>
      </c>
      <c r="P98" s="22">
        <f t="shared" ref="P98" ca="1" si="319">P97*$E97</f>
        <v>0</v>
      </c>
      <c r="Q98" s="22">
        <f t="shared" ref="Q98" ca="1" si="320">Q97*$E97</f>
        <v>0</v>
      </c>
      <c r="R98" s="22">
        <f t="shared" ref="R98" ca="1" si="321">R97*$E97</f>
        <v>0</v>
      </c>
      <c r="S98" s="22">
        <f t="shared" ref="S98" ca="1" si="322">S97*$E97</f>
        <v>0</v>
      </c>
      <c r="U98" s="17"/>
      <c r="V98" s="18"/>
      <c r="W98" s="19"/>
      <c r="X98" s="20"/>
    </row>
    <row r="99" spans="1:24">
      <c r="A99" s="212"/>
      <c r="B99" s="212"/>
      <c r="C99" s="199" t="s">
        <v>287</v>
      </c>
      <c r="D99" s="199" t="str">
        <f>VLOOKUP(C99,'仕掛品名寄（貼付）'!B:C,2,FALSE)</f>
        <v>HIパ</v>
      </c>
      <c r="E99" s="199">
        <f>VLOOKUP(D99,'仕掛品標準単価一覧表（貼付）'!B:G,6,FALSE)</f>
        <v>1283</v>
      </c>
      <c r="F99" s="12" t="s">
        <v>246</v>
      </c>
      <c r="G99" s="24">
        <v>1370.5</v>
      </c>
      <c r="H99" s="13">
        <f ca="1">SUMIF('1.3②原材料使用'!B:E,C99,'1.3②原材料使用'!E:E)</f>
        <v>0</v>
      </c>
      <c r="I99" s="13">
        <f ca="1">SUMIF('2.10原液別作業時間'!A:B,C99,'2.10原液別作業時間'!B:B)</f>
        <v>0</v>
      </c>
      <c r="J99" s="13">
        <f ca="1">SUM(G99:H99,K99)</f>
        <v>1370.5</v>
      </c>
      <c r="K99" s="13">
        <f ca="1">SUMIF('2.2⑤純増減→前工程費'!B:E,C99,'2.2⑤純増減→前工程費'!E:E)</f>
        <v>0</v>
      </c>
      <c r="L99" s="13">
        <f ca="1">SUMIF('2.6完成品'!C:D,C99,'2.6完成品'!D:D)</f>
        <v>0</v>
      </c>
      <c r="M99" s="13">
        <f ca="1">SUMIF('2.3研究費'!D:E,C99,'2.3研究費'!E:E)</f>
        <v>0</v>
      </c>
      <c r="N99" s="13">
        <f ca="1">SUMIF('2.4販促費'!D:E,C99,'2.4販促費'!E:E)</f>
        <v>0</v>
      </c>
      <c r="O99" s="13">
        <f ca="1">SUMIF('2.5廃棄処分'!D:E,C99,'2.5廃棄処分'!E:E)</f>
        <v>0</v>
      </c>
      <c r="P99" s="13">
        <f ca="1">SUMIF('2.1④異種原液'!D:E,C99,'2.1④異種原液'!E:E)</f>
        <v>0</v>
      </c>
      <c r="Q99" s="14">
        <f ca="1">SUMIF('2.7製造部生産分'!D:I,C99,'2.7製造部生産分'!H:H)</f>
        <v>0</v>
      </c>
      <c r="R99" s="15">
        <f ca="1">-(G99+H99+K99-L99-M99-N99-O99-P99-Q99-S99)</f>
        <v>0</v>
      </c>
      <c r="S99" s="13">
        <f ca="1">SUMIF('2.9原液在庫'!B:H,C99,'2.9原液在庫'!H:H)</f>
        <v>1370.5</v>
      </c>
      <c r="T99" s="16">
        <f ca="1">IFERROR(SUM(G100:K100)/(G99+H99+K99),0)</f>
        <v>1293.3381034160593</v>
      </c>
      <c r="U99" s="17" t="str">
        <f>C99</f>
        <v>17HIﾊﾟ</v>
      </c>
      <c r="V99" s="18">
        <f ca="1">IF(ISERROR(SUM(G100:K100)/SUM(L99:Q99,S99)),0,SUM(G100:K100)/SUM(L99:Q99,S99))</f>
        <v>1293.3381034160593</v>
      </c>
      <c r="W99" s="19">
        <f ca="1">V99</f>
        <v>1293.3381034160593</v>
      </c>
      <c r="X99" s="20">
        <f ca="1">W99/1000</f>
        <v>1.2933381034160594</v>
      </c>
    </row>
    <row r="100" spans="1:24">
      <c r="A100" s="212"/>
      <c r="B100" s="212"/>
      <c r="C100" s="199"/>
      <c r="D100" s="199"/>
      <c r="E100" s="199"/>
      <c r="F100" s="21" t="s">
        <v>247</v>
      </c>
      <c r="G100" s="22">
        <v>1731404.8707317093</v>
      </c>
      <c r="H100" s="184"/>
      <c r="I100" s="23">
        <f ca="1">I99*労務費経費単価SC!D$7</f>
        <v>0</v>
      </c>
      <c r="J100" s="23">
        <f ca="1">J99*労務費経費単価SC!D$11</f>
        <v>41115</v>
      </c>
      <c r="K100" s="22">
        <f ca="1">K99*$E99</f>
        <v>0</v>
      </c>
      <c r="L100" s="22">
        <f ca="1">L99*$E99</f>
        <v>0</v>
      </c>
      <c r="M100" s="22">
        <f t="shared" ref="M100" ca="1" si="323">M99*$E99</f>
        <v>0</v>
      </c>
      <c r="N100" s="22">
        <f t="shared" ref="N100" ca="1" si="324">N99*$E99</f>
        <v>0</v>
      </c>
      <c r="O100" s="22">
        <f t="shared" ref="O100" ca="1" si="325">O99*$E99</f>
        <v>0</v>
      </c>
      <c r="P100" s="22">
        <f t="shared" ref="P100" ca="1" si="326">P99*$E99</f>
        <v>0</v>
      </c>
      <c r="Q100" s="22">
        <f t="shared" ref="Q100" ca="1" si="327">Q99*$E99</f>
        <v>0</v>
      </c>
      <c r="R100" s="22">
        <f t="shared" ref="R100" ca="1" si="328">R99*$E99</f>
        <v>0</v>
      </c>
      <c r="S100" s="22">
        <f t="shared" ref="S100" ca="1" si="329">S99*$E99</f>
        <v>1758351.5</v>
      </c>
      <c r="U100" s="17"/>
      <c r="V100" s="18"/>
      <c r="W100" s="19"/>
      <c r="X100" s="20"/>
    </row>
    <row r="101" spans="1:24">
      <c r="A101" s="212"/>
      <c r="B101" s="212"/>
      <c r="C101" s="206" t="s">
        <v>288</v>
      </c>
      <c r="D101" s="199" t="str">
        <f>VLOOKUP(C101,'仕掛品名寄（貼付）'!B:C,2,FALSE)</f>
        <v>その他</v>
      </c>
      <c r="E101" s="199">
        <f>VLOOKUP(D101,'仕掛品標準単価一覧表（貼付）'!B:G,6,FALSE)</f>
        <v>1080</v>
      </c>
      <c r="F101" s="12" t="s">
        <v>246</v>
      </c>
      <c r="G101" s="24">
        <v>3872</v>
      </c>
      <c r="H101" s="13">
        <f ca="1">SUMIF('1.3②原材料使用'!B:E,C101,'1.3②原材料使用'!E:E)</f>
        <v>0</v>
      </c>
      <c r="I101" s="13">
        <f ca="1">SUMIF('2.10原液別作業時間'!A:B,C101,'2.10原液別作業時間'!B:B)</f>
        <v>0</v>
      </c>
      <c r="J101" s="13">
        <f ca="1">SUM(G101:H101,K101)</f>
        <v>3872</v>
      </c>
      <c r="K101" s="13">
        <f ca="1">SUMIF('2.2⑤純増減→前工程費'!B:E,C101,'2.2⑤純増減→前工程費'!E:E)</f>
        <v>0</v>
      </c>
      <c r="L101" s="13">
        <f ca="1">SUMIF('2.6完成品'!C:D,C101,'2.6完成品'!D:D)</f>
        <v>0</v>
      </c>
      <c r="M101" s="13">
        <f ca="1">SUMIF('2.3研究費'!D:E,C101,'2.3研究費'!E:E)</f>
        <v>0</v>
      </c>
      <c r="N101" s="13">
        <f ca="1">SUMIF('2.4販促費'!D:E,C101,'2.4販促費'!E:E)</f>
        <v>0</v>
      </c>
      <c r="O101" s="13">
        <f ca="1">SUMIF('2.5廃棄処分'!D:E,C101,'2.5廃棄処分'!E:E)</f>
        <v>0</v>
      </c>
      <c r="P101" s="13">
        <f ca="1">SUMIF('2.1④異種原液'!D:E,C101,'2.1④異種原液'!E:E)</f>
        <v>0</v>
      </c>
      <c r="Q101" s="14">
        <f ca="1">SUMIF('2.7製造部生産分'!D:I,C101,'2.7製造部生産分'!H:H)</f>
        <v>0</v>
      </c>
      <c r="R101" s="15">
        <f ca="1">-(G101+H101+K101-L101-M101-N101-O101-P101-Q101-S101)</f>
        <v>0</v>
      </c>
      <c r="S101" s="13">
        <f ca="1">SUMIF('2.9原液在庫'!B:H,C101,'2.9原液在庫'!H:H)</f>
        <v>3872</v>
      </c>
      <c r="T101" s="16">
        <f ca="1">IFERROR(SUM(G102:K102)/(G101+H101+K101),0)</f>
        <v>1257.5606757596897</v>
      </c>
      <c r="U101" s="17" t="str">
        <f>C101</f>
        <v>17HIﾊﾟ海</v>
      </c>
      <c r="V101" s="18">
        <f ca="1">IF(ISERROR(SUM(G102:K102)/SUM(L101:Q101,S101)),0,SUM(G102:K102)/SUM(L101:Q101,S101))</f>
        <v>1257.5606757596897</v>
      </c>
      <c r="W101" s="19">
        <f ca="1">V101</f>
        <v>1257.5606757596897</v>
      </c>
      <c r="X101" s="20">
        <f ca="1">W101/1000</f>
        <v>1.2575606757596898</v>
      </c>
    </row>
    <row r="102" spans="1:24">
      <c r="A102" s="212"/>
      <c r="B102" s="212"/>
      <c r="C102" s="199"/>
      <c r="D102" s="199"/>
      <c r="E102" s="199"/>
      <c r="F102" s="21" t="s">
        <v>247</v>
      </c>
      <c r="G102" s="22">
        <v>4753114.9365415182</v>
      </c>
      <c r="H102" s="184"/>
      <c r="I102" s="23">
        <f ca="1">I101*労務費経費単価SC!D$7</f>
        <v>0</v>
      </c>
      <c r="J102" s="23">
        <f ca="1">J101*労務費経費単価SC!D$11</f>
        <v>116160</v>
      </c>
      <c r="K102" s="22">
        <f ca="1">K101*$E101</f>
        <v>0</v>
      </c>
      <c r="L102" s="22">
        <f ca="1">L101*$E101</f>
        <v>0</v>
      </c>
      <c r="M102" s="22">
        <f t="shared" ref="M102" ca="1" si="330">M101*$E101</f>
        <v>0</v>
      </c>
      <c r="N102" s="22">
        <f t="shared" ref="N102" ca="1" si="331">N101*$E101</f>
        <v>0</v>
      </c>
      <c r="O102" s="22">
        <f t="shared" ref="O102" ca="1" si="332">O101*$E101</f>
        <v>0</v>
      </c>
      <c r="P102" s="22">
        <f t="shared" ref="P102" ca="1" si="333">P101*$E101</f>
        <v>0</v>
      </c>
      <c r="Q102" s="22">
        <f t="shared" ref="Q102" ca="1" si="334">Q101*$E101</f>
        <v>0</v>
      </c>
      <c r="R102" s="22">
        <f t="shared" ref="R102" ca="1" si="335">R101*$E101</f>
        <v>0</v>
      </c>
      <c r="S102" s="22">
        <f t="shared" ref="S102" ca="1" si="336">S101*$E101</f>
        <v>4181760</v>
      </c>
      <c r="U102" s="17"/>
      <c r="V102" s="18"/>
      <c r="W102" s="19"/>
      <c r="X102" s="20"/>
    </row>
    <row r="103" spans="1:24">
      <c r="A103" s="212"/>
      <c r="B103" s="212"/>
      <c r="C103" s="213" t="s">
        <v>32</v>
      </c>
      <c r="D103" s="199" t="str">
        <f>VLOOKUP(C103,'仕掛品名寄（貼付）'!B:C,2,FALSE)</f>
        <v>その他</v>
      </c>
      <c r="E103" s="199">
        <f>VLOOKUP(D103,'仕掛品標準単価一覧表（貼付）'!B:G,6,FALSE)</f>
        <v>1080</v>
      </c>
      <c r="F103" s="12" t="s">
        <v>246</v>
      </c>
      <c r="G103" s="13">
        <v>0</v>
      </c>
      <c r="H103" s="13">
        <f ca="1">SUMIF('1.3②原材料使用'!B:E,C103,'1.3②原材料使用'!E:E)</f>
        <v>0</v>
      </c>
      <c r="I103" s="13">
        <f ca="1">SUMIF('2.10原液別作業時間'!A:B,C103,'2.10原液別作業時間'!B:B)</f>
        <v>0</v>
      </c>
      <c r="J103" s="13">
        <f ca="1">SUM(G103:H103,K103)</f>
        <v>0</v>
      </c>
      <c r="K103" s="13">
        <f ca="1">SUMIF('2.2⑤純増減→前工程費'!B:E,C103,'2.2⑤純増減→前工程費'!E:E)</f>
        <v>0</v>
      </c>
      <c r="L103" s="13">
        <f ca="1">SUMIF('2.6完成品'!C:D,C103,'2.6完成品'!D:D)</f>
        <v>0</v>
      </c>
      <c r="M103" s="13">
        <f ca="1">SUMIF('2.3研究費'!D:E,C103,'2.3研究費'!E:E)</f>
        <v>0</v>
      </c>
      <c r="N103" s="13">
        <f ca="1">SUMIF('2.4販促費'!D:E,C103,'2.4販促費'!E:E)</f>
        <v>0</v>
      </c>
      <c r="O103" s="13">
        <f ca="1">SUMIF('2.5廃棄処分'!D:E,C103,'2.5廃棄処分'!E:E)</f>
        <v>0</v>
      </c>
      <c r="P103" s="13">
        <f ca="1">SUMIF('2.1④異種原液'!D:E,C103,'2.1④異種原液'!E:E)</f>
        <v>0</v>
      </c>
      <c r="Q103" s="14">
        <f ca="1">SUMIF('2.7製造部生産分'!D:I,C103,'2.7製造部生産分'!H:H)</f>
        <v>0</v>
      </c>
      <c r="R103" s="15">
        <f ca="1">-(G103+H103+K103-L103-M103-N103-O103-P103-Q103-S103)</f>
        <v>0</v>
      </c>
      <c r="S103" s="13">
        <f ca="1">SUMIF('2.9原液在庫'!B:H,C103,'2.9原液在庫'!H:H)</f>
        <v>0</v>
      </c>
      <c r="T103" s="16">
        <f ca="1">IFERROR(SUM(G104:K104)/(G103+H103+K103),0)</f>
        <v>0</v>
      </c>
      <c r="U103" s="17" t="str">
        <f>C103</f>
        <v>17HIﾊﾟB海</v>
      </c>
      <c r="V103" s="18">
        <f ca="1">IF(ISERROR(SUM(G104:K104)/SUM(L103:Q103,S103)),0,SUM(G104:K104)/SUM(L103:Q103,S103))</f>
        <v>0</v>
      </c>
      <c r="W103" s="19">
        <f ca="1">V103</f>
        <v>0</v>
      </c>
      <c r="X103" s="20">
        <f ca="1">W103/1000</f>
        <v>0</v>
      </c>
    </row>
    <row r="104" spans="1:24">
      <c r="A104" s="212"/>
      <c r="B104" s="212"/>
      <c r="C104" s="214"/>
      <c r="D104" s="199"/>
      <c r="E104" s="199"/>
      <c r="F104" s="21" t="s">
        <v>247</v>
      </c>
      <c r="G104" s="22" t="s">
        <v>254</v>
      </c>
      <c r="H104" s="184"/>
      <c r="I104" s="23">
        <f ca="1">I103*労務費経費単価SC!D$7</f>
        <v>0</v>
      </c>
      <c r="J104" s="23">
        <f ca="1">J103*労務費経費単価SC!D$11</f>
        <v>0</v>
      </c>
      <c r="K104" s="22">
        <f ca="1">K103*$E103</f>
        <v>0</v>
      </c>
      <c r="L104" s="22">
        <f ca="1">L103*$E103</f>
        <v>0</v>
      </c>
      <c r="M104" s="22">
        <f t="shared" ref="M104" ca="1" si="337">M103*$E103</f>
        <v>0</v>
      </c>
      <c r="N104" s="22">
        <f t="shared" ref="N104" ca="1" si="338">N103*$E103</f>
        <v>0</v>
      </c>
      <c r="O104" s="22">
        <f t="shared" ref="O104" ca="1" si="339">O103*$E103</f>
        <v>0</v>
      </c>
      <c r="P104" s="22">
        <f t="shared" ref="P104" ca="1" si="340">P103*$E103</f>
        <v>0</v>
      </c>
      <c r="Q104" s="22">
        <f t="shared" ref="Q104" ca="1" si="341">Q103*$E103</f>
        <v>0</v>
      </c>
      <c r="R104" s="22">
        <f t="shared" ref="R104" ca="1" si="342">R103*$E103</f>
        <v>0</v>
      </c>
      <c r="S104" s="22">
        <f t="shared" ref="S104" ca="1" si="343">S103*$E103</f>
        <v>0</v>
      </c>
      <c r="U104" s="17"/>
      <c r="V104" s="18"/>
      <c r="W104" s="19"/>
      <c r="X104" s="20"/>
    </row>
    <row r="105" spans="1:24">
      <c r="A105" s="212"/>
      <c r="B105" s="212"/>
      <c r="C105" s="199" t="s">
        <v>289</v>
      </c>
      <c r="D105" s="199" t="str">
        <f>VLOOKUP(C105,'仕掛品名寄（貼付）'!B:C,2,FALSE)</f>
        <v>RX</v>
      </c>
      <c r="E105" s="199">
        <f>VLOOKUP(D105,'仕掛品標準単価一覧表（貼付）'!B:G,6,FALSE)</f>
        <v>847</v>
      </c>
      <c r="F105" s="12" t="s">
        <v>246</v>
      </c>
      <c r="G105" s="13">
        <v>0</v>
      </c>
      <c r="H105" s="13">
        <f ca="1">SUMIF('1.3②原材料使用'!B:E,C105,'1.3②原材料使用'!E:E)</f>
        <v>0</v>
      </c>
      <c r="I105" s="13">
        <f ca="1">SUMIF('2.10原液別作業時間'!A:B,C105,'2.10原液別作業時間'!B:B)</f>
        <v>0</v>
      </c>
      <c r="J105" s="13">
        <f ca="1">SUM(G105:H105,K105)</f>
        <v>0</v>
      </c>
      <c r="K105" s="13">
        <f ca="1">SUMIF('2.2⑤純増減→前工程費'!B:E,C105,'2.2⑤純増減→前工程費'!E:E)</f>
        <v>0</v>
      </c>
      <c r="L105" s="13">
        <f ca="1">SUMIF('2.6完成品'!C:D,C105,'2.6完成品'!D:D)</f>
        <v>0</v>
      </c>
      <c r="M105" s="13">
        <f ca="1">SUMIF('2.3研究費'!D:E,C105,'2.3研究費'!E:E)</f>
        <v>0</v>
      </c>
      <c r="N105" s="13">
        <f ca="1">SUMIF('2.4販促費'!D:E,C105,'2.4販促費'!E:E)</f>
        <v>0</v>
      </c>
      <c r="O105" s="13">
        <f ca="1">SUMIF('2.5廃棄処分'!D:E,C105,'2.5廃棄処分'!E:E)</f>
        <v>0</v>
      </c>
      <c r="P105" s="13">
        <f ca="1">SUMIF('2.1④異種原液'!D:E,C105,'2.1④異種原液'!E:E)</f>
        <v>0</v>
      </c>
      <c r="Q105" s="14">
        <f ca="1">SUMIF('2.7製造部生産分'!D:I,C105,'2.7製造部生産分'!H:H)</f>
        <v>0</v>
      </c>
      <c r="R105" s="15">
        <f ca="1">-(G105+H105+K105-L105-M105-N105-O105-P105-Q105-S105)</f>
        <v>0</v>
      </c>
      <c r="S105" s="13">
        <f ca="1">SUMIF('2.9原液在庫'!B:H,C105,'2.9原液在庫'!H:H)</f>
        <v>0</v>
      </c>
      <c r="T105" s="16">
        <f ca="1">IFERROR(SUM(G106:K106)/(G105+H105+K105),0)</f>
        <v>0</v>
      </c>
      <c r="U105" s="17" t="str">
        <f>C105</f>
        <v>17RX</v>
      </c>
      <c r="V105" s="18">
        <f ca="1">IF(ISERROR(SUM(G106:K106)/SUM(L105:Q105,S105)),0,SUM(G106:K106)/SUM(L105:Q105,S105))</f>
        <v>0</v>
      </c>
      <c r="W105" s="19">
        <f ca="1">V105</f>
        <v>0</v>
      </c>
      <c r="X105" s="20">
        <f ca="1">W105/1000</f>
        <v>0</v>
      </c>
    </row>
    <row r="106" spans="1:24">
      <c r="A106" s="212"/>
      <c r="B106" s="212"/>
      <c r="C106" s="199"/>
      <c r="D106" s="199"/>
      <c r="E106" s="199"/>
      <c r="F106" s="21" t="s">
        <v>247</v>
      </c>
      <c r="G106" s="22" t="s">
        <v>254</v>
      </c>
      <c r="H106" s="184"/>
      <c r="I106" s="23">
        <f ca="1">I105*労務費経費単価SC!D$7</f>
        <v>0</v>
      </c>
      <c r="J106" s="23">
        <f ca="1">J105*労務費経費単価SC!D$11</f>
        <v>0</v>
      </c>
      <c r="K106" s="22">
        <f ca="1">K105*$E105</f>
        <v>0</v>
      </c>
      <c r="L106" s="22">
        <f ca="1">L105*$E105</f>
        <v>0</v>
      </c>
      <c r="M106" s="22">
        <f t="shared" ref="M106" ca="1" si="344">M105*$E105</f>
        <v>0</v>
      </c>
      <c r="N106" s="22">
        <f t="shared" ref="N106" ca="1" si="345">N105*$E105</f>
        <v>0</v>
      </c>
      <c r="O106" s="22">
        <f t="shared" ref="O106" ca="1" si="346">O105*$E105</f>
        <v>0</v>
      </c>
      <c r="P106" s="22">
        <f t="shared" ref="P106" ca="1" si="347">P105*$E105</f>
        <v>0</v>
      </c>
      <c r="Q106" s="22">
        <f t="shared" ref="Q106" ca="1" si="348">Q105*$E105</f>
        <v>0</v>
      </c>
      <c r="R106" s="22">
        <f t="shared" ref="R106" ca="1" si="349">R105*$E105</f>
        <v>0</v>
      </c>
      <c r="S106" s="22">
        <f t="shared" ref="S106" ca="1" si="350">S105*$E105</f>
        <v>0</v>
      </c>
      <c r="U106" s="17"/>
      <c r="V106" s="18"/>
      <c r="W106" s="19"/>
      <c r="X106" s="20"/>
    </row>
    <row r="107" spans="1:24">
      <c r="A107" s="212"/>
      <c r="B107" s="212"/>
      <c r="C107" s="199" t="s">
        <v>290</v>
      </c>
      <c r="D107" s="199" t="str">
        <f>VLOOKUP(C107,'仕掛品名寄（貼付）'!B:C,2,FALSE)</f>
        <v>その他</v>
      </c>
      <c r="E107" s="199">
        <f>VLOOKUP(D107,'仕掛品標準単価一覧表（貼付）'!B:G,6,FALSE)</f>
        <v>1080</v>
      </c>
      <c r="F107" s="12" t="s">
        <v>246</v>
      </c>
      <c r="G107" s="13">
        <v>527</v>
      </c>
      <c r="H107" s="13">
        <f ca="1">SUMIF('1.3②原材料使用'!B:E,C107,'1.3②原材料使用'!E:E)</f>
        <v>0</v>
      </c>
      <c r="I107" s="13">
        <f ca="1">SUMIF('2.10原液別作業時間'!A:B,C107,'2.10原液別作業時間'!B:B)</f>
        <v>0</v>
      </c>
      <c r="J107" s="13">
        <f ca="1">SUM(G107:H107,K107)</f>
        <v>527</v>
      </c>
      <c r="K107" s="13">
        <f ca="1">SUMIF('2.2⑤純増減→前工程費'!B:E,C107,'2.2⑤純増減→前工程費'!E:E)</f>
        <v>0</v>
      </c>
      <c r="L107" s="13">
        <f ca="1">SUMIF('2.6完成品'!C:D,C107,'2.6完成品'!D:D)</f>
        <v>0</v>
      </c>
      <c r="M107" s="13">
        <f ca="1">SUMIF('2.3研究費'!D:E,C107,'2.3研究費'!E:E)</f>
        <v>0</v>
      </c>
      <c r="N107" s="13">
        <f ca="1">SUMIF('2.4販促費'!D:E,C107,'2.4販促費'!E:E)</f>
        <v>0</v>
      </c>
      <c r="O107" s="13">
        <f ca="1">SUMIF('2.5廃棄処分'!D:E,C107,'2.5廃棄処分'!E:E)</f>
        <v>0</v>
      </c>
      <c r="P107" s="13">
        <f ca="1">SUMIF('2.1④異種原液'!D:E,C107,'2.1④異種原液'!E:E)</f>
        <v>0</v>
      </c>
      <c r="Q107" s="14">
        <f ca="1">SUMIF('2.7製造部生産分'!D:I,C107,'2.7製造部生産分'!H:H)</f>
        <v>0</v>
      </c>
      <c r="R107" s="15">
        <f ca="1">-(G107+H107+K107-L107-M107-N107-O107-P107-Q107-S107)</f>
        <v>0</v>
      </c>
      <c r="S107" s="13">
        <f ca="1">SUMIF('2.9原液在庫'!B:H,C107,'2.9原液在庫'!H:H)</f>
        <v>527</v>
      </c>
      <c r="T107" s="16">
        <f ca="1">IFERROR(SUM(G108:K108)/(G107+H107+K107),0)</f>
        <v>1239.0680444141606</v>
      </c>
      <c r="U107" s="17" t="str">
        <f>C107</f>
        <v>17R海</v>
      </c>
      <c r="V107" s="18">
        <f ca="1">IF(ISERROR(SUM(G108:K108)/SUM(L107:Q107,S107)),0,SUM(G108:K108)/SUM(L107:Q107,S107))</f>
        <v>1239.0680444141606</v>
      </c>
      <c r="W107" s="19">
        <f ca="1">V107</f>
        <v>1239.0680444141606</v>
      </c>
      <c r="X107" s="20">
        <f ca="1">W107/1000</f>
        <v>1.2390680444141606</v>
      </c>
    </row>
    <row r="108" spans="1:24">
      <c r="A108" s="212"/>
      <c r="B108" s="212"/>
      <c r="C108" s="199"/>
      <c r="D108" s="199"/>
      <c r="E108" s="199"/>
      <c r="F108" s="21" t="s">
        <v>247</v>
      </c>
      <c r="G108" s="22">
        <v>637178.85940626264</v>
      </c>
      <c r="H108" s="184"/>
      <c r="I108" s="23">
        <f ca="1">I107*労務費経費単価SC!D$7</f>
        <v>0</v>
      </c>
      <c r="J108" s="23">
        <f ca="1">J107*労務費経費単価SC!D$11</f>
        <v>15810</v>
      </c>
      <c r="K108" s="22">
        <f ca="1">K107*$E107</f>
        <v>0</v>
      </c>
      <c r="L108" s="22">
        <f ca="1">L107*$E107</f>
        <v>0</v>
      </c>
      <c r="M108" s="22">
        <f t="shared" ref="M108" ca="1" si="351">M107*$E107</f>
        <v>0</v>
      </c>
      <c r="N108" s="22">
        <f t="shared" ref="N108" ca="1" si="352">N107*$E107</f>
        <v>0</v>
      </c>
      <c r="O108" s="22">
        <f t="shared" ref="O108" ca="1" si="353">O107*$E107</f>
        <v>0</v>
      </c>
      <c r="P108" s="22">
        <f t="shared" ref="P108" ca="1" si="354">P107*$E107</f>
        <v>0</v>
      </c>
      <c r="Q108" s="22">
        <f t="shared" ref="Q108" ca="1" si="355">Q107*$E107</f>
        <v>0</v>
      </c>
      <c r="R108" s="22">
        <f t="shared" ref="R108" ca="1" si="356">R107*$E107</f>
        <v>0</v>
      </c>
      <c r="S108" s="22">
        <f t="shared" ref="S108" ca="1" si="357">S107*$E107</f>
        <v>569160</v>
      </c>
      <c r="U108" s="17"/>
      <c r="V108" s="18"/>
      <c r="W108" s="19"/>
      <c r="X108" s="20"/>
    </row>
    <row r="109" spans="1:24">
      <c r="A109" s="212"/>
      <c r="B109" s="212"/>
      <c r="C109" s="206" t="s">
        <v>291</v>
      </c>
      <c r="D109" s="199" t="str">
        <f>VLOOKUP(C109,'仕掛品名寄（貼付）'!B:C,2,FALSE)</f>
        <v>その他</v>
      </c>
      <c r="E109" s="199">
        <f>VLOOKUP(D109,'仕掛品標準単価一覧表（貼付）'!B:G,6,FALSE)</f>
        <v>1080</v>
      </c>
      <c r="F109" s="12" t="s">
        <v>246</v>
      </c>
      <c r="G109" s="13">
        <v>0</v>
      </c>
      <c r="H109" s="13">
        <f ca="1">SUMIF('1.3②原材料使用'!B:E,C109,'1.3②原材料使用'!E:E)</f>
        <v>0</v>
      </c>
      <c r="I109" s="13">
        <f ca="1">SUMIF('2.10原液別作業時間'!A:B,C109,'2.10原液別作業時間'!B:B)</f>
        <v>0</v>
      </c>
      <c r="J109" s="13">
        <f ca="1">SUM(G109:H109,K109)</f>
        <v>0</v>
      </c>
      <c r="K109" s="13">
        <f ca="1">SUMIF('2.2⑤純増減→前工程費'!B:E,C109,'2.2⑤純増減→前工程費'!E:E)</f>
        <v>0</v>
      </c>
      <c r="L109" s="13">
        <f ca="1">SUMIF('2.6完成品'!C:D,C109,'2.6完成品'!D:D)</f>
        <v>0</v>
      </c>
      <c r="M109" s="13">
        <f ca="1">SUMIF('2.3研究費'!D:E,C109,'2.3研究費'!E:E)</f>
        <v>0</v>
      </c>
      <c r="N109" s="13">
        <f ca="1">SUMIF('2.4販促費'!D:E,C109,'2.4販促費'!E:E)</f>
        <v>0</v>
      </c>
      <c r="O109" s="13">
        <f ca="1">SUMIF('2.5廃棄処分'!D:E,C109,'2.5廃棄処分'!E:E)</f>
        <v>0</v>
      </c>
      <c r="P109" s="13">
        <f ca="1">SUMIF('2.1④異種原液'!D:E,C109,'2.1④異種原液'!E:E)</f>
        <v>0</v>
      </c>
      <c r="Q109" s="14">
        <f ca="1">SUMIF('2.7製造部生産分'!D:I,C109,'2.7製造部生産分'!H:H)</f>
        <v>0</v>
      </c>
      <c r="R109" s="15">
        <f ca="1">-(G109+H109+K109-L109-M109-N109-O109-P109-Q109-S109)</f>
        <v>0</v>
      </c>
      <c r="S109" s="13">
        <f ca="1">SUMIF('2.9原液在庫'!B:H,C109,'2.9原液在庫'!H:H)</f>
        <v>0</v>
      </c>
      <c r="T109" s="16">
        <f ca="1">IFERROR(SUM(G110:K110)/(G109+H109+K109),0)</f>
        <v>0</v>
      </c>
      <c r="U109" s="17" t="str">
        <f>C109</f>
        <v>17RB海</v>
      </c>
      <c r="V109" s="18">
        <f ca="1">IF(ISERROR(SUM(G110:K110)/SUM(L109:Q109,S109)),0,SUM(G110:K110)/SUM(L109:Q109,S109))</f>
        <v>0</v>
      </c>
      <c r="W109" s="19">
        <f ca="1">V109</f>
        <v>0</v>
      </c>
      <c r="X109" s="20">
        <f ca="1">W109/1000</f>
        <v>0</v>
      </c>
    </row>
    <row r="110" spans="1:24">
      <c r="A110" s="212"/>
      <c r="B110" s="212"/>
      <c r="C110" s="199"/>
      <c r="D110" s="199"/>
      <c r="E110" s="199"/>
      <c r="F110" s="21" t="s">
        <v>247</v>
      </c>
      <c r="G110" s="22" t="s">
        <v>254</v>
      </c>
      <c r="H110" s="184"/>
      <c r="I110" s="23">
        <f ca="1">I109*労務費経費単価SC!D$7</f>
        <v>0</v>
      </c>
      <c r="J110" s="23">
        <f ca="1">J109*労務費経費単価SC!D$11</f>
        <v>0</v>
      </c>
      <c r="K110" s="22">
        <f ca="1">K109*$E109</f>
        <v>0</v>
      </c>
      <c r="L110" s="22">
        <f ca="1">L109*$E109</f>
        <v>0</v>
      </c>
      <c r="M110" s="22">
        <f t="shared" ref="M110" ca="1" si="358">M109*$E109</f>
        <v>0</v>
      </c>
      <c r="N110" s="22">
        <f t="shared" ref="N110" ca="1" si="359">N109*$E109</f>
        <v>0</v>
      </c>
      <c r="O110" s="22">
        <f t="shared" ref="O110" ca="1" si="360">O109*$E109</f>
        <v>0</v>
      </c>
      <c r="P110" s="22">
        <f t="shared" ref="P110" ca="1" si="361">P109*$E109</f>
        <v>0</v>
      </c>
      <c r="Q110" s="22">
        <f t="shared" ref="Q110" ca="1" si="362">Q109*$E109</f>
        <v>0</v>
      </c>
      <c r="R110" s="22">
        <f t="shared" ref="R110" ca="1" si="363">R109*$E109</f>
        <v>0</v>
      </c>
      <c r="S110" s="22">
        <f t="shared" ref="S110" ca="1" si="364">S109*$E109</f>
        <v>0</v>
      </c>
      <c r="U110" s="17"/>
      <c r="V110" s="18"/>
      <c r="W110" s="19"/>
      <c r="X110" s="20"/>
    </row>
    <row r="111" spans="1:24">
      <c r="A111" s="212"/>
      <c r="B111" s="212"/>
      <c r="C111" s="199" t="s">
        <v>35</v>
      </c>
      <c r="D111" s="199" t="str">
        <f>VLOOKUP(C111,'仕掛品名寄（貼付）'!B:C,2,FALSE)</f>
        <v>その他</v>
      </c>
      <c r="E111" s="199">
        <f>VLOOKUP(D111,'仕掛品標準単価一覧表（貼付）'!B:G,6,FALSE)</f>
        <v>1080</v>
      </c>
      <c r="F111" s="12" t="s">
        <v>246</v>
      </c>
      <c r="G111" s="13">
        <v>0</v>
      </c>
      <c r="H111" s="13">
        <f ca="1">SUMIF('1.3②原材料使用'!B:E,C111,'1.3②原材料使用'!E:E)</f>
        <v>0</v>
      </c>
      <c r="I111" s="13">
        <f ca="1">SUMIF('2.10原液別作業時間'!A:B,C111,'2.10原液別作業時間'!B:B)</f>
        <v>0</v>
      </c>
      <c r="J111" s="13">
        <f ca="1">SUM(G111:H111,K111)</f>
        <v>0</v>
      </c>
      <c r="K111" s="13">
        <f ca="1">SUMIF('2.2⑤純増減→前工程費'!B:E,C111,'2.2⑤純増減→前工程費'!E:E)</f>
        <v>0</v>
      </c>
      <c r="L111" s="13">
        <f ca="1">SUMIF('2.6完成品'!C:D,C111,'2.6完成品'!D:D)</f>
        <v>0</v>
      </c>
      <c r="M111" s="13">
        <f ca="1">SUMIF('2.3研究費'!D:E,C111,'2.3研究費'!E:E)</f>
        <v>0</v>
      </c>
      <c r="N111" s="13">
        <f ca="1">SUMIF('2.4販促費'!D:E,C111,'2.4販促費'!E:E)</f>
        <v>0</v>
      </c>
      <c r="O111" s="13">
        <f ca="1">SUMIF('2.5廃棄処分'!D:E,C111,'2.5廃棄処分'!E:E)</f>
        <v>0</v>
      </c>
      <c r="P111" s="13">
        <f ca="1">SUMIF('2.1④異種原液'!D:E,C111,'2.1④異種原液'!E:E)</f>
        <v>0</v>
      </c>
      <c r="Q111" s="14">
        <f ca="1">SUMIF('2.7製造部生産分'!D:I,C111,'2.7製造部生産分'!H:H)</f>
        <v>0</v>
      </c>
      <c r="R111" s="15">
        <f ca="1">-(G111+H111+K111-L111-M111-N111-O111-P111-Q111-S111)</f>
        <v>0</v>
      </c>
      <c r="S111" s="13">
        <f ca="1">SUMIF('2.9原液在庫'!B:H,C111,'2.9原液在庫'!H:H)</f>
        <v>0</v>
      </c>
      <c r="T111" s="16">
        <f ca="1">IFERROR(SUM(G112:K112)/(G111+H111+K111),0)</f>
        <v>0</v>
      </c>
      <c r="U111" s="17" t="str">
        <f>C111</f>
        <v>17HIX</v>
      </c>
      <c r="V111" s="18">
        <f ca="1">IF(ISERROR(SUM(G112:K112)/SUM(L111:Q111,S111)),0,SUM(G112:K112)/SUM(L111:Q111,S111))</f>
        <v>0</v>
      </c>
      <c r="W111" s="19">
        <f ca="1">V111</f>
        <v>0</v>
      </c>
      <c r="X111" s="20">
        <f ca="1">W111/1000</f>
        <v>0</v>
      </c>
    </row>
    <row r="112" spans="1:24">
      <c r="A112" s="212"/>
      <c r="B112" s="212"/>
      <c r="C112" s="199"/>
      <c r="D112" s="199"/>
      <c r="E112" s="199"/>
      <c r="F112" s="21" t="s">
        <v>247</v>
      </c>
      <c r="G112" s="22" t="s">
        <v>254</v>
      </c>
      <c r="H112" s="184"/>
      <c r="I112" s="23">
        <f ca="1">I111*労務費経費単価SC!D$7</f>
        <v>0</v>
      </c>
      <c r="J112" s="23">
        <f ca="1">J111*労務費経費単価SC!D$11</f>
        <v>0</v>
      </c>
      <c r="K112" s="22">
        <f ca="1">K111*$E111</f>
        <v>0</v>
      </c>
      <c r="L112" s="22">
        <f ca="1">L111*$E111</f>
        <v>0</v>
      </c>
      <c r="M112" s="22">
        <f t="shared" ref="M112" ca="1" si="365">M111*$E111</f>
        <v>0</v>
      </c>
      <c r="N112" s="22">
        <f t="shared" ref="N112" ca="1" si="366">N111*$E111</f>
        <v>0</v>
      </c>
      <c r="O112" s="22">
        <f t="shared" ref="O112" ca="1" si="367">O111*$E111</f>
        <v>0</v>
      </c>
      <c r="P112" s="22">
        <f t="shared" ref="P112" ca="1" si="368">P111*$E111</f>
        <v>0</v>
      </c>
      <c r="Q112" s="22">
        <f t="shared" ref="Q112" ca="1" si="369">Q111*$E111</f>
        <v>0</v>
      </c>
      <c r="R112" s="22">
        <f t="shared" ref="R112" ca="1" si="370">R111*$E111</f>
        <v>0</v>
      </c>
      <c r="S112" s="22">
        <f t="shared" ref="S112" ca="1" si="371">S111*$E111</f>
        <v>0</v>
      </c>
      <c r="U112" s="17"/>
      <c r="V112" s="18"/>
      <c r="W112" s="19"/>
      <c r="X112" s="20"/>
    </row>
    <row r="113" spans="1:24">
      <c r="A113" s="212"/>
      <c r="B113" s="212"/>
      <c r="C113" s="199" t="s">
        <v>292</v>
      </c>
      <c r="D113" s="199" t="str">
        <f>VLOOKUP(C113,'仕掛品名寄（貼付）'!B:C,2,FALSE)</f>
        <v>その他</v>
      </c>
      <c r="E113" s="199">
        <f>VLOOKUP(D113,'仕掛品標準単価一覧表（貼付）'!B:G,6,FALSE)</f>
        <v>1080</v>
      </c>
      <c r="F113" s="12" t="s">
        <v>246</v>
      </c>
      <c r="G113" s="24">
        <v>0</v>
      </c>
      <c r="H113" s="13">
        <f ca="1">SUMIF('1.3②原材料使用'!B:E,C113,'1.3②原材料使用'!E:E)</f>
        <v>0</v>
      </c>
      <c r="I113" s="13">
        <f ca="1">SUMIF('2.10原液別作業時間'!A:B,C113,'2.10原液別作業時間'!B:B)</f>
        <v>0</v>
      </c>
      <c r="J113" s="13">
        <f ca="1">SUM(G113:H113,K113)</f>
        <v>0</v>
      </c>
      <c r="K113" s="13">
        <f ca="1">SUMIF('2.2⑤純増減→前工程費'!B:E,C113,'2.2⑤純増減→前工程費'!E:E)</f>
        <v>0</v>
      </c>
      <c r="L113" s="13">
        <f ca="1">SUMIF('2.6完成品'!C:D,C113,'2.6完成品'!D:D)</f>
        <v>0</v>
      </c>
      <c r="M113" s="13">
        <f ca="1">SUMIF('2.3研究費'!D:E,C113,'2.3研究費'!E:E)</f>
        <v>0</v>
      </c>
      <c r="N113" s="13">
        <f ca="1">SUMIF('2.4販促費'!D:E,C113,'2.4販促費'!E:E)</f>
        <v>0</v>
      </c>
      <c r="O113" s="13">
        <f ca="1">SUMIF('2.5廃棄処分'!D:E,C113,'2.5廃棄処分'!E:E)</f>
        <v>0</v>
      </c>
      <c r="P113" s="13">
        <f ca="1">SUMIF('2.1④異種原液'!D:E,C113,'2.1④異種原液'!E:E)</f>
        <v>0</v>
      </c>
      <c r="Q113" s="14">
        <f ca="1">SUMIF('2.7製造部生産分'!D:I,C113,'2.7製造部生産分'!H:H)</f>
        <v>0</v>
      </c>
      <c r="R113" s="15">
        <f ca="1">-(G113+H113+K113-L113-M113-N113-O113-P113-Q113-S113)</f>
        <v>0</v>
      </c>
      <c r="S113" s="13">
        <f ca="1">SUMIF('2.9原液在庫'!B:H,C113,'2.9原液在庫'!H:H)</f>
        <v>0</v>
      </c>
      <c r="T113" s="16">
        <f ca="1">IFERROR(SUM(G114:K114)/(G113+H113+K113),0)</f>
        <v>0</v>
      </c>
      <c r="U113" s="17" t="str">
        <f>C113</f>
        <v>17HIXﾆ</v>
      </c>
      <c r="V113" s="18">
        <f ca="1">IF(ISERROR(SUM(G114:K114)/SUM(L113:Q113,S113)),0,SUM(G114:K114)/SUM(L113:Q113,S113))</f>
        <v>0</v>
      </c>
      <c r="W113" s="19">
        <f ca="1">V113</f>
        <v>0</v>
      </c>
      <c r="X113" s="20">
        <f ca="1">W113/1000</f>
        <v>0</v>
      </c>
    </row>
    <row r="114" spans="1:24">
      <c r="A114" s="201"/>
      <c r="B114" s="201"/>
      <c r="C114" s="199"/>
      <c r="D114" s="199"/>
      <c r="E114" s="199"/>
      <c r="F114" s="21" t="s">
        <v>247</v>
      </c>
      <c r="G114" s="22" t="s">
        <v>254</v>
      </c>
      <c r="H114" s="184"/>
      <c r="I114" s="23">
        <f ca="1">I113*労務費経費単価SC!D$7</f>
        <v>0</v>
      </c>
      <c r="J114" s="23">
        <f ca="1">J113*労務費経費単価SC!D$11</f>
        <v>0</v>
      </c>
      <c r="K114" s="22">
        <f ca="1">K113*$E113</f>
        <v>0</v>
      </c>
      <c r="L114" s="22">
        <f ca="1">L113*$E113</f>
        <v>0</v>
      </c>
      <c r="M114" s="22">
        <f t="shared" ref="M114" ca="1" si="372">M113*$E113</f>
        <v>0</v>
      </c>
      <c r="N114" s="22">
        <f t="shared" ref="N114" ca="1" si="373">N113*$E113</f>
        <v>0</v>
      </c>
      <c r="O114" s="22">
        <f t="shared" ref="O114" ca="1" si="374">O113*$E113</f>
        <v>0</v>
      </c>
      <c r="P114" s="22">
        <f t="shared" ref="P114" ca="1" si="375">P113*$E113</f>
        <v>0</v>
      </c>
      <c r="Q114" s="22">
        <f t="shared" ref="Q114" ca="1" si="376">Q113*$E113</f>
        <v>0</v>
      </c>
      <c r="R114" s="22">
        <f t="shared" ref="R114" ca="1" si="377">R113*$E113</f>
        <v>0</v>
      </c>
      <c r="S114" s="22">
        <f t="shared" ref="S114" ca="1" si="378">S113*$E113</f>
        <v>0</v>
      </c>
      <c r="U114" s="17"/>
      <c r="V114" s="18"/>
      <c r="W114" s="19"/>
      <c r="X114" s="20"/>
    </row>
    <row r="115" spans="1:24">
      <c r="A115" s="199" t="s">
        <v>293</v>
      </c>
      <c r="B115" s="199">
        <v>18</v>
      </c>
      <c r="C115" s="199" t="s">
        <v>294</v>
      </c>
      <c r="D115" s="199" t="str">
        <f>VLOOKUP(C115,'仕掛品名寄（貼付）'!B:C,2,FALSE)</f>
        <v>R</v>
      </c>
      <c r="E115" s="199">
        <f>VLOOKUP(D115,'仕掛品標準単価一覧表（貼付）'!B:G,6,FALSE)</f>
        <v>908</v>
      </c>
      <c r="F115" s="12" t="s">
        <v>246</v>
      </c>
      <c r="G115" s="13">
        <v>0</v>
      </c>
      <c r="H115" s="13">
        <f ca="1">SUMIF('1.3②原材料使用'!B:E,C115,'1.3②原材料使用'!E:E)</f>
        <v>0</v>
      </c>
      <c r="I115" s="13">
        <f ca="1">SUMIF('2.10原液別作業時間'!A:B,C115,'2.10原液別作業時間'!B:B)</f>
        <v>0</v>
      </c>
      <c r="J115" s="13">
        <f ca="1">SUM(G115:H115,K115)</f>
        <v>0</v>
      </c>
      <c r="K115" s="13">
        <f ca="1">SUMIF('2.2⑤純増減→前工程費'!B:E,C115,'2.2⑤純増減→前工程費'!E:E)</f>
        <v>0</v>
      </c>
      <c r="L115" s="13">
        <f ca="1">SUMIF('2.6完成品'!C:D,C115,'2.6完成品'!D:D)</f>
        <v>0</v>
      </c>
      <c r="M115" s="13">
        <f ca="1">SUMIF('2.3研究費'!D:E,C115,'2.3研究費'!E:E)</f>
        <v>0</v>
      </c>
      <c r="N115" s="13">
        <f ca="1">SUMIF('2.4販促費'!D:E,C115,'2.4販促費'!E:E)</f>
        <v>0</v>
      </c>
      <c r="O115" s="13">
        <f ca="1">SUMIF('2.5廃棄処分'!D:E,C115,'2.5廃棄処分'!E:E)</f>
        <v>0</v>
      </c>
      <c r="P115" s="13">
        <f ca="1">SUMIF('2.1④異種原液'!D:E,C115,'2.1④異種原液'!E:E)</f>
        <v>0</v>
      </c>
      <c r="Q115" s="14">
        <f ca="1">SUMIF('2.7製造部生産分'!D:I,C115,'2.7製造部生産分'!H:H)</f>
        <v>0</v>
      </c>
      <c r="R115" s="15">
        <f ca="1">-(G115+H115+K115-L115-M115-N115-O115-P115-Q115-S115)</f>
        <v>0</v>
      </c>
      <c r="S115" s="13">
        <f ca="1">SUMIF('2.9原液在庫'!B:H,C115,'2.9原液在庫'!H:H)</f>
        <v>0</v>
      </c>
      <c r="T115" s="16">
        <f ca="1">IFERROR(SUM(G116:K116)/(G115+H115+K115),0)</f>
        <v>0</v>
      </c>
      <c r="U115" s="17" t="str">
        <f>C115</f>
        <v>18R</v>
      </c>
      <c r="V115" s="18">
        <f ca="1">IF(ISERROR(SUM(G116:K116)/SUM(L115:Q115,S115)),0,SUM(G116:K116)/SUM(L115:Q115,S115))</f>
        <v>0</v>
      </c>
      <c r="W115" s="19">
        <f ca="1">V115</f>
        <v>0</v>
      </c>
      <c r="X115" s="20">
        <f ca="1">W115/1000</f>
        <v>0</v>
      </c>
    </row>
    <row r="116" spans="1:24">
      <c r="A116" s="199"/>
      <c r="B116" s="199"/>
      <c r="C116" s="199"/>
      <c r="D116" s="199"/>
      <c r="E116" s="199"/>
      <c r="F116" s="21" t="s">
        <v>247</v>
      </c>
      <c r="G116" s="22" t="s">
        <v>254</v>
      </c>
      <c r="H116" s="184"/>
      <c r="I116" s="23">
        <f ca="1">I115*労務費経費単価SC!D$7</f>
        <v>0</v>
      </c>
      <c r="J116" s="23">
        <f ca="1">J115*労務費経費単価SC!D$11</f>
        <v>0</v>
      </c>
      <c r="K116" s="22">
        <f ca="1">K115*$E115</f>
        <v>0</v>
      </c>
      <c r="L116" s="22">
        <f ca="1">L115*$E115</f>
        <v>0</v>
      </c>
      <c r="M116" s="22">
        <f t="shared" ref="M116" ca="1" si="379">M115*$E115</f>
        <v>0</v>
      </c>
      <c r="N116" s="22">
        <f t="shared" ref="N116" ca="1" si="380">N115*$E115</f>
        <v>0</v>
      </c>
      <c r="O116" s="22">
        <f t="shared" ref="O116" ca="1" si="381">O115*$E115</f>
        <v>0</v>
      </c>
      <c r="P116" s="22">
        <f t="shared" ref="P116" ca="1" si="382">P115*$E115</f>
        <v>0</v>
      </c>
      <c r="Q116" s="22">
        <f t="shared" ref="Q116" ca="1" si="383">Q115*$E115</f>
        <v>0</v>
      </c>
      <c r="R116" s="22">
        <f t="shared" ref="R116" ca="1" si="384">R115*$E115</f>
        <v>0</v>
      </c>
      <c r="S116" s="22">
        <f t="shared" ref="S116" ca="1" si="385">S115*$E115</f>
        <v>0</v>
      </c>
      <c r="U116" s="17"/>
      <c r="V116" s="18"/>
      <c r="W116" s="19"/>
      <c r="X116" s="20"/>
    </row>
    <row r="117" spans="1:24">
      <c r="A117" s="199"/>
      <c r="B117" s="199"/>
      <c r="C117" s="199" t="s">
        <v>36</v>
      </c>
      <c r="D117" s="199" t="str">
        <f>VLOOKUP(C117,'仕掛品名寄（貼付）'!B:C,2,FALSE)</f>
        <v>G</v>
      </c>
      <c r="E117" s="199">
        <f>VLOOKUP(D117,'仕掛品標準単価一覧表（貼付）'!B:G,6,FALSE)</f>
        <v>2344.7183999999997</v>
      </c>
      <c r="F117" s="12" t="s">
        <v>246</v>
      </c>
      <c r="G117" s="13">
        <v>0</v>
      </c>
      <c r="H117" s="13">
        <f ca="1">SUMIF('1.3②原材料使用'!B:E,C117,'1.3②原材料使用'!E:E)</f>
        <v>0</v>
      </c>
      <c r="I117" s="13">
        <f ca="1">SUMIF('2.10原液別作業時間'!A:B,C117,'2.10原液別作業時間'!B:B)</f>
        <v>0</v>
      </c>
      <c r="J117" s="13">
        <f ca="1">SUM(G117:H117,K117)</f>
        <v>0</v>
      </c>
      <c r="K117" s="13">
        <f ca="1">SUMIF('2.2⑤純増減→前工程費'!B:E,C117,'2.2⑤純増減→前工程費'!E:E)</f>
        <v>0</v>
      </c>
      <c r="L117" s="13">
        <f ca="1">SUMIF('2.6完成品'!C:D,C117,'2.6完成品'!D:D)</f>
        <v>0</v>
      </c>
      <c r="M117" s="13">
        <f ca="1">SUMIF('2.3研究費'!D:E,C117,'2.3研究費'!E:E)</f>
        <v>0</v>
      </c>
      <c r="N117" s="13">
        <f ca="1">SUMIF('2.4販促費'!D:E,C117,'2.4販促費'!E:E)</f>
        <v>0</v>
      </c>
      <c r="O117" s="13">
        <f ca="1">SUMIF('2.5廃棄処分'!D:E,C117,'2.5廃棄処分'!E:E)</f>
        <v>0</v>
      </c>
      <c r="P117" s="13">
        <f ca="1">SUMIF('2.1④異種原液'!D:E,C117,'2.1④異種原液'!E:E)</f>
        <v>0</v>
      </c>
      <c r="Q117" s="14">
        <f ca="1">SUMIF('2.7製造部生産分'!D:I,C117,'2.7製造部生産分'!H:H)</f>
        <v>0</v>
      </c>
      <c r="R117" s="15">
        <f ca="1">-(G117+H117+K117-L117-M117-N117-O117-P117-Q117-S117)</f>
        <v>0</v>
      </c>
      <c r="S117" s="13">
        <f ca="1">SUMIF('2.9原液在庫'!B:H,C117,'2.9原液在庫'!H:H)</f>
        <v>0</v>
      </c>
      <c r="T117" s="16">
        <f ca="1">IFERROR(SUM(G118:K118)/(G117+H117+K117),0)</f>
        <v>0</v>
      </c>
      <c r="U117" s="17" t="str">
        <f>C117</f>
        <v>18G</v>
      </c>
      <c r="V117" s="18">
        <f ca="1">IF(ISERROR(SUM(G118:K118)/SUM(L117:Q117,S117)),0,SUM(G118:K118)/SUM(L117:Q117,S117))</f>
        <v>0</v>
      </c>
      <c r="W117" s="19">
        <f ca="1">V117</f>
        <v>0</v>
      </c>
      <c r="X117" s="20">
        <f ca="1">W117/1000</f>
        <v>0</v>
      </c>
    </row>
    <row r="118" spans="1:24">
      <c r="A118" s="199"/>
      <c r="B118" s="199"/>
      <c r="C118" s="199"/>
      <c r="D118" s="199"/>
      <c r="E118" s="199"/>
      <c r="F118" s="21" t="s">
        <v>247</v>
      </c>
      <c r="G118" s="22" t="s">
        <v>254</v>
      </c>
      <c r="H118" s="184"/>
      <c r="I118" s="23">
        <f ca="1">I117*労務費経費単価SC!D$7</f>
        <v>0</v>
      </c>
      <c r="J118" s="23">
        <f ca="1">J117*労務費経費単価SC!D$11</f>
        <v>0</v>
      </c>
      <c r="K118" s="22">
        <f ca="1">K117*$E117</f>
        <v>0</v>
      </c>
      <c r="L118" s="22">
        <f ca="1">L117*$E117</f>
        <v>0</v>
      </c>
      <c r="M118" s="22">
        <f t="shared" ref="M118" ca="1" si="386">M117*$E117</f>
        <v>0</v>
      </c>
      <c r="N118" s="22">
        <f t="shared" ref="N118" ca="1" si="387">N117*$E117</f>
        <v>0</v>
      </c>
      <c r="O118" s="22">
        <f t="shared" ref="O118" ca="1" si="388">O117*$E117</f>
        <v>0</v>
      </c>
      <c r="P118" s="22">
        <f t="shared" ref="P118" ca="1" si="389">P117*$E117</f>
        <v>0</v>
      </c>
      <c r="Q118" s="22">
        <f t="shared" ref="Q118" ca="1" si="390">Q117*$E117</f>
        <v>0</v>
      </c>
      <c r="R118" s="22">
        <f t="shared" ref="R118" ca="1" si="391">R117*$E117</f>
        <v>0</v>
      </c>
      <c r="S118" s="22">
        <f t="shared" ref="S118" ca="1" si="392">S117*$E117</f>
        <v>0</v>
      </c>
      <c r="U118" s="17"/>
      <c r="V118" s="18"/>
      <c r="W118" s="19"/>
      <c r="X118" s="20"/>
    </row>
    <row r="119" spans="1:24">
      <c r="A119" s="199"/>
      <c r="B119" s="199"/>
      <c r="C119" s="199" t="s">
        <v>295</v>
      </c>
      <c r="D119" s="199" t="str">
        <f>VLOOKUP(C119,'仕掛品名寄（貼付）'!B:C,2,FALSE)</f>
        <v>GA</v>
      </c>
      <c r="E119" s="199">
        <f>VLOOKUP(D119,'仕掛品標準単価一覧表（貼付）'!B:G,6,FALSE)</f>
        <v>2374.7183999999997</v>
      </c>
      <c r="F119" s="12" t="s">
        <v>246</v>
      </c>
      <c r="G119" s="13">
        <v>0</v>
      </c>
      <c r="H119" s="13">
        <f ca="1">SUMIF('1.3②原材料使用'!B:E,C119,'1.3②原材料使用'!E:E)</f>
        <v>0</v>
      </c>
      <c r="I119" s="13">
        <f ca="1">SUMIF('2.10原液別作業時間'!A:B,C119,'2.10原液別作業時間'!B:B)</f>
        <v>0</v>
      </c>
      <c r="J119" s="13">
        <f ca="1">SUM(G119:H119,K119)</f>
        <v>0</v>
      </c>
      <c r="K119" s="13">
        <f ca="1">SUMIF('2.2⑤純増減→前工程費'!B:E,C119,'2.2⑤純増減→前工程費'!E:E)</f>
        <v>0</v>
      </c>
      <c r="L119" s="13">
        <f ca="1">SUMIF('2.6完成品'!C:D,C119,'2.6完成品'!D:D)</f>
        <v>0</v>
      </c>
      <c r="M119" s="13">
        <f ca="1">SUMIF('2.3研究費'!D:E,C119,'2.3研究費'!E:E)</f>
        <v>0</v>
      </c>
      <c r="N119" s="13">
        <f ca="1">SUMIF('2.4販促費'!D:E,C119,'2.4販促費'!E:E)</f>
        <v>0</v>
      </c>
      <c r="O119" s="13">
        <f ca="1">SUMIF('2.5廃棄処分'!D:E,C119,'2.5廃棄処分'!E:E)</f>
        <v>0</v>
      </c>
      <c r="P119" s="13">
        <f ca="1">SUMIF('2.1④異種原液'!D:E,C119,'2.1④異種原液'!E:E)</f>
        <v>0</v>
      </c>
      <c r="Q119" s="14">
        <f ca="1">SUMIF('2.7製造部生産分'!D:I,C119,'2.7製造部生産分'!H:H)</f>
        <v>0</v>
      </c>
      <c r="R119" s="15">
        <f ca="1">-(G119+H119+K119-L119-M119-N119-O119-P119-Q119-S119)</f>
        <v>0</v>
      </c>
      <c r="S119" s="13">
        <f ca="1">SUMIF('2.9原液在庫'!B:H,C119,'2.9原液在庫'!H:H)</f>
        <v>0</v>
      </c>
      <c r="T119" s="16">
        <f ca="1">IFERROR(SUM(G120:K120)/(G119+H119+K119),0)</f>
        <v>0</v>
      </c>
      <c r="U119" s="17" t="str">
        <f>C119</f>
        <v>18GA</v>
      </c>
      <c r="V119" s="18">
        <f ca="1">IF(ISERROR(SUM(G120:K120)/SUM(L119:Q119,S119)),0,SUM(G120:K120)/SUM(L119:Q119,S119))</f>
        <v>0</v>
      </c>
      <c r="W119" s="19">
        <f ca="1">V119</f>
        <v>0</v>
      </c>
      <c r="X119" s="20">
        <f ca="1">W119/1000</f>
        <v>0</v>
      </c>
    </row>
    <row r="120" spans="1:24">
      <c r="A120" s="199"/>
      <c r="B120" s="199"/>
      <c r="C120" s="199"/>
      <c r="D120" s="199"/>
      <c r="E120" s="199"/>
      <c r="F120" s="21" t="s">
        <v>247</v>
      </c>
      <c r="G120" s="22" t="s">
        <v>254</v>
      </c>
      <c r="H120" s="184"/>
      <c r="I120" s="23">
        <f ca="1">I119*労務費経費単価SC!D$7</f>
        <v>0</v>
      </c>
      <c r="J120" s="23">
        <f ca="1">J119*労務費経費単価SC!D$11</f>
        <v>0</v>
      </c>
      <c r="K120" s="22">
        <f ca="1">K119*$E119</f>
        <v>0</v>
      </c>
      <c r="L120" s="22">
        <f ca="1">L119*$E119</f>
        <v>0</v>
      </c>
      <c r="M120" s="22">
        <f t="shared" ref="M120" ca="1" si="393">M119*$E119</f>
        <v>0</v>
      </c>
      <c r="N120" s="22">
        <f t="shared" ref="N120" ca="1" si="394">N119*$E119</f>
        <v>0</v>
      </c>
      <c r="O120" s="22">
        <f t="shared" ref="O120" ca="1" si="395">O119*$E119</f>
        <v>0</v>
      </c>
      <c r="P120" s="22">
        <f t="shared" ref="P120" ca="1" si="396">P119*$E119</f>
        <v>0</v>
      </c>
      <c r="Q120" s="22">
        <f t="shared" ref="Q120" ca="1" si="397">Q119*$E119</f>
        <v>0</v>
      </c>
      <c r="R120" s="22">
        <f t="shared" ref="R120" ca="1" si="398">R119*$E119</f>
        <v>0</v>
      </c>
      <c r="S120" s="22">
        <f t="shared" ref="S120" ca="1" si="399">S119*$E119</f>
        <v>0</v>
      </c>
      <c r="U120" s="17"/>
      <c r="V120" s="18"/>
      <c r="W120" s="19"/>
      <c r="X120" s="20"/>
    </row>
    <row r="121" spans="1:24">
      <c r="A121" s="199"/>
      <c r="B121" s="199"/>
      <c r="C121" s="199" t="s">
        <v>38</v>
      </c>
      <c r="D121" s="199" t="str">
        <f>VLOOKUP(C121,'仕掛品名寄（貼付）'!B:C,2,FALSE)</f>
        <v>その他</v>
      </c>
      <c r="E121" s="199">
        <f>VLOOKUP(D121,'仕掛品標準単価一覧表（貼付）'!B:G,6,FALSE)</f>
        <v>1080</v>
      </c>
      <c r="F121" s="12" t="s">
        <v>246</v>
      </c>
      <c r="G121" s="13">
        <v>0</v>
      </c>
      <c r="H121" s="13">
        <f ca="1">SUMIF('1.3②原材料使用'!B:E,C121,'1.3②原材料使用'!E:E)</f>
        <v>0</v>
      </c>
      <c r="I121" s="13">
        <f ca="1">SUMIF('2.10原液別作業時間'!A:B,C121,'2.10原液別作業時間'!B:B)</f>
        <v>0</v>
      </c>
      <c r="J121" s="13">
        <f ca="1">SUM(G121:H121,K121)</f>
        <v>0</v>
      </c>
      <c r="K121" s="13">
        <f ca="1">SUMIF('2.2⑤純増減→前工程費'!B:E,C121,'2.2⑤純増減→前工程費'!E:E)</f>
        <v>0</v>
      </c>
      <c r="L121" s="13">
        <f ca="1">SUMIF('2.6完成品'!C:D,C121,'2.6完成品'!D:D)</f>
        <v>0</v>
      </c>
      <c r="M121" s="13">
        <f ca="1">SUMIF('2.3研究費'!D:E,C121,'2.3研究費'!E:E)</f>
        <v>0</v>
      </c>
      <c r="N121" s="13">
        <f ca="1">SUMIF('2.4販促費'!D:E,C121,'2.4販促費'!E:E)</f>
        <v>0</v>
      </c>
      <c r="O121" s="13">
        <f ca="1">SUMIF('2.5廃棄処分'!D:E,C121,'2.5廃棄処分'!E:E)</f>
        <v>0</v>
      </c>
      <c r="P121" s="13">
        <f ca="1">SUMIF('2.1④異種原液'!D:E,C121,'2.1④異種原液'!E:E)</f>
        <v>0</v>
      </c>
      <c r="Q121" s="14">
        <f ca="1">SUMIF('2.7製造部生産分'!D:I,C121,'2.7製造部生産分'!H:H)</f>
        <v>0</v>
      </c>
      <c r="R121" s="15">
        <f ca="1">-(G121+H121+K121-L121-M121-N121-O121-P121-Q121-S121)</f>
        <v>0</v>
      </c>
      <c r="S121" s="13">
        <f ca="1">SUMIF('2.9原液在庫'!B:H,C121,'2.9原液在庫'!H:H)</f>
        <v>0</v>
      </c>
      <c r="T121" s="16">
        <f ca="1">IFERROR(SUM(G122:K122)/(G121+H121+K121),0)</f>
        <v>0</v>
      </c>
      <c r="U121" s="17" t="str">
        <f>C121</f>
        <v>18Rﾊﾟ</v>
      </c>
      <c r="V121" s="18">
        <f ca="1">IF(ISERROR(SUM(G122:K122)/SUM(L121:Q121,S121)),0,SUM(G122:K122)/SUM(L121:Q121,S121))</f>
        <v>0</v>
      </c>
      <c r="W121" s="19">
        <f ca="1">V121</f>
        <v>0</v>
      </c>
      <c r="X121" s="20">
        <f ca="1">W121/1000</f>
        <v>0</v>
      </c>
    </row>
    <row r="122" spans="1:24">
      <c r="A122" s="199"/>
      <c r="B122" s="199"/>
      <c r="C122" s="199"/>
      <c r="D122" s="199"/>
      <c r="E122" s="199"/>
      <c r="F122" s="21" t="s">
        <v>247</v>
      </c>
      <c r="G122" s="22" t="s">
        <v>254</v>
      </c>
      <c r="H122" s="184"/>
      <c r="I122" s="23">
        <f ca="1">I121*労務費経費単価SC!D$7</f>
        <v>0</v>
      </c>
      <c r="J122" s="23">
        <f ca="1">J121*労務費経費単価SC!D$11</f>
        <v>0</v>
      </c>
      <c r="K122" s="22">
        <f ca="1">K121*$E121</f>
        <v>0</v>
      </c>
      <c r="L122" s="22">
        <f ca="1">L121*$E121</f>
        <v>0</v>
      </c>
      <c r="M122" s="22">
        <f t="shared" ref="M122" ca="1" si="400">M121*$E121</f>
        <v>0</v>
      </c>
      <c r="N122" s="22">
        <f t="shared" ref="N122" ca="1" si="401">N121*$E121</f>
        <v>0</v>
      </c>
      <c r="O122" s="22">
        <f t="shared" ref="O122" ca="1" si="402">O121*$E121</f>
        <v>0</v>
      </c>
      <c r="P122" s="22">
        <f t="shared" ref="P122" ca="1" si="403">P121*$E121</f>
        <v>0</v>
      </c>
      <c r="Q122" s="22">
        <f t="shared" ref="Q122" ca="1" si="404">Q121*$E121</f>
        <v>0</v>
      </c>
      <c r="R122" s="22">
        <f t="shared" ref="R122" ca="1" si="405">R121*$E121</f>
        <v>0</v>
      </c>
      <c r="S122" s="22">
        <f t="shared" ref="S122" ca="1" si="406">S121*$E121</f>
        <v>0</v>
      </c>
      <c r="U122" s="17"/>
      <c r="V122" s="18"/>
      <c r="W122" s="19"/>
      <c r="X122" s="20"/>
    </row>
    <row r="123" spans="1:24">
      <c r="A123" s="199"/>
      <c r="B123" s="199"/>
      <c r="C123" s="199" t="s">
        <v>39</v>
      </c>
      <c r="D123" s="199" t="str">
        <f>VLOOKUP(C123,'仕掛品名寄（貼付）'!B:C,2,FALSE)</f>
        <v>HI</v>
      </c>
      <c r="E123" s="199">
        <f>VLOOKUP(D123,'仕掛品標準単価一覧表（貼付）'!B:G,6,FALSE)</f>
        <v>1176</v>
      </c>
      <c r="F123" s="12" t="s">
        <v>246</v>
      </c>
      <c r="G123" s="13">
        <v>1632.5</v>
      </c>
      <c r="H123" s="13">
        <f ca="1">SUMIF('1.3②原材料使用'!B:E,C123,'1.3②原材料使用'!E:E)</f>
        <v>0</v>
      </c>
      <c r="I123" s="13">
        <f ca="1">SUMIF('2.10原液別作業時間'!A:B,C123,'2.10原液別作業時間'!B:B)</f>
        <v>0</v>
      </c>
      <c r="J123" s="13">
        <f ca="1">SUM(G123:H123,K123)</f>
        <v>1632.5</v>
      </c>
      <c r="K123" s="13">
        <f ca="1">SUMIF('2.2⑤純増減→前工程費'!B:E,C123,'2.2⑤純増減→前工程費'!E:E)</f>
        <v>0</v>
      </c>
      <c r="L123" s="13">
        <f ca="1">SUMIF('2.6完成品'!C:D,C123,'2.6完成品'!D:D)</f>
        <v>0</v>
      </c>
      <c r="M123" s="13">
        <f ca="1">SUMIF('2.3研究費'!D:E,C123,'2.3研究費'!E:E)</f>
        <v>0</v>
      </c>
      <c r="N123" s="13">
        <f ca="1">SUMIF('2.4販促費'!D:E,C123,'2.4販促費'!E:E)</f>
        <v>0</v>
      </c>
      <c r="O123" s="13">
        <f ca="1">SUMIF('2.5廃棄処分'!D:E,C123,'2.5廃棄処分'!E:E)</f>
        <v>0</v>
      </c>
      <c r="P123" s="13">
        <f ca="1">SUMIF('2.1④異種原液'!D:E,C123,'2.1④異種原液'!E:E)</f>
        <v>0</v>
      </c>
      <c r="Q123" s="14">
        <f ca="1">SUMIF('2.7製造部生産分'!D:I,C123,'2.7製造部生産分'!H:H)</f>
        <v>0</v>
      </c>
      <c r="R123" s="15">
        <f ca="1">-(G123+H123+K123-L123-M123-N123-O123-P123-Q123-S123)</f>
        <v>0</v>
      </c>
      <c r="S123" s="13">
        <f ca="1">SUMIF('2.9原液在庫'!B:H,C123,'2.9原液在庫'!H:H)</f>
        <v>1632.5</v>
      </c>
      <c r="T123" s="16">
        <f ca="1">IFERROR(SUM(G124:K124)/(G123+H123+K123),0)</f>
        <v>1179.9094215632601</v>
      </c>
      <c r="U123" s="17" t="str">
        <f>C123</f>
        <v>18HI</v>
      </c>
      <c r="V123" s="18">
        <f ca="1">IF(ISERROR(SUM(G124:K124)/SUM(L123:Q123,S123)),0,SUM(G124:K124)/SUM(L123:Q123,S123))</f>
        <v>1179.9094215632601</v>
      </c>
      <c r="W123" s="19">
        <f ca="1">V123</f>
        <v>1179.9094215632601</v>
      </c>
      <c r="X123" s="20">
        <f ca="1">W123/1000</f>
        <v>1.1799094215632602</v>
      </c>
    </row>
    <row r="124" spans="1:24">
      <c r="A124" s="199"/>
      <c r="B124" s="199"/>
      <c r="C124" s="199"/>
      <c r="D124" s="199"/>
      <c r="E124" s="199"/>
      <c r="F124" s="21" t="s">
        <v>247</v>
      </c>
      <c r="G124" s="22">
        <v>1877227.130702022</v>
      </c>
      <c r="H124" s="184"/>
      <c r="I124" s="23">
        <f ca="1">I123*労務費経費単価SC!D$7</f>
        <v>0</v>
      </c>
      <c r="J124" s="23">
        <f ca="1">J123*労務費経費単価SC!D$11</f>
        <v>48975</v>
      </c>
      <c r="K124" s="22">
        <f ca="1">K123*$E123</f>
        <v>0</v>
      </c>
      <c r="L124" s="22">
        <f ca="1">L123*$E123</f>
        <v>0</v>
      </c>
      <c r="M124" s="22">
        <f t="shared" ref="M124" ca="1" si="407">M123*$E123</f>
        <v>0</v>
      </c>
      <c r="N124" s="22">
        <f t="shared" ref="N124" ca="1" si="408">N123*$E123</f>
        <v>0</v>
      </c>
      <c r="O124" s="22">
        <f t="shared" ref="O124" ca="1" si="409">O123*$E123</f>
        <v>0</v>
      </c>
      <c r="P124" s="22">
        <f t="shared" ref="P124" ca="1" si="410">P123*$E123</f>
        <v>0</v>
      </c>
      <c r="Q124" s="22">
        <f t="shared" ref="Q124" ca="1" si="411">Q123*$E123</f>
        <v>0</v>
      </c>
      <c r="R124" s="22">
        <f t="shared" ref="R124" ca="1" si="412">R123*$E123</f>
        <v>0</v>
      </c>
      <c r="S124" s="22">
        <f t="shared" ref="S124" ca="1" si="413">S123*$E123</f>
        <v>1919820</v>
      </c>
      <c r="U124" s="17"/>
      <c r="V124" s="18"/>
      <c r="W124" s="19"/>
      <c r="X124" s="20"/>
    </row>
    <row r="125" spans="1:24">
      <c r="A125" s="199"/>
      <c r="B125" s="199"/>
      <c r="C125" s="206" t="s">
        <v>42</v>
      </c>
      <c r="D125" s="199" t="str">
        <f>VLOOKUP(C125,'仕掛品名寄（貼付）'!B:C,2,FALSE)</f>
        <v>HIA</v>
      </c>
      <c r="E125" s="199">
        <f>VLOOKUP(D125,'仕掛品標準単価一覧表（貼付）'!B:G,6,FALSE)</f>
        <v>1254</v>
      </c>
      <c r="F125" s="12" t="s">
        <v>246</v>
      </c>
      <c r="G125" s="13">
        <v>396</v>
      </c>
      <c r="H125" s="13">
        <f ca="1">SUMIF('1.3②原材料使用'!B:E,C125,'1.3②原材料使用'!E:E)</f>
        <v>0</v>
      </c>
      <c r="I125" s="13">
        <f ca="1">SUMIF('2.10原液別作業時間'!A:B,C125,'2.10原液別作業時間'!B:B)</f>
        <v>0</v>
      </c>
      <c r="J125" s="13">
        <f ca="1">SUM(G125:H125,K125)</f>
        <v>396</v>
      </c>
      <c r="K125" s="13">
        <f ca="1">SUMIF('2.2⑤純増減→前工程費'!B:E,C125,'2.2⑤純増減→前工程費'!E:E)</f>
        <v>0</v>
      </c>
      <c r="L125" s="13">
        <f ca="1">SUMIF('2.6完成品'!C:D,C125,'2.6完成品'!D:D)</f>
        <v>0</v>
      </c>
      <c r="M125" s="13">
        <f ca="1">SUMIF('2.3研究費'!D:E,C125,'2.3研究費'!E:E)</f>
        <v>0</v>
      </c>
      <c r="N125" s="13">
        <f ca="1">SUMIF('2.4販促費'!D:E,C125,'2.4販促費'!E:E)</f>
        <v>0</v>
      </c>
      <c r="O125" s="13">
        <f ca="1">SUMIF('2.5廃棄処分'!D:E,C125,'2.5廃棄処分'!E:E)</f>
        <v>0</v>
      </c>
      <c r="P125" s="13">
        <f ca="1">SUMIF('2.1④異種原液'!D:E,C125,'2.1④異種原液'!E:E)</f>
        <v>0</v>
      </c>
      <c r="Q125" s="14">
        <f ca="1">SUMIF('2.7製造部生産分'!D:I,C125,'2.7製造部生産分'!H:H)</f>
        <v>0</v>
      </c>
      <c r="R125" s="15">
        <f ca="1">-(G125+H125+K125-L125-M125-N125-O125-P125-Q125-S125)</f>
        <v>0</v>
      </c>
      <c r="S125" s="13">
        <f ca="1">SUMIF('2.9原液在庫'!B:H,C125,'2.9原液在庫'!H:H)</f>
        <v>396</v>
      </c>
      <c r="T125" s="16">
        <f ca="1">IFERROR(SUM(G126:K126)/(G125+H125+K125),0)</f>
        <v>1210.0239139701957</v>
      </c>
      <c r="U125" s="17" t="str">
        <f>C125</f>
        <v>18HIA</v>
      </c>
      <c r="V125" s="18">
        <f ca="1">IF(ISERROR(SUM(G126:K126)/SUM(L125:Q125,S125)),0,SUM(G126:K126)/SUM(L125:Q125,S125))</f>
        <v>1210.0239139701957</v>
      </c>
      <c r="W125" s="19">
        <f ca="1">V125</f>
        <v>1210.0239139701957</v>
      </c>
      <c r="X125" s="20">
        <f ca="1">W125/1000</f>
        <v>1.2100239139701958</v>
      </c>
    </row>
    <row r="126" spans="1:24">
      <c r="A126" s="199"/>
      <c r="B126" s="199"/>
      <c r="C126" s="199"/>
      <c r="D126" s="199"/>
      <c r="E126" s="199"/>
      <c r="F126" s="21" t="s">
        <v>247</v>
      </c>
      <c r="G126" s="22">
        <v>467289.46993219748</v>
      </c>
      <c r="H126" s="184"/>
      <c r="I126" s="23">
        <f ca="1">I125*労務費経費単価SC!D$7</f>
        <v>0</v>
      </c>
      <c r="J126" s="23">
        <f ca="1">J125*労務費経費単価SC!D$11</f>
        <v>11880</v>
      </c>
      <c r="K126" s="22">
        <f ca="1">K125*$E125</f>
        <v>0</v>
      </c>
      <c r="L126" s="22">
        <f ca="1">L125*$E125</f>
        <v>0</v>
      </c>
      <c r="M126" s="22">
        <f t="shared" ref="M126" ca="1" si="414">M125*$E125</f>
        <v>0</v>
      </c>
      <c r="N126" s="22">
        <f t="shared" ref="N126" ca="1" si="415">N125*$E125</f>
        <v>0</v>
      </c>
      <c r="O126" s="22">
        <f t="shared" ref="O126" ca="1" si="416">O125*$E125</f>
        <v>0</v>
      </c>
      <c r="P126" s="22">
        <f t="shared" ref="P126" ca="1" si="417">P125*$E125</f>
        <v>0</v>
      </c>
      <c r="Q126" s="22">
        <f t="shared" ref="Q126" ca="1" si="418">Q125*$E125</f>
        <v>0</v>
      </c>
      <c r="R126" s="22">
        <f t="shared" ref="R126" ca="1" si="419">R125*$E125</f>
        <v>0</v>
      </c>
      <c r="S126" s="22">
        <f t="shared" ref="S126" ca="1" si="420">S125*$E125</f>
        <v>496584</v>
      </c>
      <c r="U126" s="17"/>
      <c r="V126" s="18"/>
      <c r="W126" s="19"/>
      <c r="X126" s="20"/>
    </row>
    <row r="127" spans="1:24">
      <c r="A127" s="199"/>
      <c r="B127" s="199"/>
      <c r="C127" s="206" t="s">
        <v>296</v>
      </c>
      <c r="D127" s="199" t="str">
        <f>VLOOKUP(C127,'仕掛品名寄（貼付）'!B:C,2,FALSE)</f>
        <v>HIB</v>
      </c>
      <c r="E127" s="199">
        <f>VLOOKUP(D127,'仕掛品標準単価一覧表（貼付）'!B:G,6,FALSE)</f>
        <v>1284</v>
      </c>
      <c r="F127" s="12" t="s">
        <v>246</v>
      </c>
      <c r="G127" s="13">
        <v>0</v>
      </c>
      <c r="H127" s="13">
        <f ca="1">SUMIF('1.3②原材料使用'!B:E,C127,'1.3②原材料使用'!E:E)</f>
        <v>0</v>
      </c>
      <c r="I127" s="13">
        <f ca="1">SUMIF('2.10原液別作業時間'!A:B,C127,'2.10原液別作業時間'!B:B)</f>
        <v>0</v>
      </c>
      <c r="J127" s="13">
        <f ca="1">SUM(G127:H127,K127)</f>
        <v>0</v>
      </c>
      <c r="K127" s="13">
        <f ca="1">SUMIF('2.2⑤純増減→前工程費'!B:E,C127,'2.2⑤純増減→前工程費'!E:E)</f>
        <v>0</v>
      </c>
      <c r="L127" s="13">
        <f ca="1">SUMIF('2.6完成品'!C:D,C127,'2.6完成品'!D:D)</f>
        <v>0</v>
      </c>
      <c r="M127" s="13">
        <f ca="1">SUMIF('2.3研究費'!D:E,C127,'2.3研究費'!E:E)</f>
        <v>0</v>
      </c>
      <c r="N127" s="13">
        <f ca="1">SUMIF('2.4販促費'!D:E,C127,'2.4販促費'!E:E)</f>
        <v>0</v>
      </c>
      <c r="O127" s="13">
        <f ca="1">SUMIF('2.5廃棄処分'!D:E,C127,'2.5廃棄処分'!E:E)</f>
        <v>0</v>
      </c>
      <c r="P127" s="13">
        <f ca="1">SUMIF('2.1④異種原液'!D:E,C127,'2.1④異種原液'!E:E)</f>
        <v>0</v>
      </c>
      <c r="Q127" s="14">
        <f ca="1">SUMIF('2.7製造部生産分'!D:I,C127,'2.7製造部生産分'!H:H)</f>
        <v>0</v>
      </c>
      <c r="R127" s="15">
        <f ca="1">-(G127+H127+K127-L127-M127-N127-O127-P127-Q127-S127)</f>
        <v>0</v>
      </c>
      <c r="S127" s="13">
        <f ca="1">SUMIF('2.9原液在庫'!B:H,C127,'2.9原液在庫'!H:H)</f>
        <v>0</v>
      </c>
      <c r="T127" s="16">
        <f ca="1">IFERROR(SUM(G128:K128)/(G127+H127+K127),0)</f>
        <v>0</v>
      </c>
      <c r="U127" s="17" t="str">
        <f>C127</f>
        <v>18HIB</v>
      </c>
      <c r="V127" s="18">
        <f ca="1">IF(ISERROR(SUM(G128:K128)/SUM(L127:Q127,S127)),0,SUM(G128:K128)/SUM(L127:Q127,S127))</f>
        <v>0</v>
      </c>
      <c r="W127" s="19">
        <f ca="1">V127</f>
        <v>0</v>
      </c>
      <c r="X127" s="20">
        <f ca="1">W127/1000</f>
        <v>0</v>
      </c>
    </row>
    <row r="128" spans="1:24">
      <c r="A128" s="199"/>
      <c r="B128" s="199"/>
      <c r="C128" s="199"/>
      <c r="D128" s="199"/>
      <c r="E128" s="199"/>
      <c r="F128" s="21" t="s">
        <v>247</v>
      </c>
      <c r="G128" s="22" t="s">
        <v>254</v>
      </c>
      <c r="H128" s="184"/>
      <c r="I128" s="23">
        <f ca="1">I127*労務費経費単価SC!D$7</f>
        <v>0</v>
      </c>
      <c r="J128" s="23">
        <f ca="1">J127*労務費経費単価SC!D$11</f>
        <v>0</v>
      </c>
      <c r="K128" s="22">
        <f ca="1">K127*$E127</f>
        <v>0</v>
      </c>
      <c r="L128" s="22">
        <f ca="1">L127*$E127</f>
        <v>0</v>
      </c>
      <c r="M128" s="22">
        <f t="shared" ref="M128" ca="1" si="421">M127*$E127</f>
        <v>0</v>
      </c>
      <c r="N128" s="22">
        <f t="shared" ref="N128" ca="1" si="422">N127*$E127</f>
        <v>0</v>
      </c>
      <c r="O128" s="22">
        <f t="shared" ref="O128" ca="1" si="423">O127*$E127</f>
        <v>0</v>
      </c>
      <c r="P128" s="22">
        <f t="shared" ref="P128" ca="1" si="424">P127*$E127</f>
        <v>0</v>
      </c>
      <c r="Q128" s="22">
        <f t="shared" ref="Q128" ca="1" si="425">Q127*$E127</f>
        <v>0</v>
      </c>
      <c r="R128" s="22">
        <f t="shared" ref="R128" ca="1" si="426">R127*$E127</f>
        <v>0</v>
      </c>
      <c r="S128" s="22">
        <f t="shared" ref="S128" ca="1" si="427">S127*$E127</f>
        <v>0</v>
      </c>
      <c r="U128" s="17"/>
      <c r="V128" s="18"/>
      <c r="W128" s="19"/>
      <c r="X128" s="20"/>
    </row>
    <row r="129" spans="1:25">
      <c r="A129" s="199"/>
      <c r="B129" s="199"/>
      <c r="C129" s="206" t="s">
        <v>45</v>
      </c>
      <c r="D129" s="199" t="str">
        <f>VLOOKUP(C129,'仕掛品名寄（貼付）'!B:C,2,FALSE)</f>
        <v>その他</v>
      </c>
      <c r="E129" s="199">
        <f>VLOOKUP(D129,'仕掛品標準単価一覧表（貼付）'!B:G,6,FALSE)</f>
        <v>1080</v>
      </c>
      <c r="F129" s="12" t="s">
        <v>246</v>
      </c>
      <c r="G129" s="13">
        <v>0</v>
      </c>
      <c r="H129" s="13">
        <f ca="1">SUMIF('1.3②原材料使用'!B:E,C129,'1.3②原材料使用'!E:E)</f>
        <v>0</v>
      </c>
      <c r="I129" s="13">
        <f ca="1">SUMIF('2.10原液別作業時間'!A:B,C129,'2.10原液別作業時間'!B:B)</f>
        <v>0</v>
      </c>
      <c r="J129" s="13">
        <f ca="1">SUM(G129:H129,K129)</f>
        <v>0</v>
      </c>
      <c r="K129" s="13">
        <f ca="1">SUMIF('2.2⑤純増減→前工程費'!B:E,C129,'2.2⑤純増減→前工程費'!E:E)</f>
        <v>0</v>
      </c>
      <c r="L129" s="13">
        <f ca="1">SUMIF('2.6完成品'!C:D,C129,'2.6完成品'!D:D)</f>
        <v>0</v>
      </c>
      <c r="M129" s="13">
        <f ca="1">SUMIF('2.3研究費'!D:E,C129,'2.3研究費'!E:E)</f>
        <v>0</v>
      </c>
      <c r="N129" s="13">
        <f ca="1">SUMIF('2.4販促費'!D:E,C129,'2.4販促費'!E:E)</f>
        <v>0</v>
      </c>
      <c r="O129" s="13">
        <f ca="1">SUMIF('2.5廃棄処分'!D:E,C129,'2.5廃棄処分'!E:E)</f>
        <v>0</v>
      </c>
      <c r="P129" s="13">
        <f ca="1">SUMIF('2.1④異種原液'!D:E,C129,'2.1④異種原液'!E:E)</f>
        <v>0</v>
      </c>
      <c r="Q129" s="14">
        <f ca="1">SUMIF('2.7製造部生産分'!D:I,C129,'2.7製造部生産分'!H:H)</f>
        <v>0</v>
      </c>
      <c r="R129" s="15">
        <f ca="1">-(G129+H129+K129-L129-M129-N129-O129-P129-Q129-S129)</f>
        <v>0</v>
      </c>
      <c r="S129" s="13">
        <f ca="1">SUMIF('2.9原液在庫'!B:H,C129,'2.9原液在庫'!H:H)</f>
        <v>0</v>
      </c>
      <c r="T129" s="16">
        <f ca="1">IFERROR(SUM(G130:K130)/(G129+H129+K129),0)</f>
        <v>0</v>
      </c>
      <c r="U129" s="17" t="str">
        <f>C129</f>
        <v>18RBｶﾘﾝ</v>
      </c>
      <c r="V129" s="18">
        <f ca="1">IF(ISERROR(SUM(G130:K130)/SUM(L129:Q129,S129)),0,SUM(G130:K130)/SUM(L129:Q129,S129))</f>
        <v>0</v>
      </c>
      <c r="W129" s="19">
        <f ca="1">V129</f>
        <v>0</v>
      </c>
      <c r="X129" s="20">
        <f ca="1">W129/1000</f>
        <v>0</v>
      </c>
    </row>
    <row r="130" spans="1:25">
      <c r="A130" s="199"/>
      <c r="B130" s="199"/>
      <c r="C130" s="199"/>
      <c r="D130" s="199"/>
      <c r="E130" s="199"/>
      <c r="F130" s="21" t="s">
        <v>247</v>
      </c>
      <c r="G130" s="22" t="s">
        <v>254</v>
      </c>
      <c r="H130" s="184"/>
      <c r="I130" s="23">
        <f ca="1">I129*労務費経費単価SC!D$7</f>
        <v>0</v>
      </c>
      <c r="J130" s="23">
        <f ca="1">J129*労務費経費単価SC!D$11</f>
        <v>0</v>
      </c>
      <c r="K130" s="22">
        <f ca="1">K129*$E129</f>
        <v>0</v>
      </c>
      <c r="L130" s="22">
        <f ca="1">L129*$E129</f>
        <v>0</v>
      </c>
      <c r="M130" s="22">
        <f t="shared" ref="M130" ca="1" si="428">M129*$E129</f>
        <v>0</v>
      </c>
      <c r="N130" s="22">
        <f t="shared" ref="N130" ca="1" si="429">N129*$E129</f>
        <v>0</v>
      </c>
      <c r="O130" s="22">
        <f t="shared" ref="O130" ca="1" si="430">O129*$E129</f>
        <v>0</v>
      </c>
      <c r="P130" s="22">
        <f t="shared" ref="P130" ca="1" si="431">P129*$E129</f>
        <v>0</v>
      </c>
      <c r="Q130" s="22">
        <f t="shared" ref="Q130" ca="1" si="432">Q129*$E129</f>
        <v>0</v>
      </c>
      <c r="R130" s="22">
        <f t="shared" ref="R130" ca="1" si="433">R129*$E129</f>
        <v>0</v>
      </c>
      <c r="S130" s="22">
        <f t="shared" ref="S130" ca="1" si="434">S129*$E129</f>
        <v>0</v>
      </c>
      <c r="U130" s="17"/>
      <c r="V130" s="18"/>
      <c r="W130" s="19"/>
      <c r="X130" s="20"/>
    </row>
    <row r="131" spans="1:25">
      <c r="A131" s="199"/>
      <c r="B131" s="199"/>
      <c r="C131" s="199" t="s">
        <v>40</v>
      </c>
      <c r="D131" s="199" t="str">
        <f>VLOOKUP(C131,'仕掛品名寄（貼付）'!B:C,2,FALSE)</f>
        <v>HIパ</v>
      </c>
      <c r="E131" s="199">
        <f>VLOOKUP(D131,'仕掛品標準単価一覧表（貼付）'!B:G,6,FALSE)</f>
        <v>1283</v>
      </c>
      <c r="F131" s="12" t="s">
        <v>246</v>
      </c>
      <c r="G131" s="13">
        <v>0</v>
      </c>
      <c r="H131" s="13">
        <f ca="1">SUMIF('1.3②原材料使用'!B:E,C131,'1.3②原材料使用'!E:E)</f>
        <v>0</v>
      </c>
      <c r="I131" s="13">
        <f ca="1">SUMIF('2.10原液別作業時間'!A:B,C131,'2.10原液別作業時間'!B:B)</f>
        <v>0</v>
      </c>
      <c r="J131" s="13">
        <f ca="1">SUM(G131:H131,K131)</f>
        <v>0</v>
      </c>
      <c r="K131" s="13">
        <f ca="1">SUMIF('2.2⑤純増減→前工程費'!B:E,C131,'2.2⑤純増減→前工程費'!E:E)</f>
        <v>0</v>
      </c>
      <c r="L131" s="13">
        <f ca="1">SUMIF('2.6完成品'!C:D,C131,'2.6完成品'!D:D)</f>
        <v>0</v>
      </c>
      <c r="M131" s="13">
        <f ca="1">SUMIF('2.3研究費'!D:E,C131,'2.3研究費'!E:E)</f>
        <v>0</v>
      </c>
      <c r="N131" s="13">
        <f ca="1">SUMIF('2.4販促費'!D:E,C131,'2.4販促費'!E:E)</f>
        <v>0</v>
      </c>
      <c r="O131" s="13">
        <f ca="1">SUMIF('2.5廃棄処分'!D:E,C131,'2.5廃棄処分'!E:E)</f>
        <v>0</v>
      </c>
      <c r="P131" s="13">
        <f ca="1">SUMIF('2.1④異種原液'!D:E,C131,'2.1④異種原液'!E:E)</f>
        <v>0</v>
      </c>
      <c r="Q131" s="14">
        <f ca="1">SUMIF('2.7製造部生産分'!D:I,C131,'2.7製造部生産分'!H:H)</f>
        <v>0</v>
      </c>
      <c r="R131" s="15">
        <f ca="1">-(G131+H131+K131-L131-M131-N131-O131-P131-Q131-S131)</f>
        <v>0</v>
      </c>
      <c r="S131" s="13">
        <f ca="1">SUMIF('2.9原液在庫'!B:H,C131,'2.9原液在庫'!H:H)</f>
        <v>0</v>
      </c>
      <c r="T131" s="16">
        <f ca="1">IFERROR(SUM(G132:K132)/(G131+H131+K131),0)</f>
        <v>0</v>
      </c>
      <c r="U131" s="17" t="str">
        <f>C131</f>
        <v>18HIﾊﾟ</v>
      </c>
      <c r="V131" s="18">
        <f ca="1">IF(ISERROR(SUM(G132:K132)/SUM(L131:Q131,S131)),0,SUM(G132:K132)/SUM(L131:Q131,S131))</f>
        <v>0</v>
      </c>
      <c r="W131" s="19">
        <f ca="1">V131</f>
        <v>0</v>
      </c>
      <c r="X131" s="20">
        <f ca="1">W131/1000</f>
        <v>0</v>
      </c>
    </row>
    <row r="132" spans="1:25">
      <c r="A132" s="199"/>
      <c r="B132" s="199"/>
      <c r="C132" s="199"/>
      <c r="D132" s="199"/>
      <c r="E132" s="199"/>
      <c r="F132" s="21" t="s">
        <v>247</v>
      </c>
      <c r="G132" s="22" t="s">
        <v>254</v>
      </c>
      <c r="H132" s="184"/>
      <c r="I132" s="23">
        <f ca="1">I131*労務費経費単価SC!D$7</f>
        <v>0</v>
      </c>
      <c r="J132" s="23">
        <f ca="1">J131*労務費経費単価SC!D$11</f>
        <v>0</v>
      </c>
      <c r="K132" s="22">
        <f ca="1">K131*$E131</f>
        <v>0</v>
      </c>
      <c r="L132" s="22">
        <f ca="1">L131*$E131</f>
        <v>0</v>
      </c>
      <c r="M132" s="22">
        <f t="shared" ref="M132" ca="1" si="435">M131*$E131</f>
        <v>0</v>
      </c>
      <c r="N132" s="22">
        <f t="shared" ref="N132" ca="1" si="436">N131*$E131</f>
        <v>0</v>
      </c>
      <c r="O132" s="22">
        <f t="shared" ref="O132" ca="1" si="437">O131*$E131</f>
        <v>0</v>
      </c>
      <c r="P132" s="22">
        <f t="shared" ref="P132" ca="1" si="438">P131*$E131</f>
        <v>0</v>
      </c>
      <c r="Q132" s="22">
        <f t="shared" ref="Q132" ca="1" si="439">Q131*$E131</f>
        <v>0</v>
      </c>
      <c r="R132" s="22">
        <f t="shared" ref="R132" ca="1" si="440">R131*$E131</f>
        <v>0</v>
      </c>
      <c r="S132" s="22">
        <f t="shared" ref="S132" ca="1" si="441">S131*$E131</f>
        <v>0</v>
      </c>
      <c r="U132" s="17"/>
      <c r="V132" s="18"/>
      <c r="W132" s="19"/>
      <c r="X132" s="20"/>
    </row>
    <row r="133" spans="1:25">
      <c r="A133" s="199"/>
      <c r="B133" s="199"/>
      <c r="C133" s="199" t="s">
        <v>297</v>
      </c>
      <c r="D133" s="199" t="str">
        <f>VLOOKUP(C133,'仕掛品名寄（貼付）'!B:C,2,FALSE)</f>
        <v>その他</v>
      </c>
      <c r="E133" s="199">
        <f>VLOOKUP(D133,'仕掛品標準単価一覧表（貼付）'!B:G,6,FALSE)</f>
        <v>1080</v>
      </c>
      <c r="F133" s="12" t="s">
        <v>246</v>
      </c>
      <c r="G133" s="13">
        <v>0</v>
      </c>
      <c r="H133" s="13">
        <f ca="1">SUMIF('1.3②原材料使用'!B:E,C133,'1.3②原材料使用'!E:E)</f>
        <v>0</v>
      </c>
      <c r="I133" s="13">
        <f ca="1">SUMIF('2.10原液別作業時間'!A:B,C133,'2.10原液別作業時間'!B:B)</f>
        <v>0</v>
      </c>
      <c r="J133" s="13">
        <f ca="1">SUM(G133:H133,K133)</f>
        <v>0</v>
      </c>
      <c r="K133" s="13">
        <f ca="1">SUMIF('2.2⑤純増減→前工程費'!B:E,C133,'2.2⑤純増減→前工程費'!E:E)</f>
        <v>0</v>
      </c>
      <c r="L133" s="13">
        <f ca="1">SUMIF('2.6完成品'!C:D,C133,'2.6完成品'!D:D)</f>
        <v>0</v>
      </c>
      <c r="M133" s="13">
        <f ca="1">SUMIF('2.3研究費'!D:E,C133,'2.3研究費'!E:E)</f>
        <v>0</v>
      </c>
      <c r="N133" s="13">
        <f ca="1">SUMIF('2.4販促費'!D:E,C133,'2.4販促費'!E:E)</f>
        <v>0</v>
      </c>
      <c r="O133" s="13">
        <f ca="1">SUMIF('2.5廃棄処分'!D:E,C133,'2.5廃棄処分'!E:E)</f>
        <v>0</v>
      </c>
      <c r="P133" s="13">
        <f ca="1">SUMIF('2.1④異種原液'!D:E,C133,'2.1④異種原液'!E:E)</f>
        <v>0</v>
      </c>
      <c r="Q133" s="14">
        <f ca="1">SUMIF('2.7製造部生産分'!D:I,C133,'2.7製造部生産分'!H:H)</f>
        <v>0</v>
      </c>
      <c r="R133" s="15">
        <f ca="1">-(G133+H133+K133-L133-M133-N133-O133-P133-Q133-S133)</f>
        <v>0</v>
      </c>
      <c r="S133" s="13">
        <f ca="1">SUMIF('2.9原液在庫'!B:H,C133,'2.9原液在庫'!H:H)</f>
        <v>0</v>
      </c>
      <c r="T133" s="16">
        <f ca="1">IFERROR(SUM(G134:K134)/(G133+H133+K133),0)</f>
        <v>0</v>
      </c>
      <c r="U133" s="17" t="str">
        <f>C133</f>
        <v>18HI39Rﾘ</v>
      </c>
      <c r="V133" s="18">
        <f ca="1">IF(ISERROR(SUM(G134:K134)/SUM(L133:Q133,S133)),0,SUM(G134:K134)/SUM(L133:Q133,S133))</f>
        <v>0</v>
      </c>
      <c r="W133" s="19">
        <f ca="1">V133</f>
        <v>0</v>
      </c>
      <c r="X133" s="20">
        <f ca="1">W133/1000</f>
        <v>0</v>
      </c>
    </row>
    <row r="134" spans="1:25">
      <c r="A134" s="199"/>
      <c r="B134" s="199"/>
      <c r="C134" s="199"/>
      <c r="D134" s="199"/>
      <c r="E134" s="199"/>
      <c r="F134" s="21" t="s">
        <v>247</v>
      </c>
      <c r="G134" s="22" t="s">
        <v>254</v>
      </c>
      <c r="H134" s="184"/>
      <c r="I134" s="23">
        <f ca="1">I133*労務費経費単価SC!D$7</f>
        <v>0</v>
      </c>
      <c r="J134" s="23">
        <f ca="1">J133*労務費経費単価SC!D$11</f>
        <v>0</v>
      </c>
      <c r="K134" s="22">
        <f ca="1">K133*$E133</f>
        <v>0</v>
      </c>
      <c r="L134" s="22">
        <f ca="1">L133*$E133</f>
        <v>0</v>
      </c>
      <c r="M134" s="22">
        <f t="shared" ref="M134" ca="1" si="442">M133*$E133</f>
        <v>0</v>
      </c>
      <c r="N134" s="22">
        <f t="shared" ref="N134" ca="1" si="443">N133*$E133</f>
        <v>0</v>
      </c>
      <c r="O134" s="22">
        <f t="shared" ref="O134" ca="1" si="444">O133*$E133</f>
        <v>0</v>
      </c>
      <c r="P134" s="22">
        <f t="shared" ref="P134" ca="1" si="445">P133*$E133</f>
        <v>0</v>
      </c>
      <c r="Q134" s="22">
        <f t="shared" ref="Q134" ca="1" si="446">Q133*$E133</f>
        <v>0</v>
      </c>
      <c r="R134" s="22">
        <f t="shared" ref="R134" ca="1" si="447">R133*$E133</f>
        <v>0</v>
      </c>
      <c r="S134" s="22">
        <f t="shared" ref="S134" ca="1" si="448">S133*$E133</f>
        <v>0</v>
      </c>
      <c r="U134" s="17"/>
      <c r="V134" s="18"/>
      <c r="W134" s="19"/>
      <c r="X134" s="20"/>
    </row>
    <row r="135" spans="1:25">
      <c r="A135" s="199"/>
      <c r="B135" s="199"/>
      <c r="C135" s="206" t="s">
        <v>298</v>
      </c>
      <c r="D135" s="199" t="str">
        <f>VLOOKUP(C135,'仕掛品名寄（貼付）'!B:C,2,FALSE)</f>
        <v>その他</v>
      </c>
      <c r="E135" s="199">
        <f>VLOOKUP(D135,'仕掛品標準単価一覧表（貼付）'!B:G,6,FALSE)</f>
        <v>1080</v>
      </c>
      <c r="F135" s="12" t="s">
        <v>246</v>
      </c>
      <c r="G135" s="13">
        <v>0</v>
      </c>
      <c r="H135" s="13">
        <f ca="1">SUMIF('1.3②原材料使用'!B:E,C135,'1.3②原材料使用'!E:E)</f>
        <v>0</v>
      </c>
      <c r="I135" s="13">
        <f ca="1">SUMIF('2.10原液別作業時間'!A:B,C135,'2.10原液別作業時間'!B:B)</f>
        <v>0</v>
      </c>
      <c r="J135" s="13">
        <f ca="1">SUM(G135:H135,K135)</f>
        <v>0</v>
      </c>
      <c r="K135" s="13">
        <f ca="1">SUMIF('2.2⑤純増減→前工程費'!B:E,C135,'2.2⑤純増減→前工程費'!E:E)</f>
        <v>0</v>
      </c>
      <c r="L135" s="13">
        <f ca="1">SUMIF('2.6完成品'!C:D,C135,'2.6完成品'!D:D)</f>
        <v>0</v>
      </c>
      <c r="M135" s="13">
        <f ca="1">SUMIF('2.3研究費'!D:E,C135,'2.3研究費'!E:E)</f>
        <v>0</v>
      </c>
      <c r="N135" s="13">
        <f ca="1">SUMIF('2.4販促費'!D:E,C135,'2.4販促費'!E:E)</f>
        <v>0</v>
      </c>
      <c r="O135" s="13">
        <f ca="1">SUMIF('2.5廃棄処分'!D:E,C135,'2.5廃棄処分'!E:E)</f>
        <v>0</v>
      </c>
      <c r="P135" s="13">
        <f ca="1">SUMIF('2.1④異種原液'!D:E,C135,'2.1④異種原液'!E:E)</f>
        <v>0</v>
      </c>
      <c r="Q135" s="14">
        <f ca="1">SUMIF('2.7製造部生産分'!D:I,C135,'2.7製造部生産分'!H:H)</f>
        <v>0</v>
      </c>
      <c r="R135" s="15">
        <f ca="1">-(G135+H135+K135-L135-M135-N135-O135-P135-Q135-S135)</f>
        <v>0</v>
      </c>
      <c r="S135" s="13">
        <f ca="1">SUMIF('2.9原液在庫'!B:H,C135,'2.9原液在庫'!H:H)</f>
        <v>0</v>
      </c>
      <c r="T135" s="16">
        <f ca="1">IFERROR(SUM(G136:K136)/(G135+H135+K135),0)</f>
        <v>0</v>
      </c>
      <c r="U135" s="17" t="str">
        <f>C135</f>
        <v>18HIﾊﾟ海</v>
      </c>
      <c r="V135" s="18">
        <f ca="1">IF(ISERROR(SUM(G136:K136)/SUM(L135:Q135,S135)),0,SUM(G136:K136)/SUM(L135:Q135,S135))</f>
        <v>0</v>
      </c>
      <c r="W135" s="19">
        <f ca="1">V135</f>
        <v>0</v>
      </c>
      <c r="X135" s="20">
        <f ca="1">W135/1000</f>
        <v>0</v>
      </c>
    </row>
    <row r="136" spans="1:25">
      <c r="A136" s="199"/>
      <c r="B136" s="199"/>
      <c r="C136" s="199"/>
      <c r="D136" s="199"/>
      <c r="E136" s="199"/>
      <c r="F136" s="21" t="s">
        <v>247</v>
      </c>
      <c r="G136" s="22" t="s">
        <v>254</v>
      </c>
      <c r="H136" s="184"/>
      <c r="I136" s="23">
        <f ca="1">I135*労務費経費単価SC!D$7</f>
        <v>0</v>
      </c>
      <c r="J136" s="23">
        <f ca="1">J135*労務費経費単価SC!D$11</f>
        <v>0</v>
      </c>
      <c r="K136" s="22">
        <f ca="1">K135*$E135</f>
        <v>0</v>
      </c>
      <c r="L136" s="22">
        <f ca="1">L135*$E135</f>
        <v>0</v>
      </c>
      <c r="M136" s="22">
        <f t="shared" ref="M136" ca="1" si="449">M135*$E135</f>
        <v>0</v>
      </c>
      <c r="N136" s="22">
        <f t="shared" ref="N136" ca="1" si="450">N135*$E135</f>
        <v>0</v>
      </c>
      <c r="O136" s="22">
        <f t="shared" ref="O136" ca="1" si="451">O135*$E135</f>
        <v>0</v>
      </c>
      <c r="P136" s="22">
        <f t="shared" ref="P136" ca="1" si="452">P135*$E135</f>
        <v>0</v>
      </c>
      <c r="Q136" s="22">
        <f t="shared" ref="Q136" ca="1" si="453">Q135*$E135</f>
        <v>0</v>
      </c>
      <c r="R136" s="22">
        <f t="shared" ref="R136" ca="1" si="454">R135*$E135</f>
        <v>0</v>
      </c>
      <c r="S136" s="22">
        <f t="shared" ref="S136" ca="1" si="455">S135*$E135</f>
        <v>0</v>
      </c>
      <c r="U136" s="17"/>
      <c r="V136" s="18"/>
      <c r="W136" s="19"/>
      <c r="X136" s="20"/>
    </row>
    <row r="137" spans="1:25">
      <c r="A137" s="199"/>
      <c r="B137" s="199"/>
      <c r="C137" s="199" t="s">
        <v>299</v>
      </c>
      <c r="D137" s="199" t="str">
        <f>VLOOKUP(C137,'仕掛品名寄（貼付）'!B:C,2,FALSE)</f>
        <v>RX</v>
      </c>
      <c r="E137" s="199">
        <f>VLOOKUP(D137,'仕掛品標準単価一覧表（貼付）'!B:G,6,FALSE)</f>
        <v>847</v>
      </c>
      <c r="F137" s="12" t="s">
        <v>246</v>
      </c>
      <c r="G137" s="13">
        <v>0</v>
      </c>
      <c r="H137" s="13">
        <f ca="1">SUMIF('1.3②原材料使用'!B:E,C137,'1.3②原材料使用'!E:E)</f>
        <v>0</v>
      </c>
      <c r="I137" s="13">
        <f ca="1">SUMIF('2.10原液別作業時間'!A:B,C137,'2.10原液別作業時間'!B:B)</f>
        <v>0</v>
      </c>
      <c r="J137" s="13">
        <f ca="1">SUM(G137:H137,K137)</f>
        <v>0</v>
      </c>
      <c r="K137" s="13">
        <f ca="1">SUMIF('2.2⑤純増減→前工程費'!B:E,C137,'2.2⑤純増減→前工程費'!E:E)</f>
        <v>0</v>
      </c>
      <c r="L137" s="13">
        <f ca="1">SUMIF('2.6完成品'!C:D,C137,'2.6完成品'!D:D)</f>
        <v>0</v>
      </c>
      <c r="M137" s="13">
        <f ca="1">SUMIF('2.3研究費'!D:E,C137,'2.3研究費'!E:E)</f>
        <v>0</v>
      </c>
      <c r="N137" s="13">
        <f ca="1">SUMIF('2.4販促費'!D:E,C137,'2.4販促費'!E:E)</f>
        <v>0</v>
      </c>
      <c r="O137" s="13">
        <f ca="1">SUMIF('2.5廃棄処分'!D:E,C137,'2.5廃棄処分'!E:E)</f>
        <v>0</v>
      </c>
      <c r="P137" s="13">
        <f ca="1">SUMIF('2.1④異種原液'!D:E,C137,'2.1④異種原液'!E:E)</f>
        <v>0</v>
      </c>
      <c r="Q137" s="14">
        <f ca="1">SUMIF('2.7製造部生産分'!D:I,C137,'2.7製造部生産分'!H:H)</f>
        <v>0</v>
      </c>
      <c r="R137" s="15">
        <f ca="1">-(G137+H137+K137-L137-M137-N137-O137-P137-Q137-S137)</f>
        <v>0</v>
      </c>
      <c r="S137" s="13">
        <f ca="1">SUMIF('2.9原液在庫'!B:H,C137,'2.9原液在庫'!H:H)</f>
        <v>0</v>
      </c>
      <c r="T137" s="16">
        <f ca="1">IFERROR(SUM(G138:K138)/(G137+H137+K137),0)</f>
        <v>0</v>
      </c>
      <c r="U137" s="17" t="str">
        <f>C137</f>
        <v>18RX</v>
      </c>
      <c r="V137" s="18">
        <f ca="1">IF(ISERROR(SUM(G138:K138)/SUM(L137:Q137,S137)),0,SUM(G138:K138)/SUM(L137:Q137,S137))</f>
        <v>0</v>
      </c>
      <c r="W137" s="19">
        <f ca="1">V137</f>
        <v>0</v>
      </c>
      <c r="X137" s="20">
        <f ca="1">W137/1000</f>
        <v>0</v>
      </c>
    </row>
    <row r="138" spans="1:25">
      <c r="A138" s="199"/>
      <c r="B138" s="199"/>
      <c r="C138" s="199"/>
      <c r="D138" s="199"/>
      <c r="E138" s="199"/>
      <c r="F138" s="21" t="s">
        <v>247</v>
      </c>
      <c r="G138" s="22" t="s">
        <v>254</v>
      </c>
      <c r="H138" s="184"/>
      <c r="I138" s="23">
        <f ca="1">I137*労務費経費単価SC!D$7</f>
        <v>0</v>
      </c>
      <c r="J138" s="23">
        <f ca="1">J137*労務費経費単価SC!D$11</f>
        <v>0</v>
      </c>
      <c r="K138" s="22">
        <f ca="1">K137*$E137</f>
        <v>0</v>
      </c>
      <c r="L138" s="22">
        <f ca="1">L137*$E137</f>
        <v>0</v>
      </c>
      <c r="M138" s="22">
        <f t="shared" ref="M138" ca="1" si="456">M137*$E137</f>
        <v>0</v>
      </c>
      <c r="N138" s="22">
        <f t="shared" ref="N138" ca="1" si="457">N137*$E137</f>
        <v>0</v>
      </c>
      <c r="O138" s="22">
        <f t="shared" ref="O138" ca="1" si="458">O137*$E137</f>
        <v>0</v>
      </c>
      <c r="P138" s="22">
        <f t="shared" ref="P138" ca="1" si="459">P137*$E137</f>
        <v>0</v>
      </c>
      <c r="Q138" s="22">
        <f t="shared" ref="Q138" ca="1" si="460">Q137*$E137</f>
        <v>0</v>
      </c>
      <c r="R138" s="22">
        <f t="shared" ref="R138" ca="1" si="461">R137*$E137</f>
        <v>0</v>
      </c>
      <c r="S138" s="22">
        <f t="shared" ref="S138" ca="1" si="462">S137*$E137</f>
        <v>0</v>
      </c>
      <c r="U138" s="17"/>
      <c r="V138" s="18"/>
      <c r="W138" s="19"/>
      <c r="X138" s="20"/>
    </row>
    <row r="139" spans="1:25" ht="18">
      <c r="A139" s="199" t="s">
        <v>300</v>
      </c>
      <c r="B139" s="199">
        <v>19</v>
      </c>
      <c r="C139" s="199" t="s">
        <v>46</v>
      </c>
      <c r="D139" s="199" t="str">
        <f>VLOOKUP(C139,'仕掛品名寄（貼付）'!B:C,2,FALSE)</f>
        <v>R</v>
      </c>
      <c r="E139" s="199">
        <f>VLOOKUP(D139,'仕掛品標準単価一覧表（貼付）'!B:G,6,FALSE)</f>
        <v>908</v>
      </c>
      <c r="F139" s="12" t="s">
        <v>246</v>
      </c>
      <c r="G139" s="24">
        <v>1427</v>
      </c>
      <c r="H139" s="13">
        <f ca="1">SUMIF('1.3②原材料使用'!B:E,C139,'1.3②原材料使用'!E:E)</f>
        <v>0</v>
      </c>
      <c r="I139" s="13">
        <f ca="1">SUMIF('2.10原液別作業時間'!A:B,C139,'2.10原液別作業時間'!B:B)</f>
        <v>0</v>
      </c>
      <c r="J139" s="13">
        <f ca="1">SUM(G139:H139,K139)</f>
        <v>1427</v>
      </c>
      <c r="K139" s="13">
        <f ca="1">SUMIF('2.2⑤純増減→前工程費'!B:E,C139,'2.2⑤純増減→前工程費'!E:E)</f>
        <v>0</v>
      </c>
      <c r="L139" s="13">
        <f ca="1">SUMIF('2.6完成品'!C:D,C139,'2.6完成品'!D:D)</f>
        <v>0</v>
      </c>
      <c r="M139" s="13">
        <f ca="1">SUMIF('2.3研究費'!D:E,C139,'2.3研究費'!E:E)</f>
        <v>0</v>
      </c>
      <c r="N139" s="13">
        <f ca="1">SUMIF('2.4販促費'!D:E,C139,'2.4販促費'!E:E)</f>
        <v>0</v>
      </c>
      <c r="O139" s="13">
        <f ca="1">SUMIF('2.5廃棄処分'!D:E,C139,'2.5廃棄処分'!E:E)</f>
        <v>0</v>
      </c>
      <c r="P139" s="13">
        <f ca="1">SUMIF('2.1④異種原液'!D:E,C139,'2.1④異種原液'!E:E)</f>
        <v>0</v>
      </c>
      <c r="Q139" s="14">
        <f ca="1">SUMIF('2.7製造部生産分'!D:I,C139,'2.7製造部生産分'!H:H)</f>
        <v>0</v>
      </c>
      <c r="R139" s="15">
        <f ca="1">-(G139+H139+K139-L139-M139-N139-O139-P139-Q139-S139)</f>
        <v>0</v>
      </c>
      <c r="S139" s="13">
        <f ca="1">SUMIF('2.9原液在庫'!B:H,C139,'2.9原液在庫'!H:H)</f>
        <v>1427</v>
      </c>
      <c r="T139" s="16">
        <f ca="1">IFERROR(SUM(G140:K140)/(G139+H139+K139),0)</f>
        <v>360.1299225923039</v>
      </c>
      <c r="U139" s="17" t="str">
        <f>C139</f>
        <v>19R</v>
      </c>
      <c r="V139" s="18">
        <f ca="1">IF(ISERROR(SUM(G140:K140)/SUM(L139:Q139,S139)),0,SUM(G140:K140)/SUM(L139:Q139,S139))</f>
        <v>360.1299225923039</v>
      </c>
      <c r="W139" s="19">
        <f ca="1">V139</f>
        <v>360.1299225923039</v>
      </c>
      <c r="X139" s="20">
        <f ca="1">W139/1000</f>
        <v>0.36012992259230392</v>
      </c>
      <c r="Y139" s="26" t="s">
        <v>301</v>
      </c>
    </row>
    <row r="140" spans="1:25">
      <c r="A140" s="199"/>
      <c r="B140" s="199"/>
      <c r="C140" s="199"/>
      <c r="D140" s="199"/>
      <c r="E140" s="199"/>
      <c r="F140" s="21" t="s">
        <v>247</v>
      </c>
      <c r="G140" s="22">
        <v>471095.3995392177</v>
      </c>
      <c r="H140" s="184"/>
      <c r="I140" s="23">
        <f ca="1">I139*労務費経費単価SC!D$7</f>
        <v>0</v>
      </c>
      <c r="J140" s="23">
        <f ca="1">J139*労務費経費単価SC!D$11</f>
        <v>42810</v>
      </c>
      <c r="K140" s="22">
        <f ca="1">K139*$E139</f>
        <v>0</v>
      </c>
      <c r="L140" s="22">
        <f ca="1">L139*$E139</f>
        <v>0</v>
      </c>
      <c r="M140" s="22">
        <f t="shared" ref="M140" ca="1" si="463">M139*$E139</f>
        <v>0</v>
      </c>
      <c r="N140" s="22">
        <f t="shared" ref="N140" ca="1" si="464">N139*$E139</f>
        <v>0</v>
      </c>
      <c r="O140" s="22">
        <f t="shared" ref="O140" ca="1" si="465">O139*$E139</f>
        <v>0</v>
      </c>
      <c r="P140" s="22">
        <f t="shared" ref="P140" ca="1" si="466">P139*$E139</f>
        <v>0</v>
      </c>
      <c r="Q140" s="22">
        <f t="shared" ref="Q140" ca="1" si="467">Q139*$E139</f>
        <v>0</v>
      </c>
      <c r="R140" s="22">
        <f t="shared" ref="R140" ca="1" si="468">R139*$E139</f>
        <v>0</v>
      </c>
      <c r="S140" s="22">
        <f t="shared" ref="S140" ca="1" si="469">S139*$E139</f>
        <v>1295716</v>
      </c>
      <c r="U140" s="17"/>
      <c r="V140" s="18"/>
      <c r="W140" s="19"/>
      <c r="X140" s="20"/>
    </row>
    <row r="141" spans="1:25">
      <c r="A141" s="199"/>
      <c r="B141" s="199"/>
      <c r="C141" s="211" t="s">
        <v>302</v>
      </c>
      <c r="D141" s="199" t="str">
        <f>VLOOKUP(C141,'仕掛品名寄（貼付）'!B:C,2,FALSE)</f>
        <v>その他</v>
      </c>
      <c r="E141" s="199">
        <f>VLOOKUP(D141,'仕掛品標準単価一覧表（貼付）'!B:G,6,FALSE)</f>
        <v>1080</v>
      </c>
      <c r="F141" s="12" t="s">
        <v>246</v>
      </c>
      <c r="G141" s="13">
        <v>0</v>
      </c>
      <c r="H141" s="13">
        <f ca="1">SUMIF('1.3②原材料使用'!B:E,C141,'1.3②原材料使用'!E:E)</f>
        <v>0</v>
      </c>
      <c r="I141" s="13">
        <f ca="1">SUMIF('2.10原液別作業時間'!A:B,C141,'2.10原液別作業時間'!B:B)</f>
        <v>0</v>
      </c>
      <c r="J141" s="13">
        <f ca="1">SUM(G141:H141,K141)</f>
        <v>0</v>
      </c>
      <c r="K141" s="13">
        <f ca="1">SUMIF('2.2⑤純増減→前工程費'!B:E,C141,'2.2⑤純増減→前工程費'!E:E)</f>
        <v>0</v>
      </c>
      <c r="L141" s="13">
        <f ca="1">SUMIF('2.6完成品'!C:D,C141,'2.6完成品'!D:D)</f>
        <v>0</v>
      </c>
      <c r="M141" s="13">
        <f ca="1">SUMIF('2.3研究費'!D:E,C141,'2.3研究費'!E:E)</f>
        <v>0</v>
      </c>
      <c r="N141" s="13">
        <f ca="1">SUMIF('2.4販促費'!D:E,C141,'2.4販促費'!E:E)</f>
        <v>0</v>
      </c>
      <c r="O141" s="13">
        <f ca="1">SUMIF('2.5廃棄処分'!D:E,C141,'2.5廃棄処分'!E:E)</f>
        <v>0</v>
      </c>
      <c r="P141" s="13">
        <f ca="1">SUMIF('2.1④異種原液'!D:E,C141,'2.1④異種原液'!E:E)</f>
        <v>0</v>
      </c>
      <c r="Q141" s="14">
        <f ca="1">SUMIF('2.7製造部生産分'!D:I,C141,'2.7製造部生産分'!H:H)</f>
        <v>0</v>
      </c>
      <c r="R141" s="15">
        <f ca="1">-(G141+H141+K141-L141-M141-N141-O141-P141-Q141-S141)</f>
        <v>0</v>
      </c>
      <c r="S141" s="13">
        <f ca="1">SUMIF('2.9原液在庫'!B:H,C141,'2.9原液在庫'!H:H)</f>
        <v>0</v>
      </c>
      <c r="T141" s="16">
        <f ca="1">IFERROR(SUM(G142:K142)/(G141+H141+K141),0)</f>
        <v>0</v>
      </c>
      <c r="U141" s="17" t="str">
        <f>C141</f>
        <v>19RA</v>
      </c>
      <c r="V141" s="18">
        <f ca="1">IF(ISERROR(SUM(G142:K142)/SUM(L141:Q141,S141)),0,SUM(G142:K142)/SUM(L141:Q141,S141))</f>
        <v>0</v>
      </c>
      <c r="W141" s="19">
        <f ca="1">V141</f>
        <v>0</v>
      </c>
      <c r="X141" s="20">
        <f ca="1">W141/1000</f>
        <v>0</v>
      </c>
    </row>
    <row r="142" spans="1:25">
      <c r="A142" s="199"/>
      <c r="B142" s="199"/>
      <c r="C142" s="201"/>
      <c r="D142" s="199"/>
      <c r="E142" s="199"/>
      <c r="F142" s="21" t="s">
        <v>247</v>
      </c>
      <c r="G142" s="22" t="s">
        <v>254</v>
      </c>
      <c r="H142" s="184"/>
      <c r="I142" s="23">
        <f ca="1">I141*労務費経費単価SC!D$7</f>
        <v>0</v>
      </c>
      <c r="J142" s="23">
        <f ca="1">J141*労務費経費単価SC!D$11</f>
        <v>0</v>
      </c>
      <c r="K142" s="22">
        <f ca="1">K141*$E141</f>
        <v>0</v>
      </c>
      <c r="L142" s="22">
        <f ca="1">L141*$E141</f>
        <v>0</v>
      </c>
      <c r="M142" s="22">
        <f t="shared" ref="M142" ca="1" si="470">M141*$E141</f>
        <v>0</v>
      </c>
      <c r="N142" s="22">
        <f t="shared" ref="N142" ca="1" si="471">N141*$E141</f>
        <v>0</v>
      </c>
      <c r="O142" s="22">
        <f t="shared" ref="O142" ca="1" si="472">O141*$E141</f>
        <v>0</v>
      </c>
      <c r="P142" s="22">
        <f t="shared" ref="P142" ca="1" si="473">P141*$E141</f>
        <v>0</v>
      </c>
      <c r="Q142" s="22">
        <f t="shared" ref="Q142" ca="1" si="474">Q141*$E141</f>
        <v>0</v>
      </c>
      <c r="R142" s="22">
        <f t="shared" ref="R142" ca="1" si="475">R141*$E141</f>
        <v>0</v>
      </c>
      <c r="S142" s="22">
        <f t="shared" ref="S142" ca="1" si="476">S141*$E141</f>
        <v>0</v>
      </c>
      <c r="U142" s="17"/>
      <c r="V142" s="18"/>
      <c r="W142" s="19"/>
      <c r="X142" s="20"/>
    </row>
    <row r="143" spans="1:25">
      <c r="A143" s="199"/>
      <c r="B143" s="199"/>
      <c r="C143" s="199" t="s">
        <v>47</v>
      </c>
      <c r="D143" s="199" t="str">
        <f>VLOOKUP(C143,'仕掛品名寄（貼付）'!B:C,2,FALSE)</f>
        <v>その他</v>
      </c>
      <c r="E143" s="199">
        <f>VLOOKUP(D143,'仕掛品標準単価一覧表（貼付）'!B:G,6,FALSE)</f>
        <v>1080</v>
      </c>
      <c r="F143" s="12" t="s">
        <v>246</v>
      </c>
      <c r="G143" s="13">
        <v>0</v>
      </c>
      <c r="H143" s="13">
        <f ca="1">SUMIF('1.3②原材料使用'!B:E,C143,'1.3②原材料使用'!E:E)</f>
        <v>0</v>
      </c>
      <c r="I143" s="13">
        <f ca="1">SUMIF('2.10原液別作業時間'!A:B,C143,'2.10原液別作業時間'!B:B)</f>
        <v>0</v>
      </c>
      <c r="J143" s="13">
        <f ca="1">SUM(G143:H143,K143)</f>
        <v>0</v>
      </c>
      <c r="K143" s="13">
        <f ca="1">SUMIF('2.2⑤純増減→前工程費'!B:E,C143,'2.2⑤純増減→前工程費'!E:E)</f>
        <v>0</v>
      </c>
      <c r="L143" s="13">
        <f ca="1">SUMIF('2.6完成品'!C:D,C143,'2.6完成品'!D:D)</f>
        <v>0</v>
      </c>
      <c r="M143" s="13">
        <f ca="1">SUMIF('2.3研究費'!D:E,C143,'2.3研究費'!E:E)</f>
        <v>0</v>
      </c>
      <c r="N143" s="13">
        <f ca="1">SUMIF('2.4販促費'!D:E,C143,'2.4販促費'!E:E)</f>
        <v>0</v>
      </c>
      <c r="O143" s="13">
        <f ca="1">SUMIF('2.5廃棄処分'!D:E,C143,'2.5廃棄処分'!E:E)</f>
        <v>0</v>
      </c>
      <c r="P143" s="13">
        <f ca="1">SUMIF('2.1④異種原液'!D:E,C143,'2.1④異種原液'!E:E)</f>
        <v>0</v>
      </c>
      <c r="Q143" s="14">
        <f ca="1">SUMIF('2.7製造部生産分'!D:I,C143,'2.7製造部生産分'!H:H)</f>
        <v>0</v>
      </c>
      <c r="R143" s="15">
        <f ca="1">-(G143+H143+K143-L143-M143-N143-O143-P143-Q143-S143)</f>
        <v>0</v>
      </c>
      <c r="S143" s="13">
        <f ca="1">SUMIF('2.9原液在庫'!B:H,C143,'2.9原液在庫'!H:H)</f>
        <v>0</v>
      </c>
      <c r="T143" s="16">
        <f ca="1">IFERROR(SUM(G144:K144)/(G143+H143+K143),0)</f>
        <v>0</v>
      </c>
      <c r="U143" s="17" t="str">
        <f>C143</f>
        <v>19Rﾊﾟ</v>
      </c>
      <c r="V143" s="18">
        <f ca="1">IF(ISERROR(SUM(G144:K144)/SUM(L143:Q143,S143)),0,SUM(G144:K144)/SUM(L143:Q143,S143))</f>
        <v>0</v>
      </c>
      <c r="W143" s="19">
        <f ca="1">V143</f>
        <v>0</v>
      </c>
      <c r="X143" s="20">
        <f ca="1">W143/1000</f>
        <v>0</v>
      </c>
    </row>
    <row r="144" spans="1:25">
      <c r="A144" s="199"/>
      <c r="B144" s="199"/>
      <c r="C144" s="199"/>
      <c r="D144" s="199"/>
      <c r="E144" s="199"/>
      <c r="F144" s="21" t="s">
        <v>247</v>
      </c>
      <c r="G144" s="22" t="s">
        <v>254</v>
      </c>
      <c r="H144" s="184"/>
      <c r="I144" s="23">
        <f ca="1">I143*労務費経費単価SC!D$7</f>
        <v>0</v>
      </c>
      <c r="J144" s="23">
        <f ca="1">J143*労務費経費単価SC!D$11</f>
        <v>0</v>
      </c>
      <c r="K144" s="22">
        <f ca="1">K143*$E143</f>
        <v>0</v>
      </c>
      <c r="L144" s="22">
        <f ca="1">L143*$E143</f>
        <v>0</v>
      </c>
      <c r="M144" s="22">
        <f t="shared" ref="M144" ca="1" si="477">M143*$E143</f>
        <v>0</v>
      </c>
      <c r="N144" s="22">
        <f t="shared" ref="N144" ca="1" si="478">N143*$E143</f>
        <v>0</v>
      </c>
      <c r="O144" s="22">
        <f t="shared" ref="O144" ca="1" si="479">O143*$E143</f>
        <v>0</v>
      </c>
      <c r="P144" s="22">
        <f t="shared" ref="P144" ca="1" si="480">P143*$E143</f>
        <v>0</v>
      </c>
      <c r="Q144" s="22">
        <f t="shared" ref="Q144" ca="1" si="481">Q143*$E143</f>
        <v>0</v>
      </c>
      <c r="R144" s="22">
        <f t="shared" ref="R144" ca="1" si="482">R143*$E143</f>
        <v>0</v>
      </c>
      <c r="S144" s="22">
        <f t="shared" ref="S144" ca="1" si="483">S143*$E143</f>
        <v>0</v>
      </c>
      <c r="U144" s="17"/>
      <c r="V144" s="18"/>
      <c r="W144" s="19"/>
      <c r="X144" s="20"/>
    </row>
    <row r="145" spans="1:24">
      <c r="A145" s="199"/>
      <c r="B145" s="199"/>
      <c r="C145" s="199" t="s">
        <v>50</v>
      </c>
      <c r="D145" s="199" t="str">
        <f>VLOOKUP(C145,'仕掛品名寄（貼付）'!B:C,2,FALSE)</f>
        <v>その他</v>
      </c>
      <c r="E145" s="199">
        <f>VLOOKUP(D145,'仕掛品標準単価一覧表（貼付）'!B:G,6,FALSE)</f>
        <v>1080</v>
      </c>
      <c r="F145" s="12" t="s">
        <v>246</v>
      </c>
      <c r="G145" s="13">
        <v>0</v>
      </c>
      <c r="H145" s="13">
        <f ca="1">SUMIF('1.3②原材料使用'!B:E,C145,'1.3②原材料使用'!E:E)</f>
        <v>0</v>
      </c>
      <c r="I145" s="13">
        <f ca="1">SUMIF('2.10原液別作業時間'!A:B,C145,'2.10原液別作業時間'!B:B)</f>
        <v>0</v>
      </c>
      <c r="J145" s="13">
        <f ca="1">SUM(G145:H145,K145)</f>
        <v>0</v>
      </c>
      <c r="K145" s="13">
        <f ca="1">SUMIF('2.2⑤純増減→前工程費'!B:E,C145,'2.2⑤純増減→前工程費'!E:E)</f>
        <v>0</v>
      </c>
      <c r="L145" s="13">
        <f ca="1">SUMIF('2.6完成品'!C:D,C145,'2.6完成品'!D:D)</f>
        <v>0</v>
      </c>
      <c r="M145" s="13">
        <f ca="1">SUMIF('2.3研究費'!D:E,C145,'2.3研究費'!E:E)</f>
        <v>0</v>
      </c>
      <c r="N145" s="13">
        <f ca="1">SUMIF('2.4販促費'!D:E,C145,'2.4販促費'!E:E)</f>
        <v>0</v>
      </c>
      <c r="O145" s="13">
        <f ca="1">SUMIF('2.5廃棄処分'!D:E,C145,'2.5廃棄処分'!E:E)</f>
        <v>0</v>
      </c>
      <c r="P145" s="13">
        <f ca="1">SUMIF('2.1④異種原液'!D:E,C145,'2.1④異種原液'!E:E)</f>
        <v>0</v>
      </c>
      <c r="Q145" s="14">
        <f ca="1">SUMIF('2.7製造部生産分'!D:I,C145,'2.7製造部生産分'!H:H)</f>
        <v>0</v>
      </c>
      <c r="R145" s="15">
        <f ca="1">-(G145+H145+K145-L145-M145-N145-O145-P145-Q145-S145)</f>
        <v>0</v>
      </c>
      <c r="S145" s="13">
        <f ca="1">SUMIF('2.9原液在庫'!B:H,C145,'2.9原液在庫'!H:H)</f>
        <v>0</v>
      </c>
      <c r="T145" s="16">
        <f ca="1">IFERROR(SUM(G146:K146)/(G145+H145+K145),0)</f>
        <v>0</v>
      </c>
      <c r="U145" s="17" t="str">
        <f>C145</f>
        <v>19Rｶﾘﾝ</v>
      </c>
      <c r="V145" s="18">
        <f ca="1">IF(ISERROR(SUM(G146:K146)/SUM(L145:Q145,S145)),0,SUM(G146:K146)/SUM(L145:Q145,S145))</f>
        <v>0</v>
      </c>
      <c r="W145" s="19">
        <f ca="1">V145</f>
        <v>0</v>
      </c>
      <c r="X145" s="20">
        <f ca="1">W145/1000</f>
        <v>0</v>
      </c>
    </row>
    <row r="146" spans="1:24">
      <c r="A146" s="199"/>
      <c r="B146" s="199"/>
      <c r="C146" s="199"/>
      <c r="D146" s="199"/>
      <c r="E146" s="199"/>
      <c r="F146" s="21" t="s">
        <v>247</v>
      </c>
      <c r="G146" s="22" t="s">
        <v>254</v>
      </c>
      <c r="H146" s="184"/>
      <c r="I146" s="23">
        <f ca="1">I145*労務費経費単価SC!D$7</f>
        <v>0</v>
      </c>
      <c r="J146" s="23">
        <f ca="1">J145*労務費経費単価SC!D$11</f>
        <v>0</v>
      </c>
      <c r="K146" s="22">
        <f ca="1">K145*$E145</f>
        <v>0</v>
      </c>
      <c r="L146" s="22">
        <f ca="1">L145*$E145</f>
        <v>0</v>
      </c>
      <c r="M146" s="22">
        <f t="shared" ref="M146" ca="1" si="484">M145*$E145</f>
        <v>0</v>
      </c>
      <c r="N146" s="22">
        <f t="shared" ref="N146" ca="1" si="485">N145*$E145</f>
        <v>0</v>
      </c>
      <c r="O146" s="22">
        <f t="shared" ref="O146" ca="1" si="486">O145*$E145</f>
        <v>0</v>
      </c>
      <c r="P146" s="22">
        <f t="shared" ref="P146" ca="1" si="487">P145*$E145</f>
        <v>0</v>
      </c>
      <c r="Q146" s="22">
        <f t="shared" ref="Q146" ca="1" si="488">Q145*$E145</f>
        <v>0</v>
      </c>
      <c r="R146" s="22">
        <f t="shared" ref="R146" ca="1" si="489">R145*$E145</f>
        <v>0</v>
      </c>
      <c r="S146" s="22">
        <f t="shared" ref="S146" ca="1" si="490">S145*$E145</f>
        <v>0</v>
      </c>
      <c r="U146" s="17"/>
      <c r="V146" s="18"/>
      <c r="W146" s="19"/>
      <c r="X146" s="20"/>
    </row>
    <row r="147" spans="1:24">
      <c r="A147" s="199"/>
      <c r="B147" s="199"/>
      <c r="C147" s="199" t="s">
        <v>51</v>
      </c>
      <c r="D147" s="199" t="str">
        <f>VLOOKUP(C147,'仕掛品名寄（貼付）'!B:C,2,FALSE)</f>
        <v>その他</v>
      </c>
      <c r="E147" s="199">
        <f>VLOOKUP(D147,'仕掛品標準単価一覧表（貼付）'!B:G,6,FALSE)</f>
        <v>1080</v>
      </c>
      <c r="F147" s="12" t="s">
        <v>246</v>
      </c>
      <c r="G147" s="13">
        <v>0</v>
      </c>
      <c r="H147" s="13">
        <f ca="1">SUMIF('1.3②原材料使用'!B:E,C147,'1.3②原材料使用'!E:E)</f>
        <v>0</v>
      </c>
      <c r="I147" s="13">
        <f ca="1">SUMIF('2.10原液別作業時間'!A:B,C147,'2.10原液別作業時間'!B:B)</f>
        <v>0</v>
      </c>
      <c r="J147" s="13">
        <f ca="1">SUM(G147:H147,K147)</f>
        <v>0</v>
      </c>
      <c r="K147" s="13">
        <f ca="1">SUMIF('2.2⑤純増減→前工程費'!B:E,C147,'2.2⑤純増減→前工程費'!E:E)</f>
        <v>0</v>
      </c>
      <c r="L147" s="13">
        <f ca="1">SUMIF('2.6完成品'!C:D,C147,'2.6完成品'!D:D)</f>
        <v>0</v>
      </c>
      <c r="M147" s="13">
        <f ca="1">SUMIF('2.3研究費'!D:E,C147,'2.3研究費'!E:E)</f>
        <v>0</v>
      </c>
      <c r="N147" s="13">
        <f ca="1">SUMIF('2.4販促費'!D:E,C147,'2.4販促費'!E:E)</f>
        <v>0</v>
      </c>
      <c r="O147" s="13">
        <f ca="1">SUMIF('2.5廃棄処分'!D:E,C147,'2.5廃棄処分'!E:E)</f>
        <v>0</v>
      </c>
      <c r="P147" s="13">
        <f ca="1">SUMIF('2.1④異種原液'!D:E,C147,'2.1④異種原液'!E:E)</f>
        <v>0</v>
      </c>
      <c r="Q147" s="14">
        <f ca="1">SUMIF('2.7製造部生産分'!D:I,C147,'2.7製造部生産分'!H:H)</f>
        <v>0</v>
      </c>
      <c r="R147" s="15">
        <f ca="1">-(G147+H147+K147-L147-M147-N147-O147-P147-Q147-S147)</f>
        <v>0</v>
      </c>
      <c r="S147" s="13">
        <f ca="1">SUMIF('2.9原液在庫'!B:H,C147,'2.9原液在庫'!H:H)</f>
        <v>0</v>
      </c>
      <c r="T147" s="16">
        <f ca="1">IFERROR(SUM(G148:K148)/(G147+H147+K147),0)</f>
        <v>0</v>
      </c>
      <c r="U147" s="17" t="str">
        <f>C147</f>
        <v>19RAｶﾘﾝ</v>
      </c>
      <c r="V147" s="18">
        <f ca="1">IF(ISERROR(SUM(G148:K148)/SUM(L147:Q147,S147)),0,SUM(G148:K148)/SUM(L147:Q147,S147))</f>
        <v>0</v>
      </c>
      <c r="W147" s="19">
        <f ca="1">V147</f>
        <v>0</v>
      </c>
      <c r="X147" s="20">
        <f ca="1">W147/1000</f>
        <v>0</v>
      </c>
    </row>
    <row r="148" spans="1:24">
      <c r="A148" s="199"/>
      <c r="B148" s="199"/>
      <c r="C148" s="199"/>
      <c r="D148" s="199"/>
      <c r="E148" s="199"/>
      <c r="F148" s="21" t="s">
        <v>247</v>
      </c>
      <c r="G148" s="22" t="s">
        <v>254</v>
      </c>
      <c r="H148" s="184"/>
      <c r="I148" s="23">
        <f ca="1">I147*労務費経費単価SC!D$7</f>
        <v>0</v>
      </c>
      <c r="J148" s="23">
        <f ca="1">J147*労務費経費単価SC!D$11</f>
        <v>0</v>
      </c>
      <c r="K148" s="22">
        <f ca="1">K147*$E147</f>
        <v>0</v>
      </c>
      <c r="L148" s="22">
        <f ca="1">L147*$E147</f>
        <v>0</v>
      </c>
      <c r="M148" s="22">
        <f t="shared" ref="M148" ca="1" si="491">M147*$E147</f>
        <v>0</v>
      </c>
      <c r="N148" s="22">
        <f t="shared" ref="N148" ca="1" si="492">N147*$E147</f>
        <v>0</v>
      </c>
      <c r="O148" s="22">
        <f t="shared" ref="O148" ca="1" si="493">O147*$E147</f>
        <v>0</v>
      </c>
      <c r="P148" s="22">
        <f t="shared" ref="P148" ca="1" si="494">P147*$E147</f>
        <v>0</v>
      </c>
      <c r="Q148" s="22">
        <f t="shared" ref="Q148" ca="1" si="495">Q147*$E147</f>
        <v>0</v>
      </c>
      <c r="R148" s="22">
        <f t="shared" ref="R148" ca="1" si="496">R147*$E147</f>
        <v>0</v>
      </c>
      <c r="S148" s="22">
        <f t="shared" ref="S148" ca="1" si="497">S147*$E147</f>
        <v>0</v>
      </c>
      <c r="U148" s="17"/>
      <c r="V148" s="18"/>
      <c r="W148" s="19"/>
      <c r="X148" s="20"/>
    </row>
    <row r="149" spans="1:24">
      <c r="A149" s="199"/>
      <c r="B149" s="199"/>
      <c r="C149" s="206" t="s">
        <v>303</v>
      </c>
      <c r="D149" s="199" t="str">
        <f>VLOOKUP(C149,'仕掛品名寄（貼付）'!B:C,2,FALSE)</f>
        <v>その他</v>
      </c>
      <c r="E149" s="199">
        <f>VLOOKUP(D149,'仕掛品標準単価一覧表（貼付）'!B:G,6,FALSE)</f>
        <v>1080</v>
      </c>
      <c r="F149" s="12" t="s">
        <v>246</v>
      </c>
      <c r="G149" s="24">
        <v>0</v>
      </c>
      <c r="H149" s="13">
        <f ca="1">SUMIF('1.3②原材料使用'!B:E,C149,'1.3②原材料使用'!E:E)</f>
        <v>0</v>
      </c>
      <c r="I149" s="13">
        <f ca="1">SUMIF('2.10原液別作業時間'!A:B,C149,'2.10原液別作業時間'!B:B)</f>
        <v>0</v>
      </c>
      <c r="J149" s="13">
        <f ca="1">SUM(G149:H149,K149)</f>
        <v>0</v>
      </c>
      <c r="K149" s="13">
        <f ca="1">SUMIF('2.2⑤純増減→前工程費'!B:E,C149,'2.2⑤純増減→前工程費'!E:E)</f>
        <v>0</v>
      </c>
      <c r="L149" s="13">
        <f ca="1">SUMIF('2.6完成品'!C:D,C149,'2.6完成品'!D:D)</f>
        <v>0</v>
      </c>
      <c r="M149" s="13">
        <f ca="1">SUMIF('2.3研究費'!D:E,C149,'2.3研究費'!E:E)</f>
        <v>0</v>
      </c>
      <c r="N149" s="13">
        <f ca="1">SUMIF('2.4販促費'!D:E,C149,'2.4販促費'!E:E)</f>
        <v>0</v>
      </c>
      <c r="O149" s="13">
        <f ca="1">SUMIF('2.5廃棄処分'!D:E,C149,'2.5廃棄処分'!E:E)</f>
        <v>0</v>
      </c>
      <c r="P149" s="13">
        <f ca="1">SUMIF('2.1④異種原液'!D:E,C149,'2.1④異種原液'!E:E)</f>
        <v>0</v>
      </c>
      <c r="Q149" s="14">
        <f ca="1">SUMIF('2.7製造部生産分'!D:I,C149,'2.7製造部生産分'!H:H)</f>
        <v>0</v>
      </c>
      <c r="R149" s="15">
        <f ca="1">-(G149+H149+K149-L149-M149-N149-O149-P149-Q149-S149)</f>
        <v>0</v>
      </c>
      <c r="S149" s="13">
        <f ca="1">SUMIF('2.9原液在庫'!B:H,C149,'2.9原液在庫'!H:H)</f>
        <v>0</v>
      </c>
      <c r="T149" s="16">
        <f ca="1">IFERROR(SUM(G150:K150)/(G149+H149+K149),0)</f>
        <v>0</v>
      </c>
      <c r="U149" s="17" t="str">
        <f>C149</f>
        <v>19RBｶﾘﾝ</v>
      </c>
      <c r="V149" s="18">
        <f ca="1">IF(ISERROR(SUM(G150:K150)/SUM(L149:Q149,S149)),0,SUM(G150:K150)/SUM(L149:Q149,S149))</f>
        <v>0</v>
      </c>
      <c r="W149" s="19">
        <f ca="1">V149</f>
        <v>0</v>
      </c>
      <c r="X149" s="20">
        <f ca="1">W149/1000</f>
        <v>0</v>
      </c>
    </row>
    <row r="150" spans="1:24">
      <c r="A150" s="199"/>
      <c r="B150" s="199"/>
      <c r="C150" s="199"/>
      <c r="D150" s="199"/>
      <c r="E150" s="199"/>
      <c r="F150" s="21" t="s">
        <v>247</v>
      </c>
      <c r="G150" s="22" t="s">
        <v>254</v>
      </c>
      <c r="H150" s="184"/>
      <c r="I150" s="23">
        <f ca="1">I149*労務費経費単価SC!D$7</f>
        <v>0</v>
      </c>
      <c r="J150" s="23">
        <f ca="1">J149*労務費経費単価SC!D$11</f>
        <v>0</v>
      </c>
      <c r="K150" s="22">
        <f ca="1">K149*$E149</f>
        <v>0</v>
      </c>
      <c r="L150" s="22">
        <f ca="1">L149*$E149</f>
        <v>0</v>
      </c>
      <c r="M150" s="22">
        <f t="shared" ref="M150" ca="1" si="498">M149*$E149</f>
        <v>0</v>
      </c>
      <c r="N150" s="22">
        <f t="shared" ref="N150" ca="1" si="499">N149*$E149</f>
        <v>0</v>
      </c>
      <c r="O150" s="22">
        <f t="shared" ref="O150" ca="1" si="500">O149*$E149</f>
        <v>0</v>
      </c>
      <c r="P150" s="22">
        <f t="shared" ref="P150" ca="1" si="501">P149*$E149</f>
        <v>0</v>
      </c>
      <c r="Q150" s="22">
        <f t="shared" ref="Q150" ca="1" si="502">Q149*$E149</f>
        <v>0</v>
      </c>
      <c r="R150" s="22">
        <f t="shared" ref="R150" ca="1" si="503">R149*$E149</f>
        <v>0</v>
      </c>
      <c r="S150" s="22">
        <f t="shared" ref="S150" ca="1" si="504">S149*$E149</f>
        <v>0</v>
      </c>
      <c r="U150" s="17"/>
      <c r="V150" s="18"/>
      <c r="W150" s="19"/>
      <c r="X150" s="20"/>
    </row>
    <row r="151" spans="1:24">
      <c r="A151" s="199"/>
      <c r="B151" s="199"/>
      <c r="C151" s="200" t="s">
        <v>48</v>
      </c>
      <c r="D151" s="199" t="str">
        <f>VLOOKUP(C151,'仕掛品名寄（貼付）'!B:C,2,FALSE)</f>
        <v>その他</v>
      </c>
      <c r="E151" s="199">
        <f>VLOOKUP(D151,'仕掛品標準単価一覧表（貼付）'!B:G,6,FALSE)</f>
        <v>1080</v>
      </c>
      <c r="F151" s="12" t="s">
        <v>246</v>
      </c>
      <c r="G151" s="13">
        <v>0</v>
      </c>
      <c r="H151" s="13">
        <f ca="1">SUMIF('1.3②原材料使用'!B:E,C151,'1.3②原材料使用'!E:E)</f>
        <v>0</v>
      </c>
      <c r="I151" s="13">
        <f ca="1">SUMIF('2.10原液別作業時間'!A:B,C151,'2.10原液別作業時間'!B:B)</f>
        <v>0</v>
      </c>
      <c r="J151" s="13">
        <f ca="1">SUM(G151:H151,K151)</f>
        <v>0</v>
      </c>
      <c r="K151" s="13">
        <f ca="1">SUMIF('2.2⑤純増減→前工程費'!B:E,C151,'2.2⑤純増減→前工程費'!E:E)</f>
        <v>0</v>
      </c>
      <c r="L151" s="13">
        <f ca="1">SUMIF('2.6完成品'!C:D,C151,'2.6完成品'!D:D)</f>
        <v>0</v>
      </c>
      <c r="M151" s="13">
        <f ca="1">SUMIF('2.3研究費'!D:E,C151,'2.3研究費'!E:E)</f>
        <v>0</v>
      </c>
      <c r="N151" s="13">
        <f ca="1">SUMIF('2.4販促費'!D:E,C151,'2.4販促費'!E:E)</f>
        <v>0</v>
      </c>
      <c r="O151" s="13">
        <f ca="1">SUMIF('2.5廃棄処分'!D:E,C151,'2.5廃棄処分'!E:E)</f>
        <v>0</v>
      </c>
      <c r="P151" s="13">
        <f ca="1">SUMIF('2.1④異種原液'!D:E,C151,'2.1④異種原液'!E:E)</f>
        <v>0</v>
      </c>
      <c r="Q151" s="14">
        <f ca="1">SUMIF('2.7製造部生産分'!D:I,C151,'2.7製造部生産分'!H:H)</f>
        <v>0</v>
      </c>
      <c r="R151" s="15">
        <f ca="1">-(G151+H151+K151-L151-M151-N151-O151-P151-Q151-S151)</f>
        <v>0</v>
      </c>
      <c r="S151" s="13">
        <f ca="1">SUMIF('2.9原液在庫'!B:H,C151,'2.9原液在庫'!H:H)</f>
        <v>0</v>
      </c>
      <c r="T151" s="16">
        <f ca="1">IFERROR(SUM(G152:K152)/(G151+H151+K151),0)</f>
        <v>0</v>
      </c>
      <c r="U151" s="17" t="str">
        <f>C151</f>
        <v>19R海</v>
      </c>
      <c r="V151" s="18">
        <f ca="1">IF(ISERROR(SUM(G152:K152)/SUM(L151:Q151,S151)),0,SUM(G152:K152)/SUM(L151:Q151,S151))</f>
        <v>0</v>
      </c>
      <c r="W151" s="19">
        <f ca="1">V151</f>
        <v>0</v>
      </c>
      <c r="X151" s="20">
        <f ca="1">W151/1000</f>
        <v>0</v>
      </c>
    </row>
    <row r="152" spans="1:24">
      <c r="A152" s="199"/>
      <c r="B152" s="199"/>
      <c r="C152" s="201"/>
      <c r="D152" s="199"/>
      <c r="E152" s="199"/>
      <c r="F152" s="21" t="s">
        <v>247</v>
      </c>
      <c r="G152" s="22" t="s">
        <v>254</v>
      </c>
      <c r="H152" s="184"/>
      <c r="I152" s="23">
        <f ca="1">I151*労務費経費単価SC!D$7</f>
        <v>0</v>
      </c>
      <c r="J152" s="23">
        <f ca="1">J151*労務費経費単価SC!D$11</f>
        <v>0</v>
      </c>
      <c r="K152" s="22">
        <f ca="1">K151*$E151</f>
        <v>0</v>
      </c>
      <c r="L152" s="22">
        <f ca="1">L151*$E151</f>
        <v>0</v>
      </c>
      <c r="M152" s="22">
        <f t="shared" ref="M152" ca="1" si="505">M151*$E151</f>
        <v>0</v>
      </c>
      <c r="N152" s="22">
        <f t="shared" ref="N152" ca="1" si="506">N151*$E151</f>
        <v>0</v>
      </c>
      <c r="O152" s="22">
        <f t="shared" ref="O152" ca="1" si="507">O151*$E151</f>
        <v>0</v>
      </c>
      <c r="P152" s="22">
        <f t="shared" ref="P152" ca="1" si="508">P151*$E151</f>
        <v>0</v>
      </c>
      <c r="Q152" s="22">
        <f t="shared" ref="Q152" ca="1" si="509">Q151*$E151</f>
        <v>0</v>
      </c>
      <c r="R152" s="22">
        <f t="shared" ref="R152" ca="1" si="510">R151*$E151</f>
        <v>0</v>
      </c>
      <c r="S152" s="22">
        <f t="shared" ref="S152" ca="1" si="511">S151*$E151</f>
        <v>0</v>
      </c>
      <c r="U152" s="17"/>
      <c r="V152" s="18"/>
      <c r="W152" s="19"/>
      <c r="X152" s="20"/>
    </row>
    <row r="153" spans="1:24">
      <c r="A153" s="199"/>
      <c r="B153" s="199"/>
      <c r="C153" s="200" t="s">
        <v>49</v>
      </c>
      <c r="D153" s="199" t="str">
        <f>VLOOKUP(C153,'仕掛品名寄（貼付）'!B:C,2,FALSE)</f>
        <v>その他</v>
      </c>
      <c r="E153" s="199">
        <f>VLOOKUP(D153,'仕掛品標準単価一覧表（貼付）'!B:G,6,FALSE)</f>
        <v>1080</v>
      </c>
      <c r="F153" s="12" t="s">
        <v>246</v>
      </c>
      <c r="G153" s="13">
        <v>0</v>
      </c>
      <c r="H153" s="13">
        <f ca="1">SUMIF('1.3②原材料使用'!B:E,C153,'1.3②原材料使用'!E:E)</f>
        <v>0</v>
      </c>
      <c r="I153" s="13">
        <f ca="1">SUMIF('2.10原液別作業時間'!A:B,C153,'2.10原液別作業時間'!B:B)</f>
        <v>0</v>
      </c>
      <c r="J153" s="13">
        <f ca="1">SUM(G153:H153,K153)</f>
        <v>0</v>
      </c>
      <c r="K153" s="13">
        <f ca="1">SUMIF('2.2⑤純増減→前工程費'!B:E,C153,'2.2⑤純増減→前工程費'!E:E)</f>
        <v>0</v>
      </c>
      <c r="L153" s="13">
        <f ca="1">SUMIF('2.6完成品'!C:D,C153,'2.6完成品'!D:D)</f>
        <v>0</v>
      </c>
      <c r="M153" s="13">
        <f ca="1">SUMIF('2.3研究費'!D:E,C153,'2.3研究費'!E:E)</f>
        <v>0</v>
      </c>
      <c r="N153" s="13">
        <f ca="1">SUMIF('2.4販促費'!D:E,C153,'2.4販促費'!E:E)</f>
        <v>0</v>
      </c>
      <c r="O153" s="13">
        <f ca="1">SUMIF('2.5廃棄処分'!D:E,C153,'2.5廃棄処分'!E:E)</f>
        <v>0</v>
      </c>
      <c r="P153" s="13">
        <f ca="1">SUMIF('2.1④異種原液'!D:E,C153,'2.1④異種原液'!E:E)</f>
        <v>0</v>
      </c>
      <c r="Q153" s="14">
        <f ca="1">SUMIF('2.7製造部生産分'!D:I,C153,'2.7製造部生産分'!H:H)</f>
        <v>0</v>
      </c>
      <c r="R153" s="15">
        <f ca="1">-(G153+H153+K153-L153-M153-N153-O153-P153-Q153-S153)</f>
        <v>0</v>
      </c>
      <c r="S153" s="13">
        <f ca="1">SUMIF('2.9原液在庫'!B:H,C153,'2.9原液在庫'!H:H)</f>
        <v>0</v>
      </c>
      <c r="T153" s="16">
        <f ca="1">IFERROR(SUM(G154:K154)/(G153+H153+K153),0)</f>
        <v>0</v>
      </c>
      <c r="U153" s="17" t="str">
        <f>C153</f>
        <v>19RB海</v>
      </c>
      <c r="V153" s="18">
        <f ca="1">IF(ISERROR(SUM(G154:K154)/SUM(L153:Q153,S153)),0,SUM(G154:K154)/SUM(L153:Q153,S153))</f>
        <v>0</v>
      </c>
      <c r="W153" s="19">
        <f ca="1">V153</f>
        <v>0</v>
      </c>
      <c r="X153" s="20">
        <f ca="1">W153/1000</f>
        <v>0</v>
      </c>
    </row>
    <row r="154" spans="1:24">
      <c r="A154" s="199"/>
      <c r="B154" s="199"/>
      <c r="C154" s="201"/>
      <c r="D154" s="199"/>
      <c r="E154" s="199"/>
      <c r="F154" s="21" t="s">
        <v>247</v>
      </c>
      <c r="G154" s="22" t="s">
        <v>254</v>
      </c>
      <c r="H154" s="184"/>
      <c r="I154" s="23">
        <f ca="1">I153*労務費経費単価SC!D$7</f>
        <v>0</v>
      </c>
      <c r="J154" s="23">
        <f ca="1">J153*労務費経費単価SC!D$11</f>
        <v>0</v>
      </c>
      <c r="K154" s="22">
        <f ca="1">K153*$E153</f>
        <v>0</v>
      </c>
      <c r="L154" s="22">
        <f ca="1">L153*$E153</f>
        <v>0</v>
      </c>
      <c r="M154" s="22">
        <f t="shared" ref="M154" ca="1" si="512">M153*$E153</f>
        <v>0</v>
      </c>
      <c r="N154" s="22">
        <f t="shared" ref="N154" ca="1" si="513">N153*$E153</f>
        <v>0</v>
      </c>
      <c r="O154" s="22">
        <f t="shared" ref="O154" ca="1" si="514">O153*$E153</f>
        <v>0</v>
      </c>
      <c r="P154" s="22">
        <f t="shared" ref="P154" ca="1" si="515">P153*$E153</f>
        <v>0</v>
      </c>
      <c r="Q154" s="22">
        <f t="shared" ref="Q154" ca="1" si="516">Q153*$E153</f>
        <v>0</v>
      </c>
      <c r="R154" s="22">
        <f t="shared" ref="R154" ca="1" si="517">R153*$E153</f>
        <v>0</v>
      </c>
      <c r="S154" s="22">
        <f t="shared" ref="S154" ca="1" si="518">S153*$E153</f>
        <v>0</v>
      </c>
      <c r="U154" s="17"/>
      <c r="V154" s="18"/>
      <c r="W154" s="19"/>
      <c r="X154" s="20"/>
    </row>
    <row r="155" spans="1:24">
      <c r="A155" s="199"/>
      <c r="B155" s="199"/>
      <c r="C155" s="200" t="s">
        <v>52</v>
      </c>
      <c r="D155" s="199" t="str">
        <f>VLOOKUP(C155,'仕掛品名寄（貼付）'!B:C,2,FALSE)</f>
        <v>G</v>
      </c>
      <c r="E155" s="199">
        <f>VLOOKUP(D155,'仕掛品標準単価一覧表（貼付）'!B:G,6,FALSE)</f>
        <v>2344.7183999999997</v>
      </c>
      <c r="F155" s="12" t="s">
        <v>246</v>
      </c>
      <c r="G155" s="13">
        <v>8896</v>
      </c>
      <c r="H155" s="13">
        <f ca="1">SUMIF('1.3②原材料使用'!B:E,C155,'1.3②原材料使用'!E:E)</f>
        <v>0</v>
      </c>
      <c r="I155" s="13">
        <f ca="1">SUMIF('2.10原液別作業時間'!A:B,C155,'2.10原液別作業時間'!B:B)</f>
        <v>900</v>
      </c>
      <c r="J155" s="13">
        <f ca="1">SUM(G155:H155,K155)</f>
        <v>8859</v>
      </c>
      <c r="K155" s="13">
        <f ca="1">SUMIF('2.2⑤純増減→前工程費'!B:E,C155,'2.2⑤純増減→前工程費'!E:E)</f>
        <v>-37</v>
      </c>
      <c r="L155" s="13">
        <f ca="1">SUMIF('2.6完成品'!C:D,C155,'2.6完成品'!D:D)</f>
        <v>0</v>
      </c>
      <c r="M155" s="13">
        <f ca="1">SUMIF('2.3研究費'!D:E,C155,'2.3研究費'!E:E)</f>
        <v>0</v>
      </c>
      <c r="N155" s="13">
        <f ca="1">SUMIF('2.4販促費'!D:E,C155,'2.4販促費'!E:E)</f>
        <v>0</v>
      </c>
      <c r="O155" s="13">
        <f ca="1">SUMIF('2.5廃棄処分'!D:E,C155,'2.5廃棄処分'!E:E)</f>
        <v>0</v>
      </c>
      <c r="P155" s="13">
        <f ca="1">SUMIF('2.1④異種原液'!D:E,C155,'2.1④異種原液'!E:E)</f>
        <v>3320</v>
      </c>
      <c r="Q155" s="14">
        <f ca="1">SUMIF('2.7製造部生産分'!D:I,C155,'2.7製造部生産分'!H:H)</f>
        <v>0</v>
      </c>
      <c r="R155" s="15">
        <f ca="1">-(G155+H155+K155-L155-M155-N155-O155-P155-Q155-S155)</f>
        <v>0</v>
      </c>
      <c r="S155" s="13">
        <f ca="1">SUMIF('2.9原液在庫'!B:H,C155,'2.9原液在庫'!H:H)</f>
        <v>5539</v>
      </c>
      <c r="T155" s="16">
        <f ca="1">IFERROR(SUM(G156:K156)/(G155+H155+K155),0)</f>
        <v>1406.3040277631198</v>
      </c>
      <c r="U155" s="17" t="str">
        <f>C155</f>
        <v>19G</v>
      </c>
      <c r="V155" s="18">
        <f ca="1">IF(ISERROR(SUM(G156:K156)/SUM(L155:Q155,S155)),0,SUM(G156:K156)/SUM(L155:Q155,S155))</f>
        <v>1406.3040277631198</v>
      </c>
      <c r="W155" s="19">
        <f ca="1">V155</f>
        <v>1406.3040277631198</v>
      </c>
      <c r="X155" s="20">
        <f ca="1">W155/1000</f>
        <v>1.4063040277631198</v>
      </c>
    </row>
    <row r="156" spans="1:24">
      <c r="A156" s="199"/>
      <c r="B156" s="199"/>
      <c r="C156" s="201"/>
      <c r="D156" s="199"/>
      <c r="E156" s="199"/>
      <c r="F156" s="21" t="s">
        <v>247</v>
      </c>
      <c r="G156" s="22">
        <v>11865431.96275348</v>
      </c>
      <c r="H156" s="184"/>
      <c r="I156" s="23">
        <f ca="1">I155*労務費経費単価SC!D$7</f>
        <v>414000</v>
      </c>
      <c r="J156" s="23">
        <f ca="1">J155*労務費経費単価SC!D$11</f>
        <v>265770</v>
      </c>
      <c r="K156" s="22">
        <f ca="1">K155*$E155</f>
        <v>-86754.580799999996</v>
      </c>
      <c r="L156" s="22">
        <f ca="1">L155*$E155</f>
        <v>0</v>
      </c>
      <c r="M156" s="22">
        <f t="shared" ref="M156" ca="1" si="519">M155*$E155</f>
        <v>0</v>
      </c>
      <c r="N156" s="22">
        <f t="shared" ref="N156" ca="1" si="520">N155*$E155</f>
        <v>0</v>
      </c>
      <c r="O156" s="22">
        <f t="shared" ref="O156" ca="1" si="521">O155*$E155</f>
        <v>0</v>
      </c>
      <c r="P156" s="22">
        <f t="shared" ref="P156" ca="1" si="522">P155*$E155</f>
        <v>7784465.0879999995</v>
      </c>
      <c r="Q156" s="22">
        <f t="shared" ref="Q156" ca="1" si="523">Q155*$E155</f>
        <v>0</v>
      </c>
      <c r="R156" s="22">
        <f t="shared" ref="R156" ca="1" si="524">R155*$E155</f>
        <v>0</v>
      </c>
      <c r="S156" s="22">
        <f t="shared" ref="S156" ca="1" si="525">S155*$E155</f>
        <v>12987395.217599999</v>
      </c>
      <c r="U156" s="17"/>
      <c r="V156" s="18"/>
      <c r="W156" s="19"/>
      <c r="X156" s="20"/>
    </row>
    <row r="157" spans="1:24">
      <c r="A157" s="199"/>
      <c r="B157" s="199"/>
      <c r="C157" s="200" t="s">
        <v>53</v>
      </c>
      <c r="D157" s="199" t="str">
        <f>VLOOKUP(C157,'仕掛品名寄（貼付）'!B:C,2,FALSE)</f>
        <v>GA</v>
      </c>
      <c r="E157" s="199">
        <f>VLOOKUP(D157,'仕掛品標準単価一覧表（貼付）'!B:G,6,FALSE)</f>
        <v>2374.7183999999997</v>
      </c>
      <c r="F157" s="12" t="s">
        <v>246</v>
      </c>
      <c r="G157" s="13">
        <v>0</v>
      </c>
      <c r="H157" s="13">
        <f ca="1">SUMIF('1.3②原材料使用'!B:E,C157,'1.3②原材料使用'!E:E)</f>
        <v>0</v>
      </c>
      <c r="I157" s="13">
        <f ca="1">SUMIF('2.10原液別作業時間'!A:B,C157,'2.10原液別作業時間'!B:B)</f>
        <v>0</v>
      </c>
      <c r="J157" s="13">
        <f ca="1">SUM(G157:H157,K157)</f>
        <v>3488</v>
      </c>
      <c r="K157" s="13">
        <f ca="1">SUMIF('2.2⑤純増減→前工程費'!B:E,C157,'2.2⑤純増減→前工程費'!E:E)</f>
        <v>3488</v>
      </c>
      <c r="L157" s="13">
        <f ca="1">SUMIF('2.6完成品'!C:D,C157,'2.6完成品'!D:D)</f>
        <v>0</v>
      </c>
      <c r="M157" s="13">
        <f ca="1">SUMIF('2.3研究費'!D:E,C157,'2.3研究費'!E:E)</f>
        <v>0</v>
      </c>
      <c r="N157" s="13">
        <f ca="1">SUMIF('2.4販促費'!D:E,C157,'2.4販促費'!E:E)</f>
        <v>0</v>
      </c>
      <c r="O157" s="13">
        <f ca="1">SUMIF('2.5廃棄処分'!D:E,C157,'2.5廃棄処分'!E:E)</f>
        <v>0</v>
      </c>
      <c r="P157" s="13">
        <f ca="1">SUMIF('2.1④異種原液'!D:E,C157,'2.1④異種原液'!E:E)</f>
        <v>3488</v>
      </c>
      <c r="Q157" s="14">
        <f ca="1">SUMIF('2.7製造部生産分'!D:I,C157,'2.7製造部生産分'!H:H)</f>
        <v>0</v>
      </c>
      <c r="R157" s="15">
        <f ca="1">-(G157+H157+K157-L157-M157-N157-O157-P157-Q157-S157)</f>
        <v>0</v>
      </c>
      <c r="S157" s="13">
        <f ca="1">SUMIF('2.9原液在庫'!B:H,C157,'2.9原液在庫'!H:H)</f>
        <v>0</v>
      </c>
      <c r="T157" s="16">
        <f ca="1">IFERROR(SUM(G158:K158)/(G157+H157+K157),0)</f>
        <v>2404.7183999999997</v>
      </c>
      <c r="U157" s="17" t="str">
        <f>C157</f>
        <v>19GA</v>
      </c>
      <c r="V157" s="18">
        <f ca="1">IF(ISERROR(SUM(G158:K158)/SUM(L157:Q157,S157)),0,SUM(G158:K158)/SUM(L157:Q157,S157))</f>
        <v>2404.7183999999997</v>
      </c>
      <c r="W157" s="19">
        <f ca="1">V157</f>
        <v>2404.7183999999997</v>
      </c>
      <c r="X157" s="20">
        <f ca="1">W157/1000</f>
        <v>2.4047183999999997</v>
      </c>
    </row>
    <row r="158" spans="1:24">
      <c r="A158" s="199"/>
      <c r="B158" s="199"/>
      <c r="C158" s="201"/>
      <c r="D158" s="199"/>
      <c r="E158" s="199"/>
      <c r="F158" s="21" t="s">
        <v>247</v>
      </c>
      <c r="G158" s="22">
        <v>0</v>
      </c>
      <c r="H158" s="184"/>
      <c r="I158" s="23">
        <f ca="1">I157*労務費経費単価SC!D$7</f>
        <v>0</v>
      </c>
      <c r="J158" s="23">
        <f ca="1">J157*労務費経費単価SC!D$11</f>
        <v>104640</v>
      </c>
      <c r="K158" s="22">
        <f ca="1">K157*$E157</f>
        <v>8283017.7791999988</v>
      </c>
      <c r="L158" s="22">
        <f ca="1">L157*$E157</f>
        <v>0</v>
      </c>
      <c r="M158" s="22">
        <f t="shared" ref="M158" ca="1" si="526">M157*$E157</f>
        <v>0</v>
      </c>
      <c r="N158" s="22">
        <f t="shared" ref="N158" ca="1" si="527">N157*$E157</f>
        <v>0</v>
      </c>
      <c r="O158" s="22">
        <f t="shared" ref="O158" ca="1" si="528">O157*$E157</f>
        <v>0</v>
      </c>
      <c r="P158" s="22">
        <f t="shared" ref="P158" ca="1" si="529">P157*$E157</f>
        <v>8283017.7791999988</v>
      </c>
      <c r="Q158" s="22">
        <f t="shared" ref="Q158" ca="1" si="530">Q157*$E157</f>
        <v>0</v>
      </c>
      <c r="R158" s="22">
        <f t="shared" ref="R158" ca="1" si="531">R157*$E157</f>
        <v>0</v>
      </c>
      <c r="S158" s="22">
        <f t="shared" ref="S158" ca="1" si="532">S157*$E157</f>
        <v>0</v>
      </c>
      <c r="U158" s="17"/>
      <c r="V158" s="18"/>
      <c r="W158" s="19"/>
      <c r="X158" s="20"/>
    </row>
    <row r="159" spans="1:24">
      <c r="A159" s="199"/>
      <c r="B159" s="199"/>
      <c r="C159" s="199" t="s">
        <v>304</v>
      </c>
      <c r="D159" s="199" t="str">
        <f>VLOOKUP(C159,'仕掛品名寄（貼付）'!B:C,2,FALSE)</f>
        <v>HI</v>
      </c>
      <c r="E159" s="199">
        <f>VLOOKUP(D159,'仕掛品標準単価一覧表（貼付）'!B:G,6,FALSE)</f>
        <v>1176</v>
      </c>
      <c r="F159" s="12" t="s">
        <v>246</v>
      </c>
      <c r="G159" s="24">
        <v>82447</v>
      </c>
      <c r="H159" s="13">
        <f ca="1">SUMIF('1.3②原材料使用'!B:E,C159,'1.3②原材料使用'!E:E)</f>
        <v>0</v>
      </c>
      <c r="I159" s="13">
        <f ca="1">SUMIF('2.10原液別作業時間'!A:B,C159,'2.10原液別作業時間'!B:B)</f>
        <v>5845</v>
      </c>
      <c r="J159" s="13">
        <f ca="1">SUM(G159:H159,K159)</f>
        <v>82291.5</v>
      </c>
      <c r="K159" s="13">
        <f ca="1">SUMIF('2.2⑤純増減→前工程費'!B:E,C159,'2.2⑤純増減→前工程費'!E:E)</f>
        <v>-155.5</v>
      </c>
      <c r="L159" s="13">
        <f ca="1">SUMIF('2.6完成品'!C:D,C159,'2.6完成品'!D:D)</f>
        <v>0</v>
      </c>
      <c r="M159" s="13">
        <f ca="1">SUMIF('2.3研究費'!D:E,C159,'2.3研究費'!E:E)</f>
        <v>0</v>
      </c>
      <c r="N159" s="13">
        <f ca="1">SUMIF('2.4販促費'!D:E,C159,'2.4販促費'!E:E)</f>
        <v>0</v>
      </c>
      <c r="O159" s="13">
        <f ca="1">SUMIF('2.5廃棄処分'!D:E,C159,'2.5廃棄処分'!E:E)</f>
        <v>0</v>
      </c>
      <c r="P159" s="13">
        <f ca="1">SUMIF('2.1④異種原液'!D:E,C159,'2.1④異種原液'!E:E)</f>
        <v>14961</v>
      </c>
      <c r="Q159" s="14">
        <f ca="1">SUMIF('2.7製造部生産分'!D:I,C159,'2.7製造部生産分'!H:H)</f>
        <v>0</v>
      </c>
      <c r="R159" s="15">
        <f ca="1">-(G159+H159+K159-L159-M159-N159-O159-P159-Q159-S159)</f>
        <v>-0.5</v>
      </c>
      <c r="S159" s="13">
        <f ca="1">SUMIF('2.9原液在庫'!B:H,C159,'2.9原液在庫'!H:H)</f>
        <v>67330</v>
      </c>
      <c r="T159" s="16">
        <f ca="1">IFERROR(SUM(G160:K160)/(G159+H159+K159),0)</f>
        <v>1230.4735970417826</v>
      </c>
      <c r="U159" s="17" t="str">
        <f>C159</f>
        <v>19HI</v>
      </c>
      <c r="V159" s="18">
        <f ca="1">IF(ISERROR(SUM(G160:K160)/SUM(L159:Q159,S159)),0,SUM(G160:K160)/SUM(L159:Q159,S159))</f>
        <v>1230.4810733976237</v>
      </c>
      <c r="W159" s="19">
        <f ca="1">V159</f>
        <v>1230.4810733976237</v>
      </c>
      <c r="X159" s="20">
        <f ca="1">W159/1000</f>
        <v>1.2304810733976237</v>
      </c>
    </row>
    <row r="160" spans="1:24">
      <c r="A160" s="199"/>
      <c r="B160" s="199"/>
      <c r="C160" s="199"/>
      <c r="D160" s="199"/>
      <c r="E160" s="199"/>
      <c r="F160" s="21" t="s">
        <v>247</v>
      </c>
      <c r="G160" s="22">
        <v>96282941.010963857</v>
      </c>
      <c r="H160" s="184"/>
      <c r="I160" s="23">
        <f ca="1">I159*労務費経費単価SC!D$7</f>
        <v>2688700</v>
      </c>
      <c r="J160" s="23">
        <f ca="1">J159*労務費経費単価SC!D$11</f>
        <v>2468745</v>
      </c>
      <c r="K160" s="22">
        <f ca="1">K159*$E159</f>
        <v>-182868</v>
      </c>
      <c r="L160" s="22">
        <f ca="1">L159*$E159</f>
        <v>0</v>
      </c>
      <c r="M160" s="22">
        <f t="shared" ref="M160" ca="1" si="533">M159*$E159</f>
        <v>0</v>
      </c>
      <c r="N160" s="22">
        <f t="shared" ref="N160" ca="1" si="534">N159*$E159</f>
        <v>0</v>
      </c>
      <c r="O160" s="22">
        <f t="shared" ref="O160" ca="1" si="535">O159*$E159</f>
        <v>0</v>
      </c>
      <c r="P160" s="22">
        <f t="shared" ref="P160" ca="1" si="536">P159*$E159</f>
        <v>17594136</v>
      </c>
      <c r="Q160" s="22">
        <f t="shared" ref="Q160" ca="1" si="537">Q159*$E159</f>
        <v>0</v>
      </c>
      <c r="R160" s="22">
        <f t="shared" ref="R160" ca="1" si="538">R159*$E159</f>
        <v>-588</v>
      </c>
      <c r="S160" s="22">
        <f t="shared" ref="S160" ca="1" si="539">S159*$E159</f>
        <v>79180080</v>
      </c>
      <c r="U160" s="17"/>
      <c r="V160" s="18"/>
      <c r="W160" s="19"/>
      <c r="X160" s="20"/>
    </row>
    <row r="161" spans="1:24">
      <c r="A161" s="199"/>
      <c r="B161" s="199"/>
      <c r="C161" s="206" t="s">
        <v>305</v>
      </c>
      <c r="D161" s="199" t="str">
        <f>VLOOKUP(C161,'仕掛品名寄（貼付）'!B:C,2,FALSE)</f>
        <v>HIA</v>
      </c>
      <c r="E161" s="199">
        <f>VLOOKUP(D161,'仕掛品標準単価一覧表（貼付）'!B:G,6,FALSE)</f>
        <v>1254</v>
      </c>
      <c r="F161" s="12" t="s">
        <v>246</v>
      </c>
      <c r="G161" s="24">
        <v>768.5</v>
      </c>
      <c r="H161" s="13">
        <f ca="1">SUMIF('1.3②原材料使用'!B:E,C161,'1.3②原材料使用'!E:E)</f>
        <v>0</v>
      </c>
      <c r="I161" s="13">
        <f ca="1">SUMIF('2.10原液別作業時間'!A:B,C161,'2.10原液別作業時間'!B:B)</f>
        <v>440</v>
      </c>
      <c r="J161" s="13">
        <f ca="1">SUM(G161:H161,K161)</f>
        <v>4179</v>
      </c>
      <c r="K161" s="13">
        <f ca="1">SUMIF('2.2⑤純増減→前工程費'!B:E,C161,'2.2⑤純増減→前工程費'!E:E)</f>
        <v>3410.5</v>
      </c>
      <c r="L161" s="13">
        <f ca="1">SUMIF('2.6完成品'!C:D,C161,'2.6完成品'!D:D)</f>
        <v>0</v>
      </c>
      <c r="M161" s="13">
        <f ca="1">SUMIF('2.3研究費'!D:E,C161,'2.3研究費'!E:E)</f>
        <v>0</v>
      </c>
      <c r="N161" s="13">
        <f ca="1">SUMIF('2.4販促費'!D:E,C161,'2.4販促費'!E:E)</f>
        <v>0</v>
      </c>
      <c r="O161" s="13">
        <f ca="1">SUMIF('2.5廃棄処分'!D:E,C161,'2.5廃棄処分'!E:E)</f>
        <v>0</v>
      </c>
      <c r="P161" s="13">
        <f ca="1">SUMIF('2.1④異種原液'!D:E,C161,'2.1④異種原液'!E:E)</f>
        <v>4179</v>
      </c>
      <c r="Q161" s="14">
        <f ca="1">SUMIF('2.7製造部生産分'!D:I,C161,'2.7製造部生産分'!H:H)</f>
        <v>0</v>
      </c>
      <c r="R161" s="15">
        <f ca="1">-(G161+H161+K161-L161-M161-N161-O161-P161-Q161-S161)</f>
        <v>0</v>
      </c>
      <c r="S161" s="13">
        <f ca="1">SUMIF('2.9原液在庫'!B:H,C161,'2.9原液在庫'!H:H)</f>
        <v>0</v>
      </c>
      <c r="T161" s="16">
        <f ca="1">IFERROR(SUM(G162:K162)/(G161+H161+K161),0)</f>
        <v>1324.7330936144858</v>
      </c>
      <c r="U161" s="17" t="str">
        <f>C161</f>
        <v>19HIA</v>
      </c>
      <c r="V161" s="18">
        <f ca="1">IF(ISERROR(SUM(G162:K162)/SUM(L161:Q161,S161)),0,SUM(G162:K162)/SUM(L161:Q161,S161))</f>
        <v>1324.7330936144858</v>
      </c>
      <c r="W161" s="19">
        <f ca="1">V161</f>
        <v>1324.7330936144858</v>
      </c>
      <c r="X161" s="20">
        <f ca="1">W161/1000</f>
        <v>1.3247330936144859</v>
      </c>
    </row>
    <row r="162" spans="1:24">
      <c r="A162" s="199"/>
      <c r="B162" s="199"/>
      <c r="C162" s="199"/>
      <c r="D162" s="199"/>
      <c r="E162" s="199"/>
      <c r="F162" s="21" t="s">
        <v>247</v>
      </c>
      <c r="G162" s="22">
        <v>931522.59821493656</v>
      </c>
      <c r="H162" s="184"/>
      <c r="I162" s="23">
        <f ca="1">I161*労務費経費単価SC!D$7</f>
        <v>202400</v>
      </c>
      <c r="J162" s="23">
        <f ca="1">J161*労務費経費単価SC!D$11</f>
        <v>125370</v>
      </c>
      <c r="K162" s="22">
        <f ca="1">K161*$E161</f>
        <v>4276767</v>
      </c>
      <c r="L162" s="22">
        <f ca="1">L161*$E161</f>
        <v>0</v>
      </c>
      <c r="M162" s="22">
        <f t="shared" ref="M162" ca="1" si="540">M161*$E161</f>
        <v>0</v>
      </c>
      <c r="N162" s="22">
        <f t="shared" ref="N162" ca="1" si="541">N161*$E161</f>
        <v>0</v>
      </c>
      <c r="O162" s="22">
        <f t="shared" ref="O162" ca="1" si="542">O161*$E161</f>
        <v>0</v>
      </c>
      <c r="P162" s="22">
        <f t="shared" ref="P162" ca="1" si="543">P161*$E161</f>
        <v>5240466</v>
      </c>
      <c r="Q162" s="22">
        <f t="shared" ref="Q162" ca="1" si="544">Q161*$E161</f>
        <v>0</v>
      </c>
      <c r="R162" s="22">
        <f t="shared" ref="R162" ca="1" si="545">R161*$E161</f>
        <v>0</v>
      </c>
      <c r="S162" s="22">
        <f t="shared" ref="S162" ca="1" si="546">S161*$E161</f>
        <v>0</v>
      </c>
      <c r="U162" s="17"/>
      <c r="V162" s="18"/>
      <c r="W162" s="19"/>
      <c r="X162" s="20"/>
    </row>
    <row r="163" spans="1:24">
      <c r="A163" s="199"/>
      <c r="B163" s="199"/>
      <c r="C163" s="206" t="s">
        <v>54</v>
      </c>
      <c r="D163" s="199" t="str">
        <f>VLOOKUP(C163,'仕掛品名寄（貼付）'!B:C,2,FALSE)</f>
        <v>HIB</v>
      </c>
      <c r="E163" s="199">
        <f>VLOOKUP(D163,'仕掛品標準単価一覧表（貼付）'!B:G,6,FALSE)</f>
        <v>1284</v>
      </c>
      <c r="F163" s="12" t="s">
        <v>246</v>
      </c>
      <c r="G163" s="24">
        <v>47.5</v>
      </c>
      <c r="H163" s="13">
        <f ca="1">SUMIF('1.3②原材料使用'!B:E,C163,'1.3②原材料使用'!E:E)</f>
        <v>0</v>
      </c>
      <c r="I163" s="13">
        <f ca="1">SUMIF('2.10原液別作業時間'!A:B,C163,'2.10原液別作業時間'!B:B)</f>
        <v>0</v>
      </c>
      <c r="J163" s="13">
        <f ca="1">SUM(G163:H163,K163)</f>
        <v>4369.5</v>
      </c>
      <c r="K163" s="13">
        <f ca="1">SUMIF('2.2⑤純増減→前工程費'!B:E,C163,'2.2⑤純増減→前工程費'!E:E)</f>
        <v>4322</v>
      </c>
      <c r="L163" s="13">
        <f ca="1">SUMIF('2.6完成品'!C:D,C163,'2.6完成品'!D:D)</f>
        <v>0</v>
      </c>
      <c r="M163" s="13">
        <f ca="1">SUMIF('2.3研究費'!D:E,C163,'2.3研究費'!E:E)</f>
        <v>0</v>
      </c>
      <c r="N163" s="13">
        <f ca="1">SUMIF('2.4販促費'!D:E,C163,'2.4販促費'!E:E)</f>
        <v>0</v>
      </c>
      <c r="O163" s="13">
        <f ca="1">SUMIF('2.5廃棄処分'!D:E,C163,'2.5廃棄処分'!E:E)</f>
        <v>0</v>
      </c>
      <c r="P163" s="13">
        <f ca="1">SUMIF('2.1④異種原液'!D:E,C163,'2.1④異種原液'!E:E)</f>
        <v>2777.5</v>
      </c>
      <c r="Q163" s="14">
        <f ca="1">SUMIF('2.7製造部生産分'!D:I,C163,'2.7製造部生産分'!H:H)</f>
        <v>0</v>
      </c>
      <c r="R163" s="15">
        <f ca="1">-(G163+H163+K163-L163-M163-N163-O163-P163-Q163-S163)</f>
        <v>0</v>
      </c>
      <c r="S163" s="13">
        <f ca="1">SUMIF('2.9原液在庫'!B:H,C163,'2.9原液在庫'!H:H)</f>
        <v>1592</v>
      </c>
      <c r="T163" s="16">
        <f ca="1">IFERROR(SUM(G164:K164)/(G163+H163+K163),0)</f>
        <v>1313.7750760739596</v>
      </c>
      <c r="U163" s="17" t="str">
        <f>C163</f>
        <v>19HIB</v>
      </c>
      <c r="V163" s="18">
        <f ca="1">IF(ISERROR(SUM(G164:K164)/SUM(L163:Q163,S163)),0,SUM(G164:K164)/SUM(L163:Q163,S163))</f>
        <v>1313.7750760739596</v>
      </c>
      <c r="W163" s="19">
        <f ca="1">V163</f>
        <v>1313.7750760739596</v>
      </c>
      <c r="X163" s="20">
        <f ca="1">W163/1000</f>
        <v>1.3137750760739595</v>
      </c>
    </row>
    <row r="164" spans="1:24">
      <c r="A164" s="199"/>
      <c r="B164" s="199"/>
      <c r="C164" s="199"/>
      <c r="D164" s="199"/>
      <c r="E164" s="199"/>
      <c r="F164" s="21" t="s">
        <v>247</v>
      </c>
      <c r="G164" s="22">
        <v>60007.194905166347</v>
      </c>
      <c r="H164" s="184"/>
      <c r="I164" s="23">
        <f ca="1">I163*労務費経費単価SC!D$7</f>
        <v>0</v>
      </c>
      <c r="J164" s="23">
        <f ca="1">J163*労務費経費単価SC!D$11</f>
        <v>131085</v>
      </c>
      <c r="K164" s="22">
        <f ca="1">K163*$E163</f>
        <v>5549448</v>
      </c>
      <c r="L164" s="22">
        <f ca="1">L163*$E163</f>
        <v>0</v>
      </c>
      <c r="M164" s="22">
        <f t="shared" ref="M164" ca="1" si="547">M163*$E163</f>
        <v>0</v>
      </c>
      <c r="N164" s="22">
        <f t="shared" ref="N164" ca="1" si="548">N163*$E163</f>
        <v>0</v>
      </c>
      <c r="O164" s="22">
        <f t="shared" ref="O164" ca="1" si="549">O163*$E163</f>
        <v>0</v>
      </c>
      <c r="P164" s="22">
        <f t="shared" ref="P164" ca="1" si="550">P163*$E163</f>
        <v>3566310</v>
      </c>
      <c r="Q164" s="22">
        <f t="shared" ref="Q164" ca="1" si="551">Q163*$E163</f>
        <v>0</v>
      </c>
      <c r="R164" s="22">
        <f t="shared" ref="R164" ca="1" si="552">R163*$E163</f>
        <v>0</v>
      </c>
      <c r="S164" s="22">
        <f t="shared" ref="S164" ca="1" si="553">S163*$E163</f>
        <v>2044128</v>
      </c>
      <c r="U164" s="17"/>
      <c r="V164" s="18"/>
      <c r="W164" s="19"/>
      <c r="X164" s="20"/>
    </row>
    <row r="165" spans="1:24">
      <c r="A165" s="199"/>
      <c r="B165" s="199"/>
      <c r="C165" s="206" t="s">
        <v>55</v>
      </c>
      <c r="D165" s="199" t="str">
        <f>VLOOKUP(C165,'仕掛品名寄（貼付）'!B:C,2,FALSE)</f>
        <v>その他</v>
      </c>
      <c r="E165" s="199">
        <f>VLOOKUP(D165,'仕掛品標準単価一覧表（貼付）'!B:G,6,FALSE)</f>
        <v>1080</v>
      </c>
      <c r="F165" s="12" t="s">
        <v>246</v>
      </c>
      <c r="G165" s="24">
        <v>0</v>
      </c>
      <c r="H165" s="13">
        <f ca="1">SUMIF('1.3②原材料使用'!B:E,C165,'1.3②原材料使用'!E:E)</f>
        <v>0</v>
      </c>
      <c r="I165" s="13">
        <f ca="1">SUMIF('2.10原液別作業時間'!A:B,C165,'2.10原液別作業時間'!B:B)</f>
        <v>0</v>
      </c>
      <c r="J165" s="13">
        <f ca="1">SUM(G165:H165,K165)</f>
        <v>0</v>
      </c>
      <c r="K165" s="13">
        <f ca="1">SUMIF('2.2⑤純増減→前工程費'!B:E,C165,'2.2⑤純増減→前工程費'!E:E)</f>
        <v>0</v>
      </c>
      <c r="L165" s="13">
        <f ca="1">SUMIF('2.6完成品'!C:D,C165,'2.6完成品'!D:D)</f>
        <v>0</v>
      </c>
      <c r="M165" s="13">
        <f ca="1">SUMIF('2.3研究費'!D:E,C165,'2.3研究費'!E:E)</f>
        <v>0</v>
      </c>
      <c r="N165" s="13">
        <f ca="1">SUMIF('2.4販促費'!D:E,C165,'2.4販促費'!E:E)</f>
        <v>0</v>
      </c>
      <c r="O165" s="13">
        <f ca="1">SUMIF('2.5廃棄処分'!D:E,C165,'2.5廃棄処分'!E:E)</f>
        <v>0</v>
      </c>
      <c r="P165" s="13">
        <f ca="1">SUMIF('2.1④異種原液'!D:E,C165,'2.1④異種原液'!E:E)</f>
        <v>0</v>
      </c>
      <c r="Q165" s="14">
        <f ca="1">SUMIF('2.7製造部生産分'!D:I,C165,'2.7製造部生産分'!H:H)</f>
        <v>0</v>
      </c>
      <c r="R165" s="15">
        <f ca="1">-(G165+H165+K165-L165-M165-N165-O165-P165-Q165-S165)</f>
        <v>0</v>
      </c>
      <c r="S165" s="13">
        <f ca="1">SUMIF('2.9原液在庫'!B:H,C165,'2.9原液在庫'!H:H)</f>
        <v>0</v>
      </c>
      <c r="T165" s="16">
        <f ca="1">IFERROR(SUM(G166:K166)/(G165+H165+K165),0)</f>
        <v>0</v>
      </c>
      <c r="U165" s="17" t="str">
        <f>C165</f>
        <v>19HI海</v>
      </c>
      <c r="V165" s="18">
        <f ca="1">IF(ISERROR(SUM(G166:K166)/SUM(L165:Q165,S165)),0,SUM(G166:K166)/SUM(L165:Q165,S165))</f>
        <v>0</v>
      </c>
      <c r="W165" s="19">
        <f ca="1">V165</f>
        <v>0</v>
      </c>
      <c r="X165" s="20">
        <f ca="1">W165/1000</f>
        <v>0</v>
      </c>
    </row>
    <row r="166" spans="1:24">
      <c r="A166" s="199"/>
      <c r="B166" s="199"/>
      <c r="C166" s="199"/>
      <c r="D166" s="199"/>
      <c r="E166" s="199"/>
      <c r="F166" s="21" t="s">
        <v>247</v>
      </c>
      <c r="G166" s="22" t="s">
        <v>254</v>
      </c>
      <c r="H166" s="184"/>
      <c r="I166" s="23">
        <f ca="1">I165*労務費経費単価SC!D$7</f>
        <v>0</v>
      </c>
      <c r="J166" s="23">
        <f ca="1">J165*労務費経費単価SC!D$11</f>
        <v>0</v>
      </c>
      <c r="K166" s="22">
        <f ca="1">K165*$E165</f>
        <v>0</v>
      </c>
      <c r="L166" s="22">
        <f ca="1">L165*$E165</f>
        <v>0</v>
      </c>
      <c r="M166" s="22">
        <f t="shared" ref="M166" ca="1" si="554">M165*$E165</f>
        <v>0</v>
      </c>
      <c r="N166" s="22">
        <f t="shared" ref="N166" ca="1" si="555">N165*$E165</f>
        <v>0</v>
      </c>
      <c r="O166" s="22">
        <f t="shared" ref="O166" ca="1" si="556">O165*$E165</f>
        <v>0</v>
      </c>
      <c r="P166" s="22">
        <f t="shared" ref="P166" ca="1" si="557">P165*$E165</f>
        <v>0</v>
      </c>
      <c r="Q166" s="22">
        <f t="shared" ref="Q166" ca="1" si="558">Q165*$E165</f>
        <v>0</v>
      </c>
      <c r="R166" s="22">
        <f t="shared" ref="R166" ca="1" si="559">R165*$E165</f>
        <v>0</v>
      </c>
      <c r="S166" s="22">
        <f t="shared" ref="S166" ca="1" si="560">S165*$E165</f>
        <v>0</v>
      </c>
      <c r="U166" s="17"/>
      <c r="V166" s="18"/>
      <c r="W166" s="19"/>
      <c r="X166" s="20"/>
    </row>
    <row r="167" spans="1:24">
      <c r="A167" s="199"/>
      <c r="B167" s="199"/>
      <c r="C167" s="199" t="s">
        <v>56</v>
      </c>
      <c r="D167" s="199" t="str">
        <f>VLOOKUP(C167,'仕掛品名寄（貼付）'!B:C,2,FALSE)</f>
        <v>HIパ</v>
      </c>
      <c r="E167" s="199">
        <f>VLOOKUP(D167,'仕掛品標準単価一覧表（貼付）'!B:G,6,FALSE)</f>
        <v>1283</v>
      </c>
      <c r="F167" s="12" t="s">
        <v>246</v>
      </c>
      <c r="G167" s="13">
        <v>0</v>
      </c>
      <c r="H167" s="13">
        <f ca="1">SUMIF('1.3②原材料使用'!B:E,C167,'1.3②原材料使用'!E:E)</f>
        <v>0</v>
      </c>
      <c r="I167" s="13">
        <f ca="1">SUMIF('2.10原液別作業時間'!A:B,C167,'2.10原液別作業時間'!B:B)</f>
        <v>0</v>
      </c>
      <c r="J167" s="13">
        <f ca="1">SUM(G167:H167,K167)</f>
        <v>0</v>
      </c>
      <c r="K167" s="13">
        <f ca="1">SUMIF('2.2⑤純増減→前工程費'!B:E,C167,'2.2⑤純増減→前工程費'!E:E)</f>
        <v>0</v>
      </c>
      <c r="L167" s="13">
        <f ca="1">SUMIF('2.6完成品'!C:D,C167,'2.6完成品'!D:D)</f>
        <v>0</v>
      </c>
      <c r="M167" s="13">
        <f ca="1">SUMIF('2.3研究費'!D:E,C167,'2.3研究費'!E:E)</f>
        <v>0</v>
      </c>
      <c r="N167" s="13">
        <f ca="1">SUMIF('2.4販促費'!D:E,C167,'2.4販促費'!E:E)</f>
        <v>0</v>
      </c>
      <c r="O167" s="13">
        <f ca="1">SUMIF('2.5廃棄処分'!D:E,C167,'2.5廃棄処分'!E:E)</f>
        <v>0</v>
      </c>
      <c r="P167" s="13">
        <f ca="1">SUMIF('2.1④異種原液'!D:E,C167,'2.1④異種原液'!E:E)</f>
        <v>0</v>
      </c>
      <c r="Q167" s="14">
        <f ca="1">SUMIF('2.7製造部生産分'!D:I,C167,'2.7製造部生産分'!H:H)</f>
        <v>0</v>
      </c>
      <c r="R167" s="15">
        <f ca="1">-(G167+H167+K167-L167-M167-N167-O167-P167-Q167-S167)</f>
        <v>0</v>
      </c>
      <c r="S167" s="13">
        <f ca="1">SUMIF('2.9原液在庫'!B:H,C167,'2.9原液在庫'!H:H)</f>
        <v>0</v>
      </c>
      <c r="T167" s="16">
        <f ca="1">IFERROR(SUM(G168:K168)/(G167+H167+K167),0)</f>
        <v>0</v>
      </c>
      <c r="U167" s="17" t="str">
        <f>C167</f>
        <v>19HIﾊﾟ</v>
      </c>
      <c r="V167" s="18">
        <f ca="1">IF(ISERROR(SUM(G168:K168)/SUM(L167:Q167,S167)),0,SUM(G168:K168)/SUM(L167:Q167,S167))</f>
        <v>0</v>
      </c>
      <c r="W167" s="19">
        <f ca="1">V167</f>
        <v>0</v>
      </c>
      <c r="X167" s="20">
        <f ca="1">W167/1000</f>
        <v>0</v>
      </c>
    </row>
    <row r="168" spans="1:24">
      <c r="A168" s="199"/>
      <c r="B168" s="199"/>
      <c r="C168" s="199"/>
      <c r="D168" s="199"/>
      <c r="E168" s="199"/>
      <c r="F168" s="21" t="s">
        <v>247</v>
      </c>
      <c r="G168" s="22" t="s">
        <v>254</v>
      </c>
      <c r="H168" s="184"/>
      <c r="I168" s="23">
        <f ca="1">I167*労務費経費単価SC!D$7</f>
        <v>0</v>
      </c>
      <c r="J168" s="23">
        <f ca="1">J167*労務費経費単価SC!D$11</f>
        <v>0</v>
      </c>
      <c r="K168" s="22">
        <f ca="1">K167*$E167</f>
        <v>0</v>
      </c>
      <c r="L168" s="22">
        <f ca="1">L167*$E167</f>
        <v>0</v>
      </c>
      <c r="M168" s="22">
        <f t="shared" ref="M168" ca="1" si="561">M167*$E167</f>
        <v>0</v>
      </c>
      <c r="N168" s="22">
        <f t="shared" ref="N168" ca="1" si="562">N167*$E167</f>
        <v>0</v>
      </c>
      <c r="O168" s="22">
        <f t="shared" ref="O168" ca="1" si="563">O167*$E167</f>
        <v>0</v>
      </c>
      <c r="P168" s="22">
        <f t="shared" ref="P168" ca="1" si="564">P167*$E167</f>
        <v>0</v>
      </c>
      <c r="Q168" s="22">
        <f t="shared" ref="Q168" ca="1" si="565">Q167*$E167</f>
        <v>0</v>
      </c>
      <c r="R168" s="22">
        <f t="shared" ref="R168" ca="1" si="566">R167*$E167</f>
        <v>0</v>
      </c>
      <c r="S168" s="22">
        <f t="shared" ref="S168" ca="1" si="567">S167*$E167</f>
        <v>0</v>
      </c>
      <c r="U168" s="17"/>
      <c r="V168" s="18"/>
      <c r="W168" s="19"/>
      <c r="X168" s="20"/>
    </row>
    <row r="169" spans="1:24">
      <c r="A169" s="199"/>
      <c r="B169" s="199"/>
      <c r="C169" s="206" t="s">
        <v>306</v>
      </c>
      <c r="D169" s="199" t="str">
        <f>VLOOKUP(C169,'仕掛品名寄（貼付）'!B:C,2,FALSE)</f>
        <v>その他</v>
      </c>
      <c r="E169" s="199">
        <f>VLOOKUP(D169,'仕掛品標準単価一覧表（貼付）'!B:G,6,FALSE)</f>
        <v>1080</v>
      </c>
      <c r="F169" s="12" t="s">
        <v>246</v>
      </c>
      <c r="G169" s="24">
        <v>0</v>
      </c>
      <c r="H169" s="13">
        <f ca="1">SUMIF('1.3②原材料使用'!B:E,C169,'1.3②原材料使用'!E:E)</f>
        <v>0</v>
      </c>
      <c r="I169" s="13">
        <f ca="1">SUMIF('2.10原液別作業時間'!A:B,C169,'2.10原液別作業時間'!B:B)</f>
        <v>0</v>
      </c>
      <c r="J169" s="13">
        <f ca="1">SUM(G169:H169,K169)</f>
        <v>0</v>
      </c>
      <c r="K169" s="13">
        <f ca="1">SUMIF('2.2⑤純増減→前工程費'!B:E,C169,'2.2⑤純増減→前工程費'!E:E)</f>
        <v>0</v>
      </c>
      <c r="L169" s="13">
        <f ca="1">SUMIF('2.6完成品'!C:D,C169,'2.6完成品'!D:D)</f>
        <v>0</v>
      </c>
      <c r="M169" s="13">
        <f ca="1">SUMIF('2.3研究費'!D:E,C169,'2.3研究費'!E:E)</f>
        <v>0</v>
      </c>
      <c r="N169" s="13">
        <f ca="1">SUMIF('2.4販促費'!D:E,C169,'2.4販促費'!E:E)</f>
        <v>0</v>
      </c>
      <c r="O169" s="13">
        <f ca="1">SUMIF('2.5廃棄処分'!D:E,C169,'2.5廃棄処分'!E:E)</f>
        <v>0</v>
      </c>
      <c r="P169" s="13">
        <f ca="1">SUMIF('2.1④異種原液'!D:E,C169,'2.1④異種原液'!E:E)</f>
        <v>0</v>
      </c>
      <c r="Q169" s="14">
        <f ca="1">SUMIF('2.7製造部生産分'!D:I,C169,'2.7製造部生産分'!H:H)</f>
        <v>0</v>
      </c>
      <c r="R169" s="15">
        <f ca="1">-(G169+H169+K169-L169-M169-N169-O169-P169-Q169-S169)</f>
        <v>0</v>
      </c>
      <c r="S169" s="13">
        <f ca="1">SUMIF('2.9原液在庫'!B:H,C169,'2.9原液在庫'!H:H)</f>
        <v>0</v>
      </c>
      <c r="T169" s="16">
        <f ca="1">IFERROR(SUM(G170:K170)/(G169+H169+K169),0)</f>
        <v>0</v>
      </c>
      <c r="U169" s="17" t="str">
        <f>C169</f>
        <v>19HIﾊﾟﾌ</v>
      </c>
      <c r="V169" s="18">
        <f ca="1">IF(ISERROR(SUM(G170:K170)/SUM(L169:Q169,S169)),0,SUM(G170:K170)/SUM(L169:Q169,S169))</f>
        <v>0</v>
      </c>
      <c r="W169" s="19">
        <f ca="1">V169</f>
        <v>0</v>
      </c>
      <c r="X169" s="20">
        <f ca="1">W169/1000</f>
        <v>0</v>
      </c>
    </row>
    <row r="170" spans="1:24">
      <c r="A170" s="199"/>
      <c r="B170" s="199"/>
      <c r="C170" s="199"/>
      <c r="D170" s="199"/>
      <c r="E170" s="199"/>
      <c r="F170" s="21" t="s">
        <v>247</v>
      </c>
      <c r="G170" s="22" t="s">
        <v>254</v>
      </c>
      <c r="H170" s="184"/>
      <c r="I170" s="23">
        <f ca="1">I169*労務費経費単価SC!D$7</f>
        <v>0</v>
      </c>
      <c r="J170" s="23">
        <f ca="1">J169*労務費経費単価SC!D$11</f>
        <v>0</v>
      </c>
      <c r="K170" s="22">
        <f ca="1">K169*$E169</f>
        <v>0</v>
      </c>
      <c r="L170" s="22">
        <f ca="1">L169*$E169</f>
        <v>0</v>
      </c>
      <c r="M170" s="22">
        <f t="shared" ref="M170" ca="1" si="568">M169*$E169</f>
        <v>0</v>
      </c>
      <c r="N170" s="22">
        <f t="shared" ref="N170" ca="1" si="569">N169*$E169</f>
        <v>0</v>
      </c>
      <c r="O170" s="22">
        <f t="shared" ref="O170" ca="1" si="570">O169*$E169</f>
        <v>0</v>
      </c>
      <c r="P170" s="22">
        <f t="shared" ref="P170" ca="1" si="571">P169*$E169</f>
        <v>0</v>
      </c>
      <c r="Q170" s="22">
        <f t="shared" ref="Q170" ca="1" si="572">Q169*$E169</f>
        <v>0</v>
      </c>
      <c r="R170" s="22">
        <f t="shared" ref="R170" ca="1" si="573">R169*$E169</f>
        <v>0</v>
      </c>
      <c r="S170" s="22">
        <f t="shared" ref="S170" ca="1" si="574">S169*$E169</f>
        <v>0</v>
      </c>
      <c r="U170" s="17"/>
      <c r="V170" s="18"/>
      <c r="W170" s="19"/>
      <c r="X170" s="20"/>
    </row>
    <row r="171" spans="1:24">
      <c r="A171" s="211" t="s">
        <v>307</v>
      </c>
      <c r="B171" s="211">
        <v>20</v>
      </c>
      <c r="C171" s="199" t="s">
        <v>308</v>
      </c>
      <c r="D171" s="199" t="str">
        <f>VLOOKUP(C171,'仕掛品名寄（貼付）'!B:C,2,FALSE)</f>
        <v>R</v>
      </c>
      <c r="E171" s="199">
        <f>VLOOKUP(D171,'仕掛品標準単価一覧表（貼付）'!B:G,6,FALSE)</f>
        <v>908</v>
      </c>
      <c r="F171" s="12" t="s">
        <v>246</v>
      </c>
      <c r="G171" s="13">
        <v>0</v>
      </c>
      <c r="H171" s="13">
        <f ca="1">SUMIF('1.3②原材料使用'!B:E,C171,'1.3②原材料使用'!E:E)</f>
        <v>0</v>
      </c>
      <c r="I171" s="13">
        <f ca="1">SUMIF('2.10原液別作業時間'!A:B,C171,'2.10原液別作業時間'!B:B)</f>
        <v>0</v>
      </c>
      <c r="J171" s="13">
        <f ca="1">SUM(G171:H171,K171)</f>
        <v>0</v>
      </c>
      <c r="K171" s="13">
        <f ca="1">SUMIF('2.2⑤純増減→前工程費'!B:E,C171,'2.2⑤純増減→前工程費'!E:E)</f>
        <v>0</v>
      </c>
      <c r="L171" s="13">
        <f ca="1">SUMIF('2.6完成品'!C:D,C171,'2.6完成品'!D:D)</f>
        <v>0</v>
      </c>
      <c r="M171" s="13">
        <f ca="1">SUMIF('2.3研究費'!D:E,C171,'2.3研究費'!E:E)</f>
        <v>0</v>
      </c>
      <c r="N171" s="13">
        <f ca="1">SUMIF('2.4販促費'!D:E,C171,'2.4販促費'!E:E)</f>
        <v>0</v>
      </c>
      <c r="O171" s="13">
        <f ca="1">SUMIF('2.5廃棄処分'!D:E,C171,'2.5廃棄処分'!E:E)</f>
        <v>0</v>
      </c>
      <c r="P171" s="13">
        <f ca="1">SUMIF('2.1④異種原液'!D:E,C171,'2.1④異種原液'!E:E)</f>
        <v>0</v>
      </c>
      <c r="Q171" s="14">
        <f ca="1">SUMIF('2.7製造部生産分'!D:I,C171,'2.7製造部生産分'!H:H)</f>
        <v>0</v>
      </c>
      <c r="R171" s="15">
        <f ca="1">-(G171+H171+K171-L171-M171-N171-O171-P171-Q171-S171)</f>
        <v>0</v>
      </c>
      <c r="S171" s="13">
        <f ca="1">SUMIF('2.9原液在庫'!B:H,C171,'2.9原液在庫'!H:H)</f>
        <v>0</v>
      </c>
      <c r="T171" s="16">
        <f ca="1">IFERROR(SUM(G172:K172)/(G171+H171+K171),0)</f>
        <v>0</v>
      </c>
      <c r="U171" s="17" t="str">
        <f>C171</f>
        <v>20R</v>
      </c>
      <c r="V171" s="18">
        <f ca="1">IF(ISERROR(SUM(G172:K172)/SUM(L171:Q171,S171)),0,SUM(G172:K172)/SUM(L171:Q171,S171))</f>
        <v>0</v>
      </c>
      <c r="W171" s="19">
        <f ca="1">V171</f>
        <v>0</v>
      </c>
      <c r="X171" s="20">
        <f ca="1">W171/1000</f>
        <v>0</v>
      </c>
    </row>
    <row r="172" spans="1:24">
      <c r="A172" s="212"/>
      <c r="B172" s="212"/>
      <c r="C172" s="199"/>
      <c r="D172" s="199"/>
      <c r="E172" s="199"/>
      <c r="F172" s="21" t="s">
        <v>247</v>
      </c>
      <c r="G172" s="22" t="s">
        <v>254</v>
      </c>
      <c r="H172" s="184"/>
      <c r="I172" s="23">
        <f ca="1">I171*労務費経費単価SC!D$7</f>
        <v>0</v>
      </c>
      <c r="J172" s="23">
        <f ca="1">J171*労務費経費単価SC!D$11</f>
        <v>0</v>
      </c>
      <c r="K172" s="22">
        <f ca="1">K171*$E171</f>
        <v>0</v>
      </c>
      <c r="L172" s="22">
        <f ca="1">L171*$E171</f>
        <v>0</v>
      </c>
      <c r="M172" s="22">
        <f t="shared" ref="M172" ca="1" si="575">M171*$E171</f>
        <v>0</v>
      </c>
      <c r="N172" s="22">
        <f t="shared" ref="N172" ca="1" si="576">N171*$E171</f>
        <v>0</v>
      </c>
      <c r="O172" s="22">
        <f t="shared" ref="O172" ca="1" si="577">O171*$E171</f>
        <v>0</v>
      </c>
      <c r="P172" s="22">
        <f t="shared" ref="P172" ca="1" si="578">P171*$E171</f>
        <v>0</v>
      </c>
      <c r="Q172" s="22">
        <f t="shared" ref="Q172" ca="1" si="579">Q171*$E171</f>
        <v>0</v>
      </c>
      <c r="R172" s="22">
        <f t="shared" ref="R172" ca="1" si="580">R171*$E171</f>
        <v>0</v>
      </c>
      <c r="S172" s="22">
        <f t="shared" ref="S172" ca="1" si="581">S171*$E171</f>
        <v>0</v>
      </c>
      <c r="U172" s="17"/>
      <c r="V172" s="18"/>
      <c r="W172" s="19"/>
      <c r="X172" s="20"/>
    </row>
    <row r="173" spans="1:24">
      <c r="A173" s="212"/>
      <c r="B173" s="212"/>
      <c r="C173" s="211" t="s">
        <v>309</v>
      </c>
      <c r="D173" s="199" t="str">
        <f>VLOOKUP(C173,'仕掛品名寄（貼付）'!B:C,2,FALSE)</f>
        <v>その他</v>
      </c>
      <c r="E173" s="199">
        <f>VLOOKUP(D173,'仕掛品標準単価一覧表（貼付）'!B:G,6,FALSE)</f>
        <v>1080</v>
      </c>
      <c r="F173" s="12" t="s">
        <v>246</v>
      </c>
      <c r="G173" s="13">
        <v>0</v>
      </c>
      <c r="H173" s="13">
        <f ca="1">SUMIF('1.3②原材料使用'!B:E,C173,'1.3②原材料使用'!E:E)</f>
        <v>0</v>
      </c>
      <c r="I173" s="13">
        <f ca="1">SUMIF('2.10原液別作業時間'!A:B,C173,'2.10原液別作業時間'!B:B)</f>
        <v>0</v>
      </c>
      <c r="J173" s="13">
        <f ca="1">SUM(G173:H173,K173)</f>
        <v>0</v>
      </c>
      <c r="K173" s="13">
        <f ca="1">SUMIF('2.2⑤純増減→前工程費'!B:E,C173,'2.2⑤純増減→前工程費'!E:E)</f>
        <v>0</v>
      </c>
      <c r="L173" s="13">
        <f ca="1">SUMIF('2.6完成品'!C:D,C173,'2.6完成品'!D:D)</f>
        <v>0</v>
      </c>
      <c r="M173" s="13">
        <f ca="1">SUMIF('2.3研究費'!D:E,C173,'2.3研究費'!E:E)</f>
        <v>0</v>
      </c>
      <c r="N173" s="13">
        <f ca="1">SUMIF('2.4販促費'!D:E,C173,'2.4販促費'!E:E)</f>
        <v>0</v>
      </c>
      <c r="O173" s="13">
        <f ca="1">SUMIF('2.5廃棄処分'!D:E,C173,'2.5廃棄処分'!E:E)</f>
        <v>0</v>
      </c>
      <c r="P173" s="13">
        <f ca="1">SUMIF('2.1④異種原液'!D:E,C173,'2.1④異種原液'!E:E)</f>
        <v>0</v>
      </c>
      <c r="Q173" s="14">
        <f ca="1">SUMIF('2.7製造部生産分'!D:I,C173,'2.7製造部生産分'!H:H)</f>
        <v>0</v>
      </c>
      <c r="R173" s="15">
        <f ca="1">-(G173+H173+K173-L173-M173-N173-O173-P173-Q173-S173)</f>
        <v>0</v>
      </c>
      <c r="S173" s="13">
        <f ca="1">SUMIF('2.9原液在庫'!B:H,C173,'2.9原液在庫'!H:H)</f>
        <v>0</v>
      </c>
      <c r="T173" s="16">
        <f ca="1">IFERROR(SUM(G174:K174)/(G173+H173+K173),0)</f>
        <v>0</v>
      </c>
      <c r="U173" s="17" t="str">
        <f>C173</f>
        <v>20RA</v>
      </c>
      <c r="V173" s="18">
        <f ca="1">IF(ISERROR(SUM(G174:K174)/SUM(L173:Q173,S173)),0,SUM(G174:K174)/SUM(L173:Q173,S173))</f>
        <v>0</v>
      </c>
      <c r="W173" s="19">
        <f ca="1">V173</f>
        <v>0</v>
      </c>
      <c r="X173" s="20">
        <f ca="1">W173/1000</f>
        <v>0</v>
      </c>
    </row>
    <row r="174" spans="1:24">
      <c r="A174" s="212"/>
      <c r="B174" s="212"/>
      <c r="C174" s="201"/>
      <c r="D174" s="199"/>
      <c r="E174" s="199"/>
      <c r="F174" s="21" t="s">
        <v>247</v>
      </c>
      <c r="G174" s="22" t="s">
        <v>254</v>
      </c>
      <c r="H174" s="184"/>
      <c r="I174" s="23">
        <f ca="1">I173*労務費経費単価SC!D$7</f>
        <v>0</v>
      </c>
      <c r="J174" s="23">
        <f ca="1">J173*労務費経費単価SC!D$11</f>
        <v>0</v>
      </c>
      <c r="K174" s="22">
        <f ca="1">K173*$E173</f>
        <v>0</v>
      </c>
      <c r="L174" s="22">
        <f ca="1">L173*$E173</f>
        <v>0</v>
      </c>
      <c r="M174" s="22">
        <f t="shared" ref="M174" ca="1" si="582">M173*$E173</f>
        <v>0</v>
      </c>
      <c r="N174" s="22">
        <f t="shared" ref="N174" ca="1" si="583">N173*$E173</f>
        <v>0</v>
      </c>
      <c r="O174" s="22">
        <f t="shared" ref="O174" ca="1" si="584">O173*$E173</f>
        <v>0</v>
      </c>
      <c r="P174" s="22">
        <f t="shared" ref="P174" ca="1" si="585">P173*$E173</f>
        <v>0</v>
      </c>
      <c r="Q174" s="22">
        <f t="shared" ref="Q174" ca="1" si="586">Q173*$E173</f>
        <v>0</v>
      </c>
      <c r="R174" s="22">
        <f t="shared" ref="R174" ca="1" si="587">R173*$E173</f>
        <v>0</v>
      </c>
      <c r="S174" s="22">
        <f t="shared" ref="S174" ca="1" si="588">S173*$E173</f>
        <v>0</v>
      </c>
      <c r="U174" s="17"/>
      <c r="V174" s="18"/>
      <c r="W174" s="19"/>
      <c r="X174" s="20"/>
    </row>
    <row r="175" spans="1:24">
      <c r="A175" s="212"/>
      <c r="B175" s="212"/>
      <c r="C175" s="211" t="s">
        <v>310</v>
      </c>
      <c r="D175" s="199" t="str">
        <f>VLOOKUP(C175,'仕掛品名寄（貼付）'!B:C,2,FALSE)</f>
        <v>その他</v>
      </c>
      <c r="E175" s="199">
        <f>VLOOKUP(D175,'仕掛品標準単価一覧表（貼付）'!B:G,6,FALSE)</f>
        <v>1080</v>
      </c>
      <c r="F175" s="12" t="s">
        <v>246</v>
      </c>
      <c r="G175" s="24">
        <v>0</v>
      </c>
      <c r="H175" s="13">
        <f ca="1">SUMIF('1.3②原材料使用'!B:E,C175,'1.3②原材料使用'!E:E)</f>
        <v>0</v>
      </c>
      <c r="I175" s="13">
        <f ca="1">SUMIF('2.10原液別作業時間'!A:B,C175,'2.10原液別作業時間'!B:B)</f>
        <v>0</v>
      </c>
      <c r="J175" s="13">
        <f ca="1">SUM(G175:H175,K175)</f>
        <v>0</v>
      </c>
      <c r="K175" s="13">
        <f ca="1">SUMIF('2.2⑤純増減→前工程費'!B:E,C175,'2.2⑤純増減→前工程費'!E:E)</f>
        <v>0</v>
      </c>
      <c r="L175" s="13">
        <f ca="1">SUMIF('2.6完成品'!C:D,C175,'2.6完成品'!D:D)</f>
        <v>0</v>
      </c>
      <c r="M175" s="13">
        <f ca="1">SUMIF('2.3研究費'!D:E,C175,'2.3研究費'!E:E)</f>
        <v>0</v>
      </c>
      <c r="N175" s="13">
        <f ca="1">SUMIF('2.4販促費'!D:E,C175,'2.4販促費'!E:E)</f>
        <v>0</v>
      </c>
      <c r="O175" s="13">
        <f ca="1">SUMIF('2.5廃棄処分'!D:E,C175,'2.5廃棄処分'!E:E)</f>
        <v>0</v>
      </c>
      <c r="P175" s="13">
        <f ca="1">SUMIF('2.1④異種原液'!D:E,C175,'2.1④異種原液'!E:E)</f>
        <v>0</v>
      </c>
      <c r="Q175" s="14">
        <f ca="1">SUMIF('2.7製造部生産分'!D:I,C175,'2.7製造部生産分'!H:H)</f>
        <v>0</v>
      </c>
      <c r="R175" s="15">
        <f ca="1">-(G175+H175+K175-L175-M175-N175-O175-P175-Q175-S175)</f>
        <v>0</v>
      </c>
      <c r="S175" s="13">
        <f ca="1">SUMIF('2.9原液在庫'!B:H,C175,'2.9原液在庫'!H:H)</f>
        <v>0</v>
      </c>
      <c r="T175" s="16">
        <f ca="1">IFERROR(SUM(G176:K176)/(G175+H175+K175),0)</f>
        <v>0</v>
      </c>
      <c r="U175" s="17" t="str">
        <f>C175</f>
        <v>20Rｸ</v>
      </c>
      <c r="V175" s="18">
        <f ca="1">IF(ISERROR(SUM(G176:K176)/SUM(L175:Q175,S175)),0,SUM(G176:K176)/SUM(L175:Q175,S175))</f>
        <v>0</v>
      </c>
      <c r="W175" s="19">
        <f ca="1">V175</f>
        <v>0</v>
      </c>
      <c r="X175" s="20">
        <f ca="1">W175/1000</f>
        <v>0</v>
      </c>
    </row>
    <row r="176" spans="1:24">
      <c r="A176" s="212"/>
      <c r="B176" s="212"/>
      <c r="C176" s="201"/>
      <c r="D176" s="199"/>
      <c r="E176" s="199"/>
      <c r="F176" s="21" t="s">
        <v>247</v>
      </c>
      <c r="G176" s="22" t="s">
        <v>254</v>
      </c>
      <c r="H176" s="184"/>
      <c r="I176" s="23">
        <f ca="1">I175*労務費経費単価SC!D$7</f>
        <v>0</v>
      </c>
      <c r="J176" s="23">
        <f ca="1">J175*労務費経費単価SC!D$11</f>
        <v>0</v>
      </c>
      <c r="K176" s="22">
        <f ca="1">K175*$E175</f>
        <v>0</v>
      </c>
      <c r="L176" s="22">
        <f ca="1">L175*$E175</f>
        <v>0</v>
      </c>
      <c r="M176" s="22">
        <f t="shared" ref="M176" ca="1" si="589">M175*$E175</f>
        <v>0</v>
      </c>
      <c r="N176" s="22">
        <f t="shared" ref="N176" ca="1" si="590">N175*$E175</f>
        <v>0</v>
      </c>
      <c r="O176" s="22">
        <f t="shared" ref="O176" ca="1" si="591">O175*$E175</f>
        <v>0</v>
      </c>
      <c r="P176" s="22">
        <f t="shared" ref="P176" ca="1" si="592">P175*$E175</f>
        <v>0</v>
      </c>
      <c r="Q176" s="22">
        <f t="shared" ref="Q176" ca="1" si="593">Q175*$E175</f>
        <v>0</v>
      </c>
      <c r="R176" s="22">
        <f t="shared" ref="R176" ca="1" si="594">R175*$E175</f>
        <v>0</v>
      </c>
      <c r="S176" s="22">
        <f t="shared" ref="S176" ca="1" si="595">S175*$E175</f>
        <v>0</v>
      </c>
      <c r="U176" s="17"/>
      <c r="V176" s="18"/>
      <c r="W176" s="19"/>
      <c r="X176" s="20"/>
    </row>
    <row r="177" spans="1:24">
      <c r="A177" s="212"/>
      <c r="B177" s="212"/>
      <c r="C177" s="199" t="s">
        <v>311</v>
      </c>
      <c r="D177" s="199" t="str">
        <f>VLOOKUP(C177,'仕掛品名寄（貼付）'!B:C,2,FALSE)</f>
        <v>その他</v>
      </c>
      <c r="E177" s="199">
        <f>VLOOKUP(D177,'仕掛品標準単価一覧表（貼付）'!B:G,6,FALSE)</f>
        <v>1080</v>
      </c>
      <c r="F177" s="12" t="s">
        <v>246</v>
      </c>
      <c r="G177" s="24">
        <v>0</v>
      </c>
      <c r="H177" s="13">
        <f ca="1">SUMIF('1.3②原材料使用'!B:E,C177,'1.3②原材料使用'!E:E)</f>
        <v>0</v>
      </c>
      <c r="I177" s="13">
        <f ca="1">SUMIF('2.10原液別作業時間'!A:B,C177,'2.10原液別作業時間'!B:B)</f>
        <v>0</v>
      </c>
      <c r="J177" s="13">
        <f ca="1">SUM(G177:H177,K177)</f>
        <v>0</v>
      </c>
      <c r="K177" s="13">
        <f ca="1">SUMIF('2.2⑤純増減→前工程費'!B:E,C177,'2.2⑤純増減→前工程費'!E:E)</f>
        <v>0</v>
      </c>
      <c r="L177" s="13">
        <f ca="1">SUMIF('2.6完成品'!C:D,C177,'2.6完成品'!D:D)</f>
        <v>0</v>
      </c>
      <c r="M177" s="13">
        <f ca="1">SUMIF('2.3研究費'!D:E,C177,'2.3研究費'!E:E)</f>
        <v>0</v>
      </c>
      <c r="N177" s="13">
        <f ca="1">SUMIF('2.4販促費'!D:E,C177,'2.4販促費'!E:E)</f>
        <v>0</v>
      </c>
      <c r="O177" s="13">
        <f ca="1">SUMIF('2.5廃棄処分'!D:E,C177,'2.5廃棄処分'!E:E)</f>
        <v>0</v>
      </c>
      <c r="P177" s="13">
        <f ca="1">SUMIF('2.1④異種原液'!D:E,C177,'2.1④異種原液'!E:E)</f>
        <v>0</v>
      </c>
      <c r="Q177" s="14">
        <f ca="1">SUMIF('2.7製造部生産分'!D:I,C177,'2.7製造部生産分'!H:H)</f>
        <v>0</v>
      </c>
      <c r="R177" s="15">
        <f ca="1">-(G177+H177+K177-L177-M177-N177-O177-P177-Q177-S177)</f>
        <v>0</v>
      </c>
      <c r="S177" s="13">
        <f ca="1">SUMIF('2.9原液在庫'!B:H,C177,'2.9原液在庫'!H:H)</f>
        <v>0</v>
      </c>
      <c r="T177" s="16">
        <f ca="1">IFERROR(SUM(G178:K178)/(G177+H177+K177),0)</f>
        <v>0</v>
      </c>
      <c r="U177" s="17" t="str">
        <f>C177</f>
        <v>20Rｳ</v>
      </c>
      <c r="V177" s="18">
        <f ca="1">IF(ISERROR(SUM(G178:K178)/SUM(L177:Q177,S177)),0,SUM(G178:K178)/SUM(L177:Q177,S177))</f>
        <v>0</v>
      </c>
      <c r="W177" s="19">
        <f ca="1">V177</f>
        <v>0</v>
      </c>
      <c r="X177" s="20">
        <f ca="1">W177/1000</f>
        <v>0</v>
      </c>
    </row>
    <row r="178" spans="1:24">
      <c r="A178" s="212"/>
      <c r="B178" s="212"/>
      <c r="C178" s="199"/>
      <c r="D178" s="199"/>
      <c r="E178" s="199"/>
      <c r="F178" s="21" t="s">
        <v>247</v>
      </c>
      <c r="G178" s="22" t="s">
        <v>254</v>
      </c>
      <c r="H178" s="184"/>
      <c r="I178" s="23">
        <f ca="1">I177*労務費経費単価SC!D$7</f>
        <v>0</v>
      </c>
      <c r="J178" s="23">
        <f ca="1">J177*労務費経費単価SC!D$11</f>
        <v>0</v>
      </c>
      <c r="K178" s="22">
        <f ca="1">K177*$E177</f>
        <v>0</v>
      </c>
      <c r="L178" s="22">
        <f ca="1">L177*$E177</f>
        <v>0</v>
      </c>
      <c r="M178" s="22">
        <f t="shared" ref="M178" ca="1" si="596">M177*$E177</f>
        <v>0</v>
      </c>
      <c r="N178" s="22">
        <f t="shared" ref="N178" ca="1" si="597">N177*$E177</f>
        <v>0</v>
      </c>
      <c r="O178" s="22">
        <f t="shared" ref="O178" ca="1" si="598">O177*$E177</f>
        <v>0</v>
      </c>
      <c r="P178" s="22">
        <f t="shared" ref="P178" ca="1" si="599">P177*$E177</f>
        <v>0</v>
      </c>
      <c r="Q178" s="22">
        <f t="shared" ref="Q178" ca="1" si="600">Q177*$E177</f>
        <v>0</v>
      </c>
      <c r="R178" s="22">
        <f t="shared" ref="R178" ca="1" si="601">R177*$E177</f>
        <v>0</v>
      </c>
      <c r="S178" s="22">
        <f t="shared" ref="S178" ca="1" si="602">S177*$E177</f>
        <v>0</v>
      </c>
      <c r="U178" s="17"/>
      <c r="V178" s="18"/>
      <c r="W178" s="19"/>
      <c r="X178" s="20"/>
    </row>
    <row r="179" spans="1:24">
      <c r="A179" s="212"/>
      <c r="B179" s="212"/>
      <c r="C179" s="199" t="s">
        <v>57</v>
      </c>
      <c r="D179" s="199" t="str">
        <f>VLOOKUP(C179,'仕掛品名寄（貼付）'!B:C,2,FALSE)</f>
        <v>その他</v>
      </c>
      <c r="E179" s="199">
        <f>VLOOKUP(D179,'仕掛品標準単価一覧表（貼付）'!B:G,6,FALSE)</f>
        <v>1080</v>
      </c>
      <c r="F179" s="12" t="s">
        <v>246</v>
      </c>
      <c r="G179" s="13">
        <v>0</v>
      </c>
      <c r="H179" s="13">
        <f ca="1">SUMIF('1.3②原材料使用'!B:E,C179,'1.3②原材料使用'!E:E)</f>
        <v>0</v>
      </c>
      <c r="I179" s="13">
        <f ca="1">SUMIF('2.10原液別作業時間'!A:B,C179,'2.10原液別作業時間'!B:B)</f>
        <v>0</v>
      </c>
      <c r="J179" s="13">
        <f ca="1">SUM(G179:H179,K179)</f>
        <v>0</v>
      </c>
      <c r="K179" s="13">
        <f ca="1">SUMIF('2.2⑤純増減→前工程費'!B:E,C179,'2.2⑤純増減→前工程費'!E:E)</f>
        <v>0</v>
      </c>
      <c r="L179" s="13">
        <f ca="1">SUMIF('2.6完成品'!C:D,C179,'2.6完成品'!D:D)</f>
        <v>0</v>
      </c>
      <c r="M179" s="13">
        <f ca="1">SUMIF('2.3研究費'!D:E,C179,'2.3研究費'!E:E)</f>
        <v>0</v>
      </c>
      <c r="N179" s="13">
        <f ca="1">SUMIF('2.4販促費'!D:E,C179,'2.4販促費'!E:E)</f>
        <v>0</v>
      </c>
      <c r="O179" s="13">
        <f ca="1">SUMIF('2.5廃棄処分'!D:E,C179,'2.5廃棄処分'!E:E)</f>
        <v>0</v>
      </c>
      <c r="P179" s="13">
        <f ca="1">SUMIF('2.1④異種原液'!D:E,C179,'2.1④異種原液'!E:E)</f>
        <v>0</v>
      </c>
      <c r="Q179" s="14">
        <f ca="1">SUMIF('2.7製造部生産分'!D:I,C179,'2.7製造部生産分'!H:H)</f>
        <v>0</v>
      </c>
      <c r="R179" s="15">
        <f ca="1">-(G179+H179+K179-L179-M179-N179-O179-P179-Q179-S179)</f>
        <v>0</v>
      </c>
      <c r="S179" s="13">
        <f ca="1">SUMIF('2.9原液在庫'!B:H,C179,'2.9原液在庫'!H:H)</f>
        <v>0</v>
      </c>
      <c r="T179" s="16">
        <f ca="1">IFERROR(SUM(G180:K180)/(G179+H179+K179),0)</f>
        <v>0</v>
      </c>
      <c r="U179" s="17" t="str">
        <f>C179</f>
        <v>20R海</v>
      </c>
      <c r="V179" s="18">
        <f ca="1">IF(ISERROR(SUM(G180:K180)/SUM(L179:Q179,S179)),0,SUM(G180:K180)/SUM(L179:Q179,S179))</f>
        <v>0</v>
      </c>
      <c r="W179" s="19">
        <f ca="1">V179</f>
        <v>0</v>
      </c>
      <c r="X179" s="20">
        <f ca="1">W179/1000</f>
        <v>0</v>
      </c>
    </row>
    <row r="180" spans="1:24">
      <c r="A180" s="212"/>
      <c r="B180" s="212"/>
      <c r="C180" s="199"/>
      <c r="D180" s="199"/>
      <c r="E180" s="199"/>
      <c r="F180" s="21" t="s">
        <v>247</v>
      </c>
      <c r="G180" s="22" t="s">
        <v>254</v>
      </c>
      <c r="H180" s="184"/>
      <c r="I180" s="23">
        <f ca="1">I179*労務費経費単価SC!D$7</f>
        <v>0</v>
      </c>
      <c r="J180" s="23">
        <f ca="1">J179*労務費経費単価SC!D$11</f>
        <v>0</v>
      </c>
      <c r="K180" s="22">
        <f ca="1">K179*$E179</f>
        <v>0</v>
      </c>
      <c r="L180" s="22">
        <f ca="1">L179*$E179</f>
        <v>0</v>
      </c>
      <c r="M180" s="22">
        <f t="shared" ref="M180" ca="1" si="603">M179*$E179</f>
        <v>0</v>
      </c>
      <c r="N180" s="22">
        <f t="shared" ref="N180" ca="1" si="604">N179*$E179</f>
        <v>0</v>
      </c>
      <c r="O180" s="22">
        <f t="shared" ref="O180" ca="1" si="605">O179*$E179</f>
        <v>0</v>
      </c>
      <c r="P180" s="22">
        <f t="shared" ref="P180" ca="1" si="606">P179*$E179</f>
        <v>0</v>
      </c>
      <c r="Q180" s="22">
        <f t="shared" ref="Q180" ca="1" si="607">Q179*$E179</f>
        <v>0</v>
      </c>
      <c r="R180" s="22">
        <f t="shared" ref="R180" ca="1" si="608">R179*$E179</f>
        <v>0</v>
      </c>
      <c r="S180" s="22">
        <f t="shared" ref="S180" ca="1" si="609">S179*$E179</f>
        <v>0</v>
      </c>
      <c r="U180" s="17"/>
      <c r="V180" s="18"/>
      <c r="W180" s="19"/>
      <c r="X180" s="20"/>
    </row>
    <row r="181" spans="1:24">
      <c r="A181" s="212"/>
      <c r="B181" s="212"/>
      <c r="C181" s="199" t="s">
        <v>312</v>
      </c>
      <c r="D181" s="199" t="str">
        <f>VLOOKUP(C181,'仕掛品名寄（貼付）'!B:C,2,FALSE)</f>
        <v>HI</v>
      </c>
      <c r="E181" s="199">
        <f>VLOOKUP(D181,'仕掛品標準単価一覧表（貼付）'!B:G,6,FALSE)</f>
        <v>1176</v>
      </c>
      <c r="F181" s="12" t="s">
        <v>246</v>
      </c>
      <c r="G181" s="13">
        <v>431868.9</v>
      </c>
      <c r="H181" s="13">
        <f ca="1">SUMIF('1.3②原材料使用'!B:E,C181,'1.3②原材料使用'!E:E)</f>
        <v>0</v>
      </c>
      <c r="I181" s="13">
        <f ca="1">SUMIF('2.10原液別作業時間'!A:B,C181,'2.10原液別作業時間'!B:B)</f>
        <v>0</v>
      </c>
      <c r="J181" s="13">
        <f ca="1">SUM(G181:H181,K181)</f>
        <v>431868.9</v>
      </c>
      <c r="K181" s="13">
        <f ca="1">SUMIF('2.2⑤純増減→前工程費'!B:E,C181,'2.2⑤純増減→前工程費'!E:E)</f>
        <v>0</v>
      </c>
      <c r="L181" s="13">
        <f ca="1">SUMIF('2.6完成品'!C:D,C181,'2.6完成品'!D:D)</f>
        <v>0</v>
      </c>
      <c r="M181" s="13">
        <f ca="1">SUMIF('2.3研究費'!D:E,C181,'2.3研究費'!E:E)</f>
        <v>0</v>
      </c>
      <c r="N181" s="13">
        <f ca="1">SUMIF('2.4販促費'!D:E,C181,'2.4販促費'!E:E)</f>
        <v>0</v>
      </c>
      <c r="O181" s="13">
        <f ca="1">SUMIF('2.5廃棄処分'!D:E,C181,'2.5廃棄処分'!E:E)</f>
        <v>0</v>
      </c>
      <c r="P181" s="13">
        <f ca="1">SUMIF('2.1④異種原液'!D:E,C181,'2.1④異種原液'!E:E)</f>
        <v>0</v>
      </c>
      <c r="Q181" s="14">
        <f ca="1">SUMIF('2.7製造部生産分'!D:I,C181,'2.7製造部生産分'!H:H)</f>
        <v>0</v>
      </c>
      <c r="R181" s="15">
        <f ca="1">-(G181+H181+K181-L181-M181-N181-O181-P181-Q181-S181)</f>
        <v>-6.5</v>
      </c>
      <c r="S181" s="13">
        <f ca="1">SUMIF('2.9原液在庫'!B:H,C181,'2.9原液在庫'!H:H)</f>
        <v>431862.4</v>
      </c>
      <c r="T181" s="16">
        <f ca="1">IFERROR(SUM(G182:K182)/(G181+H181+K181),0)</f>
        <v>1127.0490042320498</v>
      </c>
      <c r="U181" s="17" t="str">
        <f>C181</f>
        <v>20HI</v>
      </c>
      <c r="V181" s="18">
        <f ca="1">IF(ISERROR(SUM(G182:K182)/SUM(L181:Q181,S181)),0,SUM(G182:K182)/SUM(L181:Q181,S181))</f>
        <v>1127.0659675484383</v>
      </c>
      <c r="W181" s="19">
        <f ca="1">V181</f>
        <v>1127.0659675484383</v>
      </c>
      <c r="X181" s="20">
        <f ca="1">W181/1000</f>
        <v>1.1270659675484382</v>
      </c>
    </row>
    <row r="182" spans="1:24">
      <c r="A182" s="212"/>
      <c r="B182" s="212"/>
      <c r="C182" s="199"/>
      <c r="D182" s="199"/>
      <c r="E182" s="199"/>
      <c r="F182" s="21" t="s">
        <v>247</v>
      </c>
      <c r="G182" s="22">
        <v>473781346.70379072</v>
      </c>
      <c r="H182" s="184"/>
      <c r="I182" s="23">
        <f ca="1">I181*労務費経費単価SC!D$7</f>
        <v>0</v>
      </c>
      <c r="J182" s="23">
        <f ca="1">J181*労務費経費単価SC!D$11</f>
        <v>12956067</v>
      </c>
      <c r="K182" s="22">
        <f ca="1">K181*$E181</f>
        <v>0</v>
      </c>
      <c r="L182" s="22">
        <f ca="1">L181*$E181</f>
        <v>0</v>
      </c>
      <c r="M182" s="22">
        <f t="shared" ref="M182" ca="1" si="610">M181*$E181</f>
        <v>0</v>
      </c>
      <c r="N182" s="22">
        <f t="shared" ref="N182" ca="1" si="611">N181*$E181</f>
        <v>0</v>
      </c>
      <c r="O182" s="22">
        <f t="shared" ref="O182" ca="1" si="612">O181*$E181</f>
        <v>0</v>
      </c>
      <c r="P182" s="22">
        <f t="shared" ref="P182" ca="1" si="613">P181*$E181</f>
        <v>0</v>
      </c>
      <c r="Q182" s="22">
        <f t="shared" ref="Q182" ca="1" si="614">Q181*$E181</f>
        <v>0</v>
      </c>
      <c r="R182" s="22">
        <f t="shared" ref="R182" ca="1" si="615">R181*$E181</f>
        <v>-7644</v>
      </c>
      <c r="S182" s="22">
        <f t="shared" ref="S182" ca="1" si="616">S181*$E181</f>
        <v>507870182.40000004</v>
      </c>
      <c r="U182" s="17"/>
      <c r="V182" s="18"/>
      <c r="W182" s="19"/>
      <c r="X182" s="20"/>
    </row>
    <row r="183" spans="1:24">
      <c r="A183" s="212"/>
      <c r="B183" s="212"/>
      <c r="C183" s="206" t="s">
        <v>59</v>
      </c>
      <c r="D183" s="199" t="str">
        <f>VLOOKUP(C183,'仕掛品名寄（貼付）'!B:C,2,FALSE)</f>
        <v>HIA</v>
      </c>
      <c r="E183" s="199">
        <f>VLOOKUP(D183,'仕掛品標準単価一覧表（貼付）'!B:G,6,FALSE)</f>
        <v>1254</v>
      </c>
      <c r="F183" s="12" t="s">
        <v>246</v>
      </c>
      <c r="G183" s="13">
        <v>0</v>
      </c>
      <c r="H183" s="13">
        <f ca="1">SUMIF('1.3②原材料使用'!B:E,C183,'1.3②原材料使用'!E:E)</f>
        <v>0</v>
      </c>
      <c r="I183" s="13">
        <f ca="1">SUMIF('2.10原液別作業時間'!A:B,C183,'2.10原液別作業時間'!B:B)</f>
        <v>0</v>
      </c>
      <c r="J183" s="13">
        <f ca="1">SUM(G183:H183,K183)</f>
        <v>0</v>
      </c>
      <c r="K183" s="13">
        <f ca="1">SUMIF('2.2⑤純増減→前工程費'!B:E,C183,'2.2⑤純増減→前工程費'!E:E)</f>
        <v>0</v>
      </c>
      <c r="L183" s="13">
        <f ca="1">SUMIF('2.6完成品'!C:D,C183,'2.6完成品'!D:D)</f>
        <v>0</v>
      </c>
      <c r="M183" s="13">
        <f ca="1">SUMIF('2.3研究費'!D:E,C183,'2.3研究費'!E:E)</f>
        <v>0</v>
      </c>
      <c r="N183" s="13">
        <f ca="1">SUMIF('2.4販促費'!D:E,C183,'2.4販促費'!E:E)</f>
        <v>0</v>
      </c>
      <c r="O183" s="13">
        <f ca="1">SUMIF('2.5廃棄処分'!D:E,C183,'2.5廃棄処分'!E:E)</f>
        <v>0</v>
      </c>
      <c r="P183" s="13">
        <f ca="1">SUMIF('2.1④異種原液'!D:E,C183,'2.1④異種原液'!E:E)</f>
        <v>0</v>
      </c>
      <c r="Q183" s="14">
        <f ca="1">SUMIF('2.7製造部生産分'!D:I,C183,'2.7製造部生産分'!H:H)</f>
        <v>0</v>
      </c>
      <c r="R183" s="15">
        <f ca="1">-(G183+H183+K183-L183-M183-N183-O183-P183-Q183-S183)</f>
        <v>0</v>
      </c>
      <c r="S183" s="13">
        <f ca="1">SUMIF('2.9原液在庫'!B:H,C183,'2.9原液在庫'!H:H)</f>
        <v>0</v>
      </c>
      <c r="T183" s="16">
        <f ca="1">IFERROR(SUM(G184:K184)/(G183+H183+K183),0)</f>
        <v>0</v>
      </c>
      <c r="U183" s="17" t="str">
        <f>C183</f>
        <v>20HIA</v>
      </c>
      <c r="V183" s="18">
        <f ca="1">IF(ISERROR(SUM(G184:K184)/SUM(L183:Q183,S183)),0,SUM(G184:K184)/SUM(L183:Q183,S183))</f>
        <v>0</v>
      </c>
      <c r="W183" s="19">
        <f ca="1">V183</f>
        <v>0</v>
      </c>
      <c r="X183" s="20">
        <f ca="1">W183/1000</f>
        <v>0</v>
      </c>
    </row>
    <row r="184" spans="1:24">
      <c r="A184" s="212"/>
      <c r="B184" s="212"/>
      <c r="C184" s="199"/>
      <c r="D184" s="199"/>
      <c r="E184" s="199"/>
      <c r="F184" s="21" t="s">
        <v>247</v>
      </c>
      <c r="G184" s="22" t="s">
        <v>254</v>
      </c>
      <c r="H184" s="184"/>
      <c r="I184" s="23">
        <f ca="1">I183*労務費経費単価SC!D$7</f>
        <v>0</v>
      </c>
      <c r="J184" s="23">
        <f ca="1">J183*労務費経費単価SC!D$11</f>
        <v>0</v>
      </c>
      <c r="K184" s="22">
        <f ca="1">K183*$E183</f>
        <v>0</v>
      </c>
      <c r="L184" s="22">
        <f ca="1">L183*$E183</f>
        <v>0</v>
      </c>
      <c r="M184" s="22">
        <f t="shared" ref="M184" ca="1" si="617">M183*$E183</f>
        <v>0</v>
      </c>
      <c r="N184" s="22">
        <f t="shared" ref="N184" ca="1" si="618">N183*$E183</f>
        <v>0</v>
      </c>
      <c r="O184" s="22">
        <f t="shared" ref="O184" ca="1" si="619">O183*$E183</f>
        <v>0</v>
      </c>
      <c r="P184" s="22">
        <f t="shared" ref="P184" ca="1" si="620">P183*$E183</f>
        <v>0</v>
      </c>
      <c r="Q184" s="22">
        <f t="shared" ref="Q184" ca="1" si="621">Q183*$E183</f>
        <v>0</v>
      </c>
      <c r="R184" s="22">
        <f t="shared" ref="R184" ca="1" si="622">R183*$E183</f>
        <v>0</v>
      </c>
      <c r="S184" s="22">
        <f t="shared" ref="S184" ca="1" si="623">S183*$E183</f>
        <v>0</v>
      </c>
      <c r="U184" s="17"/>
      <c r="V184" s="18"/>
      <c r="W184" s="19"/>
      <c r="X184" s="20"/>
    </row>
    <row r="185" spans="1:24">
      <c r="A185" s="212"/>
      <c r="B185" s="212"/>
      <c r="C185" s="206" t="s">
        <v>60</v>
      </c>
      <c r="D185" s="199" t="str">
        <f>VLOOKUP(C185,'仕掛品名寄（貼付）'!B:C,2,FALSE)</f>
        <v>HIB</v>
      </c>
      <c r="E185" s="199">
        <f>VLOOKUP(D185,'仕掛品標準単価一覧表（貼付）'!B:G,6,FALSE)</f>
        <v>1284</v>
      </c>
      <c r="F185" s="12" t="s">
        <v>246</v>
      </c>
      <c r="G185" s="13">
        <v>0</v>
      </c>
      <c r="H185" s="13">
        <f ca="1">SUMIF('1.3②原材料使用'!B:E,C185,'1.3②原材料使用'!E:E)</f>
        <v>0</v>
      </c>
      <c r="I185" s="13">
        <f ca="1">SUMIF('2.10原液別作業時間'!A:B,C185,'2.10原液別作業時間'!B:B)</f>
        <v>0</v>
      </c>
      <c r="J185" s="13">
        <f ca="1">SUM(G185:H185,K185)</f>
        <v>0</v>
      </c>
      <c r="K185" s="13">
        <f ca="1">SUMIF('2.2⑤純増減→前工程費'!B:E,C185,'2.2⑤純増減→前工程費'!E:E)</f>
        <v>0</v>
      </c>
      <c r="L185" s="13">
        <f ca="1">SUMIF('2.6完成品'!C:D,C185,'2.6完成品'!D:D)</f>
        <v>0</v>
      </c>
      <c r="M185" s="13">
        <f ca="1">SUMIF('2.3研究費'!D:E,C185,'2.3研究費'!E:E)</f>
        <v>0</v>
      </c>
      <c r="N185" s="13">
        <f ca="1">SUMIF('2.4販促費'!D:E,C185,'2.4販促費'!E:E)</f>
        <v>0</v>
      </c>
      <c r="O185" s="13">
        <f ca="1">SUMIF('2.5廃棄処分'!D:E,C185,'2.5廃棄処分'!E:E)</f>
        <v>0</v>
      </c>
      <c r="P185" s="13">
        <f ca="1">SUMIF('2.1④異種原液'!D:E,C185,'2.1④異種原液'!E:E)</f>
        <v>0</v>
      </c>
      <c r="Q185" s="14">
        <f ca="1">SUMIF('2.7製造部生産分'!D:I,C185,'2.7製造部生産分'!H:H)</f>
        <v>0</v>
      </c>
      <c r="R185" s="15">
        <f ca="1">-(G185+H185+K185-L185-M185-N185-O185-P185-Q185-S185)</f>
        <v>0</v>
      </c>
      <c r="S185" s="13">
        <f ca="1">SUMIF('2.9原液在庫'!B:H,C185,'2.9原液在庫'!H:H)</f>
        <v>0</v>
      </c>
      <c r="T185" s="16">
        <f ca="1">IFERROR(SUM(G186:K186)/(G185+H185+K185),0)</f>
        <v>0</v>
      </c>
      <c r="U185" s="17" t="str">
        <f>C185</f>
        <v>20HIB</v>
      </c>
      <c r="V185" s="18">
        <f ca="1">IF(ISERROR(SUM(G186:K186)/SUM(L185:Q185,S185)),0,SUM(G186:K186)/SUM(L185:Q185,S185))</f>
        <v>0</v>
      </c>
      <c r="W185" s="19">
        <f ca="1">V185</f>
        <v>0</v>
      </c>
      <c r="X185" s="20">
        <f ca="1">W185/1000</f>
        <v>0</v>
      </c>
    </row>
    <row r="186" spans="1:24">
      <c r="A186" s="212"/>
      <c r="B186" s="212"/>
      <c r="C186" s="199"/>
      <c r="D186" s="199"/>
      <c r="E186" s="199"/>
      <c r="F186" s="21" t="s">
        <v>247</v>
      </c>
      <c r="G186" s="22" t="s">
        <v>254</v>
      </c>
      <c r="H186" s="184"/>
      <c r="I186" s="23">
        <f ca="1">I185*労務費経費単価SC!D$7</f>
        <v>0</v>
      </c>
      <c r="J186" s="23">
        <f ca="1">J185*労務費経費単価SC!D$11</f>
        <v>0</v>
      </c>
      <c r="K186" s="22">
        <f ca="1">K185*$E185</f>
        <v>0</v>
      </c>
      <c r="L186" s="22">
        <f ca="1">L185*$E185</f>
        <v>0</v>
      </c>
      <c r="M186" s="22">
        <f t="shared" ref="M186" ca="1" si="624">M185*$E185</f>
        <v>0</v>
      </c>
      <c r="N186" s="22">
        <f t="shared" ref="N186" ca="1" si="625">N185*$E185</f>
        <v>0</v>
      </c>
      <c r="O186" s="22">
        <f t="shared" ref="O186" ca="1" si="626">O185*$E185</f>
        <v>0</v>
      </c>
      <c r="P186" s="22">
        <f t="shared" ref="P186" ca="1" si="627">P185*$E185</f>
        <v>0</v>
      </c>
      <c r="Q186" s="22">
        <f t="shared" ref="Q186" ca="1" si="628">Q185*$E185</f>
        <v>0</v>
      </c>
      <c r="R186" s="22">
        <f t="shared" ref="R186" ca="1" si="629">R185*$E185</f>
        <v>0</v>
      </c>
      <c r="S186" s="22">
        <f t="shared" ref="S186" ca="1" si="630">S185*$E185</f>
        <v>0</v>
      </c>
      <c r="U186" s="17"/>
      <c r="V186" s="18"/>
      <c r="W186" s="19"/>
      <c r="X186" s="20"/>
    </row>
    <row r="187" spans="1:24">
      <c r="A187" s="212"/>
      <c r="B187" s="212"/>
      <c r="C187" s="206" t="s">
        <v>313</v>
      </c>
      <c r="D187" s="199" t="str">
        <f>VLOOKUP(C187,'仕掛品名寄（貼付）'!B:C,2,FALSE)</f>
        <v>HIB海</v>
      </c>
      <c r="E187" s="199">
        <f>VLOOKUP(D187,'仕掛品標準単価一覧表（貼付）'!B:G,6,FALSE)</f>
        <v>1314</v>
      </c>
      <c r="F187" s="12" t="s">
        <v>246</v>
      </c>
      <c r="G187" s="13">
        <v>0</v>
      </c>
      <c r="H187" s="13">
        <f ca="1">SUMIF('1.3②原材料使用'!B:E,C187,'1.3②原材料使用'!E:E)</f>
        <v>0</v>
      </c>
      <c r="I187" s="13">
        <f ca="1">SUMIF('2.10原液別作業時間'!A:B,C187,'2.10原液別作業時間'!B:B)</f>
        <v>0</v>
      </c>
      <c r="J187" s="13">
        <f ca="1">SUM(G187:H187,K187)</f>
        <v>0</v>
      </c>
      <c r="K187" s="13">
        <f ca="1">SUMIF('2.2⑤純増減→前工程費'!B:E,C187,'2.2⑤純増減→前工程費'!E:E)</f>
        <v>0</v>
      </c>
      <c r="L187" s="13">
        <f ca="1">SUMIF('2.6完成品'!C:D,C187,'2.6完成品'!D:D)</f>
        <v>0</v>
      </c>
      <c r="M187" s="13">
        <f ca="1">SUMIF('2.3研究費'!D:E,C187,'2.3研究費'!E:E)</f>
        <v>0</v>
      </c>
      <c r="N187" s="13">
        <f ca="1">SUMIF('2.4販促費'!D:E,C187,'2.4販促費'!E:E)</f>
        <v>0</v>
      </c>
      <c r="O187" s="13">
        <f ca="1">SUMIF('2.5廃棄処分'!D:E,C187,'2.5廃棄処分'!E:E)</f>
        <v>0</v>
      </c>
      <c r="P187" s="13">
        <f ca="1">SUMIF('2.1④異種原液'!D:E,C187,'2.1④異種原液'!E:E)</f>
        <v>0</v>
      </c>
      <c r="Q187" s="14">
        <f ca="1">SUMIF('2.7製造部生産分'!D:I,C187,'2.7製造部生産分'!H:H)</f>
        <v>0</v>
      </c>
      <c r="R187" s="15">
        <f ca="1">-(G187+H187+K187-L187-M187-N187-O187-P187-Q187-S187)</f>
        <v>0</v>
      </c>
      <c r="S187" s="13">
        <f ca="1">SUMIF('2.9原液在庫'!B:H,C187,'2.9原液在庫'!H:H)</f>
        <v>0</v>
      </c>
      <c r="T187" s="16">
        <f ca="1">IFERROR(SUM(G188:K188)/(G187+H187+K187),0)</f>
        <v>0</v>
      </c>
      <c r="U187" s="17" t="str">
        <f>C187</f>
        <v>20HIB海</v>
      </c>
      <c r="V187" s="18">
        <f ca="1">IF(ISERROR(SUM(G188:K188)/SUM(L187:Q187,S187)),0,SUM(G188:K188)/SUM(L187:Q187,S187))</f>
        <v>0</v>
      </c>
      <c r="W187" s="19">
        <f ca="1">V187</f>
        <v>0</v>
      </c>
      <c r="X187" s="20">
        <f ca="1">W187/1000</f>
        <v>0</v>
      </c>
    </row>
    <row r="188" spans="1:24">
      <c r="A188" s="212"/>
      <c r="B188" s="212"/>
      <c r="C188" s="199"/>
      <c r="D188" s="199"/>
      <c r="E188" s="199"/>
      <c r="F188" s="21" t="s">
        <v>247</v>
      </c>
      <c r="G188" s="22" t="s">
        <v>254</v>
      </c>
      <c r="H188" s="184"/>
      <c r="I188" s="23">
        <f ca="1">I187*労務費経費単価SC!D$7</f>
        <v>0</v>
      </c>
      <c r="J188" s="23">
        <f ca="1">J187*労務費経費単価SC!D$11</f>
        <v>0</v>
      </c>
      <c r="K188" s="22">
        <f ca="1">K187*$E187</f>
        <v>0</v>
      </c>
      <c r="L188" s="22">
        <f ca="1">L187*$E187</f>
        <v>0</v>
      </c>
      <c r="M188" s="22">
        <f t="shared" ref="M188" ca="1" si="631">M187*$E187</f>
        <v>0</v>
      </c>
      <c r="N188" s="22">
        <f t="shared" ref="N188" ca="1" si="632">N187*$E187</f>
        <v>0</v>
      </c>
      <c r="O188" s="22">
        <f t="shared" ref="O188" ca="1" si="633">O187*$E187</f>
        <v>0</v>
      </c>
      <c r="P188" s="22">
        <f t="shared" ref="P188" ca="1" si="634">P187*$E187</f>
        <v>0</v>
      </c>
      <c r="Q188" s="22">
        <f t="shared" ref="Q188" ca="1" si="635">Q187*$E187</f>
        <v>0</v>
      </c>
      <c r="R188" s="22">
        <f t="shared" ref="R188" ca="1" si="636">R187*$E187</f>
        <v>0</v>
      </c>
      <c r="S188" s="22">
        <f t="shared" ref="S188" ca="1" si="637">S187*$E187</f>
        <v>0</v>
      </c>
      <c r="U188" s="17"/>
      <c r="V188" s="18"/>
      <c r="W188" s="19"/>
      <c r="X188" s="20"/>
    </row>
    <row r="189" spans="1:24">
      <c r="A189" s="212"/>
      <c r="B189" s="212"/>
      <c r="C189" s="206" t="s">
        <v>61</v>
      </c>
      <c r="D189" s="199" t="str">
        <f>VLOOKUP(C189,'仕掛品名寄（貼付）'!B:C,2,FALSE)</f>
        <v>その他</v>
      </c>
      <c r="E189" s="199">
        <f>VLOOKUP(D189,'仕掛品標準単価一覧表（貼付）'!B:G,6,FALSE)</f>
        <v>1080</v>
      </c>
      <c r="F189" s="12" t="s">
        <v>246</v>
      </c>
      <c r="G189" s="13">
        <v>0</v>
      </c>
      <c r="H189" s="13">
        <f ca="1">SUMIF('1.3②原材料使用'!B:E,C189,'1.3②原材料使用'!E:E)</f>
        <v>0</v>
      </c>
      <c r="I189" s="13">
        <f ca="1">SUMIF('2.10原液別作業時間'!A:B,C189,'2.10原液別作業時間'!B:B)</f>
        <v>0</v>
      </c>
      <c r="J189" s="13">
        <f ca="1">SUM(G189:H189,K189)</f>
        <v>0</v>
      </c>
      <c r="K189" s="13">
        <f ca="1">SUMIF('2.2⑤純増減→前工程費'!B:E,C189,'2.2⑤純増減→前工程費'!E:E)</f>
        <v>0</v>
      </c>
      <c r="L189" s="13">
        <f ca="1">SUMIF('2.6完成品'!C:D,C189,'2.6完成品'!D:D)</f>
        <v>0</v>
      </c>
      <c r="M189" s="13">
        <f ca="1">SUMIF('2.3研究費'!D:E,C189,'2.3研究費'!E:E)</f>
        <v>0</v>
      </c>
      <c r="N189" s="13">
        <f ca="1">SUMIF('2.4販促費'!D:E,C189,'2.4販促費'!E:E)</f>
        <v>0</v>
      </c>
      <c r="O189" s="13">
        <f ca="1">SUMIF('2.5廃棄処分'!D:E,C189,'2.5廃棄処分'!E:E)</f>
        <v>0</v>
      </c>
      <c r="P189" s="13">
        <f ca="1">SUMIF('2.1④異種原液'!D:E,C189,'2.1④異種原液'!E:E)</f>
        <v>0</v>
      </c>
      <c r="Q189" s="14">
        <f ca="1">SUMIF('2.7製造部生産分'!D:I,C189,'2.7製造部生産分'!H:H)</f>
        <v>0</v>
      </c>
      <c r="R189" s="15">
        <f ca="1">-(G189+H189+K189-L189-M189-N189-O189-P189-Q189-S189)</f>
        <v>0</v>
      </c>
      <c r="S189" s="13">
        <f ca="1">SUMIF('2.9原液在庫'!B:H,C189,'2.9原液在庫'!H:H)</f>
        <v>0</v>
      </c>
      <c r="T189" s="16">
        <f ca="1">IFERROR(SUM(G190:K190)/(G189+H189+K189),0)</f>
        <v>0</v>
      </c>
      <c r="U189" s="17" t="str">
        <f>C189</f>
        <v>20HIｼ</v>
      </c>
      <c r="V189" s="18">
        <f ca="1">IF(ISERROR(SUM(G190:K190)/SUM(L189:Q189,S189)),0,SUM(G190:K190)/SUM(L189:Q189,S189))</f>
        <v>0</v>
      </c>
      <c r="W189" s="19">
        <f ca="1">V189</f>
        <v>0</v>
      </c>
      <c r="X189" s="20">
        <f ca="1">W189/1000</f>
        <v>0</v>
      </c>
    </row>
    <row r="190" spans="1:24">
      <c r="A190" s="212"/>
      <c r="B190" s="212"/>
      <c r="C190" s="199"/>
      <c r="D190" s="199"/>
      <c r="E190" s="199"/>
      <c r="F190" s="21" t="s">
        <v>247</v>
      </c>
      <c r="G190" s="22" t="s">
        <v>254</v>
      </c>
      <c r="H190" s="184"/>
      <c r="I190" s="23">
        <f ca="1">I189*労務費経費単価SC!D$7</f>
        <v>0</v>
      </c>
      <c r="J190" s="23">
        <f ca="1">J189*労務費経費単価SC!D$11</f>
        <v>0</v>
      </c>
      <c r="K190" s="22">
        <f ca="1">K189*$E189</f>
        <v>0</v>
      </c>
      <c r="L190" s="22">
        <f ca="1">L189*$E189</f>
        <v>0</v>
      </c>
      <c r="M190" s="22">
        <f t="shared" ref="M190" ca="1" si="638">M189*$E189</f>
        <v>0</v>
      </c>
      <c r="N190" s="22">
        <f t="shared" ref="N190" ca="1" si="639">N189*$E189</f>
        <v>0</v>
      </c>
      <c r="O190" s="22">
        <f t="shared" ref="O190" ca="1" si="640">O189*$E189</f>
        <v>0</v>
      </c>
      <c r="P190" s="22">
        <f t="shared" ref="P190" ca="1" si="641">P189*$E189</f>
        <v>0</v>
      </c>
      <c r="Q190" s="22">
        <f t="shared" ref="Q190" ca="1" si="642">Q189*$E189</f>
        <v>0</v>
      </c>
      <c r="R190" s="22">
        <f t="shared" ref="R190" ca="1" si="643">R189*$E189</f>
        <v>0</v>
      </c>
      <c r="S190" s="22">
        <f t="shared" ref="S190" ca="1" si="644">S189*$E189</f>
        <v>0</v>
      </c>
      <c r="U190" s="17"/>
      <c r="V190" s="18"/>
      <c r="W190" s="19"/>
      <c r="X190" s="20"/>
    </row>
    <row r="191" spans="1:24">
      <c r="A191" s="212"/>
      <c r="B191" s="212"/>
      <c r="C191" s="199" t="s">
        <v>62</v>
      </c>
      <c r="D191" s="199" t="str">
        <f>VLOOKUP(C191,'仕掛品名寄（貼付）'!B:C,2,FALSE)</f>
        <v>HIパ</v>
      </c>
      <c r="E191" s="199">
        <f>VLOOKUP(D191,'仕掛品標準単価一覧表（貼付）'!B:G,6,FALSE)</f>
        <v>1283</v>
      </c>
      <c r="F191" s="12" t="s">
        <v>246</v>
      </c>
      <c r="G191" s="13">
        <v>0</v>
      </c>
      <c r="H191" s="13">
        <f ca="1">SUMIF('1.3②原材料使用'!B:E,C191,'1.3②原材料使用'!E:E)</f>
        <v>0</v>
      </c>
      <c r="I191" s="13">
        <f ca="1">SUMIF('2.10原液別作業時間'!A:B,C191,'2.10原液別作業時間'!B:B)</f>
        <v>0</v>
      </c>
      <c r="J191" s="13">
        <f ca="1">SUM(G191:H191,K191)</f>
        <v>0</v>
      </c>
      <c r="K191" s="13">
        <f ca="1">SUMIF('2.2⑤純増減→前工程費'!B:E,C191,'2.2⑤純増減→前工程費'!E:E)</f>
        <v>0</v>
      </c>
      <c r="L191" s="13">
        <f ca="1">SUMIF('2.6完成品'!C:D,C191,'2.6完成品'!D:D)</f>
        <v>0</v>
      </c>
      <c r="M191" s="13">
        <f ca="1">SUMIF('2.3研究費'!D:E,C191,'2.3研究費'!E:E)</f>
        <v>0</v>
      </c>
      <c r="N191" s="13">
        <f ca="1">SUMIF('2.4販促費'!D:E,C191,'2.4販促費'!E:E)</f>
        <v>0</v>
      </c>
      <c r="O191" s="13">
        <f ca="1">SUMIF('2.5廃棄処分'!D:E,C191,'2.5廃棄処分'!E:E)</f>
        <v>0</v>
      </c>
      <c r="P191" s="13">
        <f ca="1">SUMIF('2.1④異種原液'!D:E,C191,'2.1④異種原液'!E:E)</f>
        <v>0</v>
      </c>
      <c r="Q191" s="14">
        <f ca="1">SUMIF('2.7製造部生産分'!D:I,C191,'2.7製造部生産分'!H:H)</f>
        <v>0</v>
      </c>
      <c r="R191" s="15">
        <f ca="1">-(G191+H191+K191-L191-M191-N191-O191-P191-Q191-S191)</f>
        <v>0</v>
      </c>
      <c r="S191" s="13">
        <f ca="1">SUMIF('2.9原液在庫'!B:H,C191,'2.9原液在庫'!H:H)</f>
        <v>0</v>
      </c>
      <c r="T191" s="16">
        <f ca="1">IFERROR(SUM(G192:K192)/(G191+H191+K191),0)</f>
        <v>0</v>
      </c>
      <c r="U191" s="17" t="str">
        <f>C191</f>
        <v>20HIﾊﾟ</v>
      </c>
      <c r="V191" s="18">
        <f ca="1">IF(ISERROR(SUM(G192:K192)/SUM(L191:Q191,S191)),0,SUM(G192:K192)/SUM(L191:Q191,S191))</f>
        <v>0</v>
      </c>
      <c r="W191" s="19">
        <f ca="1">V191</f>
        <v>0</v>
      </c>
      <c r="X191" s="20">
        <f ca="1">W191/1000</f>
        <v>0</v>
      </c>
    </row>
    <row r="192" spans="1:24">
      <c r="A192" s="212"/>
      <c r="B192" s="212"/>
      <c r="C192" s="199"/>
      <c r="D192" s="199"/>
      <c r="E192" s="199"/>
      <c r="F192" s="21" t="s">
        <v>247</v>
      </c>
      <c r="G192" s="22" t="s">
        <v>254</v>
      </c>
      <c r="H192" s="184"/>
      <c r="I192" s="23">
        <f ca="1">I191*労務費経費単価SC!D$7</f>
        <v>0</v>
      </c>
      <c r="J192" s="23">
        <f ca="1">J191*労務費経費単価SC!D$11</f>
        <v>0</v>
      </c>
      <c r="K192" s="22">
        <f ca="1">K191*$E191</f>
        <v>0</v>
      </c>
      <c r="L192" s="22">
        <f ca="1">L191*$E191</f>
        <v>0</v>
      </c>
      <c r="M192" s="22">
        <f t="shared" ref="M192" ca="1" si="645">M191*$E191</f>
        <v>0</v>
      </c>
      <c r="N192" s="22">
        <f t="shared" ref="N192" ca="1" si="646">N191*$E191</f>
        <v>0</v>
      </c>
      <c r="O192" s="22">
        <f t="shared" ref="O192" ca="1" si="647">O191*$E191</f>
        <v>0</v>
      </c>
      <c r="P192" s="22">
        <f t="shared" ref="P192" ca="1" si="648">P191*$E191</f>
        <v>0</v>
      </c>
      <c r="Q192" s="22">
        <f t="shared" ref="Q192" ca="1" si="649">Q191*$E191</f>
        <v>0</v>
      </c>
      <c r="R192" s="22">
        <f t="shared" ref="R192" ca="1" si="650">R191*$E191</f>
        <v>0</v>
      </c>
      <c r="S192" s="22">
        <f t="shared" ref="S192" ca="1" si="651">S191*$E191</f>
        <v>0</v>
      </c>
      <c r="U192" s="17"/>
      <c r="V192" s="18"/>
      <c r="W192" s="19"/>
      <c r="X192" s="20"/>
    </row>
    <row r="193" spans="1:24">
      <c r="A193" s="212"/>
      <c r="B193" s="212"/>
      <c r="C193" s="206" t="s">
        <v>314</v>
      </c>
      <c r="D193" s="199" t="str">
        <f>VLOOKUP(C193,'仕掛品名寄（貼付）'!B:C,2,FALSE)</f>
        <v>その他</v>
      </c>
      <c r="E193" s="199">
        <f>VLOOKUP(D193,'仕掛品標準単価一覧表（貼付）'!B:G,6,FALSE)</f>
        <v>1080</v>
      </c>
      <c r="F193" s="12" t="s">
        <v>246</v>
      </c>
      <c r="G193" s="13">
        <v>0</v>
      </c>
      <c r="H193" s="13">
        <f ca="1">SUMIF('1.3②原材料使用'!B:E,C193,'1.3②原材料使用'!E:E)</f>
        <v>0</v>
      </c>
      <c r="I193" s="13">
        <f ca="1">SUMIF('2.10原液別作業時間'!A:B,C193,'2.10原液別作業時間'!B:B)</f>
        <v>0</v>
      </c>
      <c r="J193" s="13">
        <f ca="1">SUM(G193:H193,K193)</f>
        <v>0</v>
      </c>
      <c r="K193" s="13">
        <f ca="1">SUMIF('2.2⑤純増減→前工程費'!B:E,C193,'2.2⑤純増減→前工程費'!E:E)</f>
        <v>0</v>
      </c>
      <c r="L193" s="13">
        <f ca="1">SUMIF('2.6完成品'!C:D,C193,'2.6完成品'!D:D)</f>
        <v>0</v>
      </c>
      <c r="M193" s="13">
        <f ca="1">SUMIF('2.3研究費'!D:E,C193,'2.3研究費'!E:E)</f>
        <v>0</v>
      </c>
      <c r="N193" s="13">
        <f ca="1">SUMIF('2.4販促費'!D:E,C193,'2.4販促費'!E:E)</f>
        <v>0</v>
      </c>
      <c r="O193" s="13">
        <f ca="1">SUMIF('2.5廃棄処分'!D:E,C193,'2.5廃棄処分'!E:E)</f>
        <v>0</v>
      </c>
      <c r="P193" s="13">
        <f ca="1">SUMIF('2.1④異種原液'!D:E,C193,'2.1④異種原液'!E:E)</f>
        <v>0</v>
      </c>
      <c r="Q193" s="14">
        <f ca="1">SUMIF('2.7製造部生産分'!D:I,C193,'2.7製造部生産分'!H:H)</f>
        <v>0</v>
      </c>
      <c r="R193" s="15">
        <f ca="1">-(G193+H193+K193-L193-M193-N193-O193-P193-Q193-S193)</f>
        <v>0</v>
      </c>
      <c r="S193" s="13">
        <f ca="1">SUMIF('2.9原液在庫'!B:H,C193,'2.9原液在庫'!H:H)</f>
        <v>0</v>
      </c>
      <c r="T193" s="16">
        <f ca="1">IFERROR(SUM(G194:K194)/(G193+H193+K193),0)</f>
        <v>0</v>
      </c>
      <c r="U193" s="17" t="str">
        <f>C193</f>
        <v>20HIﾊﾟ海</v>
      </c>
      <c r="V193" s="18">
        <f ca="1">IF(ISERROR(SUM(G194:K194)/SUM(L193:Q193,S193)),0,SUM(G194:K194)/SUM(L193:Q193,S193))</f>
        <v>0</v>
      </c>
      <c r="W193" s="19">
        <f ca="1">V193</f>
        <v>0</v>
      </c>
      <c r="X193" s="20">
        <f ca="1">W193/1000</f>
        <v>0</v>
      </c>
    </row>
    <row r="194" spans="1:24">
      <c r="A194" s="212"/>
      <c r="B194" s="212"/>
      <c r="C194" s="199"/>
      <c r="D194" s="199"/>
      <c r="E194" s="199"/>
      <c r="F194" s="21" t="s">
        <v>247</v>
      </c>
      <c r="G194" s="22" t="s">
        <v>254</v>
      </c>
      <c r="H194" s="184"/>
      <c r="I194" s="23">
        <f ca="1">I193*労務費経費単価SC!D$7</f>
        <v>0</v>
      </c>
      <c r="J194" s="23">
        <f ca="1">J193*労務費経費単価SC!D$11</f>
        <v>0</v>
      </c>
      <c r="K194" s="22">
        <f ca="1">K193*$E193</f>
        <v>0</v>
      </c>
      <c r="L194" s="22">
        <f ca="1">L193*$E193</f>
        <v>0</v>
      </c>
      <c r="M194" s="22">
        <f t="shared" ref="M194" ca="1" si="652">M193*$E193</f>
        <v>0</v>
      </c>
      <c r="N194" s="22">
        <f t="shared" ref="N194" ca="1" si="653">N193*$E193</f>
        <v>0</v>
      </c>
      <c r="O194" s="22">
        <f t="shared" ref="O194" ca="1" si="654">O193*$E193</f>
        <v>0</v>
      </c>
      <c r="P194" s="22">
        <f t="shared" ref="P194" ca="1" si="655">P193*$E193</f>
        <v>0</v>
      </c>
      <c r="Q194" s="22">
        <f t="shared" ref="Q194" ca="1" si="656">Q193*$E193</f>
        <v>0</v>
      </c>
      <c r="R194" s="22">
        <f t="shared" ref="R194" ca="1" si="657">R193*$E193</f>
        <v>0</v>
      </c>
      <c r="S194" s="22">
        <f t="shared" ref="S194" ca="1" si="658">S193*$E193</f>
        <v>0</v>
      </c>
      <c r="U194" s="17"/>
      <c r="V194" s="18"/>
      <c r="W194" s="19"/>
      <c r="X194" s="20"/>
    </row>
    <row r="195" spans="1:24">
      <c r="A195" s="212"/>
      <c r="B195" s="212"/>
      <c r="C195" s="206" t="s">
        <v>63</v>
      </c>
      <c r="D195" s="199" t="str">
        <f>VLOOKUP(C195,'仕掛品名寄（貼付）'!B:C,2,FALSE)</f>
        <v>その他</v>
      </c>
      <c r="E195" s="199">
        <f>VLOOKUP(D195,'仕掛品標準単価一覧表（貼付）'!B:G,6,FALSE)</f>
        <v>1080</v>
      </c>
      <c r="F195" s="12" t="s">
        <v>246</v>
      </c>
      <c r="G195" s="13">
        <v>0</v>
      </c>
      <c r="H195" s="13">
        <f ca="1">SUMIF('1.3②原材料使用'!B:E,C195,'1.3②原材料使用'!E:E)</f>
        <v>0</v>
      </c>
      <c r="I195" s="13">
        <f ca="1">SUMIF('2.10原液別作業時間'!A:B,C195,'2.10原液別作業時間'!B:B)</f>
        <v>0</v>
      </c>
      <c r="J195" s="13">
        <f ca="1">SUM(G195:H195,K195)</f>
        <v>0</v>
      </c>
      <c r="K195" s="13">
        <f ca="1">SUMIF('2.2⑤純増減→前工程費'!B:E,C195,'2.2⑤純増減→前工程費'!E:E)</f>
        <v>0</v>
      </c>
      <c r="L195" s="13">
        <f ca="1">SUMIF('2.6完成品'!C:D,C195,'2.6完成品'!D:D)</f>
        <v>0</v>
      </c>
      <c r="M195" s="13">
        <f ca="1">SUMIF('2.3研究費'!D:E,C195,'2.3研究費'!E:E)</f>
        <v>0</v>
      </c>
      <c r="N195" s="13">
        <f ca="1">SUMIF('2.4販促費'!D:E,C195,'2.4販促費'!E:E)</f>
        <v>0</v>
      </c>
      <c r="O195" s="13">
        <f ca="1">SUMIF('2.5廃棄処分'!D:E,C195,'2.5廃棄処分'!E:E)</f>
        <v>0</v>
      </c>
      <c r="P195" s="13">
        <f ca="1">SUMIF('2.1④異種原液'!D:E,C195,'2.1④異種原液'!E:E)</f>
        <v>0</v>
      </c>
      <c r="Q195" s="14">
        <f ca="1">SUMIF('2.7製造部生産分'!D:I,C195,'2.7製造部生産分'!H:H)</f>
        <v>0</v>
      </c>
      <c r="R195" s="15">
        <f ca="1">-(G195+H195+K195-L195-M195-N195-O195-P195-Q195-S195)</f>
        <v>0</v>
      </c>
      <c r="S195" s="13">
        <f ca="1">SUMIF('2.9原液在庫'!B:H,C195,'2.9原液在庫'!H:H)</f>
        <v>0</v>
      </c>
      <c r="T195" s="16">
        <f ca="1">IFERROR(SUM(G196:K196)/(G195+H195+K195),0)</f>
        <v>0</v>
      </c>
      <c r="U195" s="17" t="str">
        <f>C195</f>
        <v>20HI海</v>
      </c>
      <c r="V195" s="18">
        <f ca="1">IF(ISERROR(SUM(G196:K196)/SUM(L195:Q195,S195)),0,SUM(G196:K196)/SUM(L195:Q195,S195))</f>
        <v>0</v>
      </c>
      <c r="W195" s="19">
        <f ca="1">V195</f>
        <v>0</v>
      </c>
      <c r="X195" s="20">
        <f ca="1">W195/1000</f>
        <v>0</v>
      </c>
    </row>
    <row r="196" spans="1:24">
      <c r="A196" s="212"/>
      <c r="B196" s="212"/>
      <c r="C196" s="199"/>
      <c r="D196" s="199"/>
      <c r="E196" s="199"/>
      <c r="F196" s="21" t="s">
        <v>247</v>
      </c>
      <c r="G196" s="22" t="s">
        <v>254</v>
      </c>
      <c r="H196" s="184"/>
      <c r="I196" s="23">
        <f ca="1">I195*労務費経費単価SC!D$7</f>
        <v>0</v>
      </c>
      <c r="J196" s="23">
        <f ca="1">J195*労務費経費単価SC!D$11</f>
        <v>0</v>
      </c>
      <c r="K196" s="22">
        <f ca="1">K195*$E195</f>
        <v>0</v>
      </c>
      <c r="L196" s="22">
        <f ca="1">L195*$E195</f>
        <v>0</v>
      </c>
      <c r="M196" s="22">
        <f t="shared" ref="M196" ca="1" si="659">M195*$E195</f>
        <v>0</v>
      </c>
      <c r="N196" s="22">
        <f t="shared" ref="N196" ca="1" si="660">N195*$E195</f>
        <v>0</v>
      </c>
      <c r="O196" s="22">
        <f t="shared" ref="O196" ca="1" si="661">O195*$E195</f>
        <v>0</v>
      </c>
      <c r="P196" s="22">
        <f t="shared" ref="P196" ca="1" si="662">P195*$E195</f>
        <v>0</v>
      </c>
      <c r="Q196" s="22">
        <f t="shared" ref="Q196" ca="1" si="663">Q195*$E195</f>
        <v>0</v>
      </c>
      <c r="R196" s="22">
        <f t="shared" ref="R196" ca="1" si="664">R195*$E195</f>
        <v>0</v>
      </c>
      <c r="S196" s="22">
        <f t="shared" ref="S196" ca="1" si="665">S195*$E195</f>
        <v>0</v>
      </c>
      <c r="U196" s="17"/>
      <c r="V196" s="18"/>
      <c r="W196" s="19"/>
      <c r="X196" s="20"/>
    </row>
    <row r="197" spans="1:24">
      <c r="A197" s="212"/>
      <c r="B197" s="212"/>
      <c r="C197" s="199" t="s">
        <v>58</v>
      </c>
      <c r="D197" s="199" t="str">
        <f>VLOOKUP(C197,'仕掛品名寄（貼付）'!B:C,2,FALSE)</f>
        <v>RX</v>
      </c>
      <c r="E197" s="199">
        <f>VLOOKUP(D197,'仕掛品標準単価一覧表（貼付）'!B:G,6,FALSE)</f>
        <v>847</v>
      </c>
      <c r="F197" s="12" t="s">
        <v>246</v>
      </c>
      <c r="G197" s="13">
        <v>0</v>
      </c>
      <c r="H197" s="13">
        <f ca="1">SUMIF('1.3②原材料使用'!B:E,C197,'1.3②原材料使用'!E:E)</f>
        <v>0</v>
      </c>
      <c r="I197" s="13">
        <f ca="1">SUMIF('2.10原液別作業時間'!A:B,C197,'2.10原液別作業時間'!B:B)</f>
        <v>0</v>
      </c>
      <c r="J197" s="13">
        <f ca="1">SUM(G197:H197,K197)</f>
        <v>0</v>
      </c>
      <c r="K197" s="13">
        <f ca="1">SUMIF('2.2⑤純増減→前工程費'!B:E,C197,'2.2⑤純増減→前工程費'!E:E)</f>
        <v>0</v>
      </c>
      <c r="L197" s="13">
        <f ca="1">SUMIF('2.6完成品'!C:D,C197,'2.6完成品'!D:D)</f>
        <v>0</v>
      </c>
      <c r="M197" s="13">
        <f ca="1">SUMIF('2.3研究費'!D:E,C197,'2.3研究費'!E:E)</f>
        <v>0</v>
      </c>
      <c r="N197" s="13">
        <f ca="1">SUMIF('2.4販促費'!D:E,C197,'2.4販促費'!E:E)</f>
        <v>0</v>
      </c>
      <c r="O197" s="13">
        <f ca="1">SUMIF('2.5廃棄処分'!D:E,C197,'2.5廃棄処分'!E:E)</f>
        <v>0</v>
      </c>
      <c r="P197" s="13">
        <f ca="1">SUMIF('2.1④異種原液'!D:E,C197,'2.1④異種原液'!E:E)</f>
        <v>0</v>
      </c>
      <c r="Q197" s="14">
        <f ca="1">SUMIF('2.7製造部生産分'!D:I,C197,'2.7製造部生産分'!H:H)</f>
        <v>0</v>
      </c>
      <c r="R197" s="15">
        <f ca="1">-(G197+H197+K197-L197-M197-N197-O197-P197-Q197-S197)</f>
        <v>0</v>
      </c>
      <c r="S197" s="13">
        <f ca="1">SUMIF('2.9原液在庫'!B:H,C197,'2.9原液在庫'!H:H)</f>
        <v>0</v>
      </c>
      <c r="T197" s="16">
        <f ca="1">IFERROR(SUM(G198:K198)/(G197+H197+K197),0)</f>
        <v>0</v>
      </c>
      <c r="U197" s="17" t="str">
        <f>C197</f>
        <v>20RX</v>
      </c>
      <c r="V197" s="18">
        <f ca="1">IF(ISERROR(SUM(G198:K198)/SUM(L197:Q197,S197)),0,SUM(G198:K198)/SUM(L197:Q197,S197))</f>
        <v>0</v>
      </c>
      <c r="W197" s="19">
        <f ca="1">V197</f>
        <v>0</v>
      </c>
      <c r="X197" s="20">
        <f ca="1">W197/1000</f>
        <v>0</v>
      </c>
    </row>
    <row r="198" spans="1:24">
      <c r="A198" s="201"/>
      <c r="B198" s="201"/>
      <c r="C198" s="199"/>
      <c r="D198" s="199"/>
      <c r="E198" s="199"/>
      <c r="F198" s="21" t="s">
        <v>247</v>
      </c>
      <c r="G198" s="22" t="s">
        <v>254</v>
      </c>
      <c r="H198" s="184"/>
      <c r="I198" s="23">
        <f ca="1">I197*労務費経費単価SC!D$7</f>
        <v>0</v>
      </c>
      <c r="J198" s="23">
        <f ca="1">J197*労務費経費単価SC!D$11</f>
        <v>0</v>
      </c>
      <c r="K198" s="22">
        <f ca="1">K197*$E197</f>
        <v>0</v>
      </c>
      <c r="L198" s="22">
        <f ca="1">L197*$E197</f>
        <v>0</v>
      </c>
      <c r="M198" s="22">
        <f t="shared" ref="M198" ca="1" si="666">M197*$E197</f>
        <v>0</v>
      </c>
      <c r="N198" s="22">
        <f t="shared" ref="N198" ca="1" si="667">N197*$E197</f>
        <v>0</v>
      </c>
      <c r="O198" s="22">
        <f t="shared" ref="O198" ca="1" si="668">O197*$E197</f>
        <v>0</v>
      </c>
      <c r="P198" s="22">
        <f t="shared" ref="P198" ca="1" si="669">P197*$E197</f>
        <v>0</v>
      </c>
      <c r="Q198" s="22">
        <f t="shared" ref="Q198" ca="1" si="670">Q197*$E197</f>
        <v>0</v>
      </c>
      <c r="R198" s="22">
        <f t="shared" ref="R198" ca="1" si="671">R197*$E197</f>
        <v>0</v>
      </c>
      <c r="S198" s="22">
        <f t="shared" ref="S198" ca="1" si="672">S197*$E197</f>
        <v>0</v>
      </c>
      <c r="U198" s="17"/>
      <c r="V198" s="18"/>
      <c r="W198" s="19"/>
      <c r="X198" s="20"/>
    </row>
    <row r="199" spans="1:24">
      <c r="A199" s="199" t="s">
        <v>315</v>
      </c>
      <c r="B199" s="199">
        <v>21</v>
      </c>
      <c r="C199" s="199" t="s">
        <v>316</v>
      </c>
      <c r="D199" s="199" t="str">
        <f>VLOOKUP(C199,'仕掛品名寄（貼付）'!B:C,2,FALSE)</f>
        <v>その他</v>
      </c>
      <c r="E199" s="199">
        <f>VLOOKUP(D199,'仕掛品標準単価一覧表（貼付）'!B:G,6,FALSE)</f>
        <v>1080</v>
      </c>
      <c r="F199" s="12" t="s">
        <v>246</v>
      </c>
      <c r="G199" s="24">
        <v>0</v>
      </c>
      <c r="H199" s="13">
        <f ca="1">SUMIF('1.3②原材料使用'!B:E,C199,'1.3②原材料使用'!E:E)</f>
        <v>0</v>
      </c>
      <c r="I199" s="13">
        <f ca="1">SUMIF('2.10原液別作業時間'!A:B,C199,'2.10原液別作業時間'!B:B)</f>
        <v>0</v>
      </c>
      <c r="J199" s="13">
        <f ca="1">SUM(G199:H199,K199)</f>
        <v>0</v>
      </c>
      <c r="K199" s="13">
        <f ca="1">SUMIF('2.2⑤純増減→前工程費'!B:E,C199,'2.2⑤純増減→前工程費'!E:E)</f>
        <v>0</v>
      </c>
      <c r="L199" s="13">
        <f ca="1">SUMIF('2.6完成品'!C:D,C199,'2.6完成品'!D:D)</f>
        <v>0</v>
      </c>
      <c r="M199" s="13">
        <f ca="1">SUMIF('2.3研究費'!D:E,C199,'2.3研究費'!E:E)</f>
        <v>0</v>
      </c>
      <c r="N199" s="13">
        <f ca="1">SUMIF('2.4販促費'!D:E,C199,'2.4販促費'!E:E)</f>
        <v>0</v>
      </c>
      <c r="O199" s="13">
        <f ca="1">SUMIF('2.5廃棄処分'!D:E,C199,'2.5廃棄処分'!E:E)</f>
        <v>0</v>
      </c>
      <c r="P199" s="13">
        <f ca="1">SUMIF('2.1④異種原液'!D:E,C199,'2.1④異種原液'!E:E)</f>
        <v>0</v>
      </c>
      <c r="Q199" s="14">
        <f ca="1">SUMIF('2.7製造部生産分'!D:I,C199,'2.7製造部生産分'!H:H)</f>
        <v>0</v>
      </c>
      <c r="R199" s="15">
        <f ca="1">-(G199+H199+K199-L199-M199-N199-O199-P199-Q199-S199)</f>
        <v>0</v>
      </c>
      <c r="S199" s="13">
        <f ca="1">SUMIF('2.9原液在庫'!B:H,C199,'2.9原液在庫'!H:H)</f>
        <v>0</v>
      </c>
      <c r="T199" s="16">
        <f ca="1">IFERROR(SUM(G200:K200)/(G199+H199+K199),0)</f>
        <v>0</v>
      </c>
      <c r="U199" s="17" t="str">
        <f>C199</f>
        <v>21Rﾊﾟ</v>
      </c>
      <c r="V199" s="18">
        <f ca="1">IF(ISERROR(SUM(G200:K200)/SUM(L199:Q199,S199)),0,SUM(G200:K200)/SUM(L199:Q199,S199))</f>
        <v>0</v>
      </c>
      <c r="W199" s="19">
        <f ca="1">V199</f>
        <v>0</v>
      </c>
      <c r="X199" s="20">
        <f ca="1">W199/1000</f>
        <v>0</v>
      </c>
    </row>
    <row r="200" spans="1:24">
      <c r="A200" s="199"/>
      <c r="B200" s="199"/>
      <c r="C200" s="199"/>
      <c r="D200" s="199"/>
      <c r="E200" s="199"/>
      <c r="F200" s="21" t="s">
        <v>247</v>
      </c>
      <c r="G200" s="22">
        <v>0</v>
      </c>
      <c r="H200" s="184"/>
      <c r="I200" s="23">
        <f ca="1">I199*労務費経費単価SC!D$7</f>
        <v>0</v>
      </c>
      <c r="J200" s="23">
        <f ca="1">J199*労務費経費単価SC!D$11</f>
        <v>0</v>
      </c>
      <c r="K200" s="22">
        <f ca="1">K199*$E199</f>
        <v>0</v>
      </c>
      <c r="L200" s="22">
        <f ca="1">L199*$E199</f>
        <v>0</v>
      </c>
      <c r="M200" s="22">
        <f t="shared" ref="M200" ca="1" si="673">M199*$E199</f>
        <v>0</v>
      </c>
      <c r="N200" s="22">
        <f t="shared" ref="N200" ca="1" si="674">N199*$E199</f>
        <v>0</v>
      </c>
      <c r="O200" s="22">
        <f t="shared" ref="O200" ca="1" si="675">O199*$E199</f>
        <v>0</v>
      </c>
      <c r="P200" s="22">
        <f t="shared" ref="P200" ca="1" si="676">P199*$E199</f>
        <v>0</v>
      </c>
      <c r="Q200" s="22">
        <f t="shared" ref="Q200" ca="1" si="677">Q199*$E199</f>
        <v>0</v>
      </c>
      <c r="R200" s="22">
        <f t="shared" ref="R200" ca="1" si="678">R199*$E199</f>
        <v>0</v>
      </c>
      <c r="S200" s="22">
        <f t="shared" ref="S200" ca="1" si="679">S199*$E199</f>
        <v>0</v>
      </c>
      <c r="U200" s="17"/>
      <c r="V200" s="18"/>
      <c r="W200" s="19"/>
      <c r="X200" s="20"/>
    </row>
    <row r="201" spans="1:24">
      <c r="A201" s="199"/>
      <c r="B201" s="199"/>
      <c r="C201" s="199" t="s">
        <v>317</v>
      </c>
      <c r="D201" s="199" t="str">
        <f>VLOOKUP(C201,'仕掛品名寄（貼付）'!B:C,2,FALSE)</f>
        <v>HI</v>
      </c>
      <c r="E201" s="199">
        <f>VLOOKUP(D201,'仕掛品標準単価一覧表（貼付）'!B:G,6,FALSE)</f>
        <v>1176</v>
      </c>
      <c r="F201" s="12" t="s">
        <v>246</v>
      </c>
      <c r="G201" s="13">
        <v>32624</v>
      </c>
      <c r="H201" s="13">
        <f ca="1">SUMIF('1.3②原材料使用'!B:E,C201,'1.3②原材料使用'!E:E)</f>
        <v>0</v>
      </c>
      <c r="I201" s="13">
        <f ca="1">SUMIF('2.10原液別作業時間'!A:B,C201,'2.10原液別作業時間'!B:B)</f>
        <v>0</v>
      </c>
      <c r="J201" s="13">
        <f ca="1">SUM(G201:H201,K201)</f>
        <v>32624</v>
      </c>
      <c r="K201" s="13">
        <f ca="1">SUMIF('2.2⑤純増減→前工程費'!B:E,C201,'2.2⑤純増減→前工程費'!E:E)</f>
        <v>0</v>
      </c>
      <c r="L201" s="13">
        <f ca="1">SUMIF('2.6完成品'!C:D,C201,'2.6完成品'!D:D)</f>
        <v>0</v>
      </c>
      <c r="M201" s="13">
        <f ca="1">SUMIF('2.3研究費'!D:E,C201,'2.3研究費'!E:E)</f>
        <v>0</v>
      </c>
      <c r="N201" s="13">
        <f ca="1">SUMIF('2.4販促費'!D:E,C201,'2.4販促費'!E:E)</f>
        <v>0</v>
      </c>
      <c r="O201" s="13">
        <f ca="1">SUMIF('2.5廃棄処分'!D:E,C201,'2.5廃棄処分'!E:E)</f>
        <v>0</v>
      </c>
      <c r="P201" s="13">
        <f ca="1">SUMIF('2.1④異種原液'!D:E,C201,'2.1④異種原液'!E:E)</f>
        <v>0</v>
      </c>
      <c r="Q201" s="14">
        <f ca="1">SUMIF('2.7製造部生産分'!D:I,C201,'2.7製造部生産分'!H:H)</f>
        <v>0</v>
      </c>
      <c r="R201" s="15">
        <f ca="1">-(G201+H201+K201-L201-M201-N201-O201-P201-Q201-S201)</f>
        <v>0</v>
      </c>
      <c r="S201" s="13">
        <f ca="1">SUMIF('2.9原液在庫'!B:H,C201,'2.9原液在庫'!H:H)</f>
        <v>32624</v>
      </c>
      <c r="T201" s="16">
        <f ca="1">IFERROR(SUM(G202:K202)/(G201+H201+K201),0)</f>
        <v>1134.2736553524621</v>
      </c>
      <c r="U201" s="17" t="str">
        <f>C201</f>
        <v>21HI</v>
      </c>
      <c r="V201" s="18">
        <f ca="1">IF(ISERROR(SUM(G202:K202)/SUM(L201:Q201,S201)),0,SUM(G202:K202)/SUM(L201:Q201,S201))</f>
        <v>1134.2736553524621</v>
      </c>
      <c r="W201" s="19">
        <f ca="1">V201</f>
        <v>1134.2736553524621</v>
      </c>
      <c r="X201" s="20">
        <f ca="1">W201/1000</f>
        <v>1.1342736553524622</v>
      </c>
    </row>
    <row r="202" spans="1:24">
      <c r="A202" s="199"/>
      <c r="B202" s="199"/>
      <c r="C202" s="199"/>
      <c r="D202" s="199"/>
      <c r="E202" s="199"/>
      <c r="F202" s="21" t="s">
        <v>247</v>
      </c>
      <c r="G202" s="22">
        <v>36025823.732218727</v>
      </c>
      <c r="H202" s="184"/>
      <c r="I202" s="23">
        <f ca="1">I201*労務費経費単価SC!D$7</f>
        <v>0</v>
      </c>
      <c r="J202" s="23">
        <f ca="1">J201*労務費経費単価SC!D$11</f>
        <v>978720</v>
      </c>
      <c r="K202" s="22">
        <f ca="1">K201*$E201</f>
        <v>0</v>
      </c>
      <c r="L202" s="22">
        <f ca="1">L201*$E201</f>
        <v>0</v>
      </c>
      <c r="M202" s="22">
        <f t="shared" ref="M202" ca="1" si="680">M201*$E201</f>
        <v>0</v>
      </c>
      <c r="N202" s="22">
        <f t="shared" ref="N202" ca="1" si="681">N201*$E201</f>
        <v>0</v>
      </c>
      <c r="O202" s="22">
        <f t="shared" ref="O202" ca="1" si="682">O201*$E201</f>
        <v>0</v>
      </c>
      <c r="P202" s="22">
        <f t="shared" ref="P202" ca="1" si="683">P201*$E201</f>
        <v>0</v>
      </c>
      <c r="Q202" s="22">
        <f t="shared" ref="Q202" ca="1" si="684">Q201*$E201</f>
        <v>0</v>
      </c>
      <c r="R202" s="22">
        <f t="shared" ref="R202" ca="1" si="685">R201*$E201</f>
        <v>0</v>
      </c>
      <c r="S202" s="22">
        <f t="shared" ref="S202" ca="1" si="686">S201*$E201</f>
        <v>38365824</v>
      </c>
      <c r="U202" s="17"/>
      <c r="V202" s="18"/>
      <c r="W202" s="19"/>
      <c r="X202" s="20"/>
    </row>
    <row r="203" spans="1:24">
      <c r="A203" s="199"/>
      <c r="B203" s="199"/>
      <c r="C203" s="200" t="s">
        <v>66</v>
      </c>
      <c r="D203" s="199" t="str">
        <f>VLOOKUP(C203,'仕掛品名寄（貼付）'!B:C,2,FALSE)</f>
        <v>その他</v>
      </c>
      <c r="E203" s="199">
        <f>VLOOKUP(D203,'仕掛品標準単価一覧表（貼付）'!B:G,6,FALSE)</f>
        <v>1080</v>
      </c>
      <c r="F203" s="12" t="s">
        <v>246</v>
      </c>
      <c r="G203" s="24">
        <v>11249.000000000065</v>
      </c>
      <c r="H203" s="13">
        <f ca="1">SUMIF('1.3②原材料使用'!B:E,C203,'1.3②原材料使用'!E:E)</f>
        <v>0</v>
      </c>
      <c r="I203" s="13">
        <f ca="1">SUMIF('2.10原液別作業時間'!A:B,C203,'2.10原液別作業時間'!B:B)</f>
        <v>1740</v>
      </c>
      <c r="J203" s="13">
        <f ca="1">SUM(G203:H203,K203)</f>
        <v>11243.300000000065</v>
      </c>
      <c r="K203" s="13">
        <f ca="1">SUMIF('2.2⑤純増減→前工程費'!B:E,C203,'2.2⑤純増減→前工程費'!E:E)</f>
        <v>-5.7000000000007276</v>
      </c>
      <c r="L203" s="13">
        <f ca="1">SUMIF('2.6完成品'!C:D,C203,'2.6完成品'!D:D)</f>
        <v>0</v>
      </c>
      <c r="M203" s="13">
        <f ca="1">SUMIF('2.3研究費'!D:E,C203,'2.3研究費'!E:E)</f>
        <v>0</v>
      </c>
      <c r="N203" s="13">
        <f ca="1">SUMIF('2.4販促費'!D:E,C203,'2.4販促費'!E:E)</f>
        <v>5</v>
      </c>
      <c r="O203" s="13">
        <f ca="1">SUMIF('2.5廃棄処分'!D:E,C203,'2.5廃棄処分'!E:E)</f>
        <v>0</v>
      </c>
      <c r="P203" s="13">
        <f ca="1">SUMIF('2.1④異種原液'!D:E,C203,'2.1④異種原液'!E:E)</f>
        <v>0</v>
      </c>
      <c r="Q203" s="14">
        <f ca="1">SUMIF('2.7製造部生産分'!D:I,C203,'2.7製造部生産分'!H:H)</f>
        <v>0</v>
      </c>
      <c r="R203" s="15">
        <f ca="1">-(G203+H203+K203-L203-M203-N203-O203-P203-Q203-S203)</f>
        <v>-0.30000000002837623</v>
      </c>
      <c r="S203" s="13">
        <f ca="1">SUMIF('2.9原液在庫'!B:H,C203,'2.9原液在庫'!H:H)</f>
        <v>11238.000000000036</v>
      </c>
      <c r="T203" s="16">
        <f ca="1">IFERROR(SUM(G204:K204)/(G203+H203+K203),0)</f>
        <v>1332.4679881275902</v>
      </c>
      <c r="U203" s="17" t="str">
        <f>C203</f>
        <v>21HI海</v>
      </c>
      <c r="V203" s="18">
        <f ca="1">IF(ISERROR(SUM(G204:K204)/SUM(L203:Q203,S203)),0,SUM(G204:K204)/SUM(L203:Q203,S203))</f>
        <v>1332.5035427301407</v>
      </c>
      <c r="W203" s="19">
        <f ca="1">V203</f>
        <v>1332.5035427301407</v>
      </c>
      <c r="X203" s="20">
        <f ca="1">W203/1000</f>
        <v>1.3325035427301406</v>
      </c>
    </row>
    <row r="204" spans="1:24">
      <c r="A204" s="199"/>
      <c r="B204" s="199"/>
      <c r="C204" s="201"/>
      <c r="D204" s="199"/>
      <c r="E204" s="199"/>
      <c r="F204" s="21" t="s">
        <v>247</v>
      </c>
      <c r="G204" s="22">
        <v>13849794.330915019</v>
      </c>
      <c r="H204" s="184"/>
      <c r="I204" s="23">
        <f ca="1">I203*労務費経費単価SC!D$7</f>
        <v>800400</v>
      </c>
      <c r="J204" s="23">
        <f ca="1">J203*労務費経費単価SC!D$11</f>
        <v>337299.00000000192</v>
      </c>
      <c r="K204" s="22">
        <f ca="1">K203*$E203</f>
        <v>-6156.0000000007858</v>
      </c>
      <c r="L204" s="22">
        <f ca="1">L203*$E203</f>
        <v>0</v>
      </c>
      <c r="M204" s="22">
        <f t="shared" ref="M204" ca="1" si="687">M203*$E203</f>
        <v>0</v>
      </c>
      <c r="N204" s="22">
        <f t="shared" ref="N204" ca="1" si="688">N203*$E203</f>
        <v>5400</v>
      </c>
      <c r="O204" s="22">
        <f t="shared" ref="O204" ca="1" si="689">O203*$E203</f>
        <v>0</v>
      </c>
      <c r="P204" s="22">
        <f t="shared" ref="P204" ca="1" si="690">P203*$E203</f>
        <v>0</v>
      </c>
      <c r="Q204" s="22">
        <f t="shared" ref="Q204" ca="1" si="691">Q203*$E203</f>
        <v>0</v>
      </c>
      <c r="R204" s="22">
        <f t="shared" ref="R204" ca="1" si="692">R203*$E203</f>
        <v>-324.00000003064633</v>
      </c>
      <c r="S204" s="22">
        <f t="shared" ref="S204" ca="1" si="693">S203*$E203</f>
        <v>12137040.000000039</v>
      </c>
      <c r="U204" s="17"/>
      <c r="V204" s="18"/>
      <c r="W204" s="19"/>
      <c r="X204" s="20"/>
    </row>
    <row r="205" spans="1:24">
      <c r="A205" s="199"/>
      <c r="B205" s="199"/>
      <c r="C205" s="200" t="s">
        <v>318</v>
      </c>
      <c r="D205" s="199" t="str">
        <f>VLOOKUP(C205,'仕掛品名寄（貼付）'!B:C,2,FALSE)</f>
        <v>HIB海</v>
      </c>
      <c r="E205" s="199">
        <f>VLOOKUP(D205,'仕掛品標準単価一覧表（貼付）'!B:G,6,FALSE)</f>
        <v>1314</v>
      </c>
      <c r="F205" s="12" t="s">
        <v>246</v>
      </c>
      <c r="G205" s="24">
        <v>12036</v>
      </c>
      <c r="H205" s="13">
        <f ca="1">SUMIF('1.3②原材料使用'!B:E,C205,'1.3②原材料使用'!E:E)</f>
        <v>0</v>
      </c>
      <c r="I205" s="13">
        <f ca="1">SUMIF('2.10原液別作業時間'!A:B,C205,'2.10原液別作業時間'!B:B)</f>
        <v>0</v>
      </c>
      <c r="J205" s="13">
        <f ca="1">SUM(G205:H205,K205)</f>
        <v>12036</v>
      </c>
      <c r="K205" s="13">
        <f ca="1">SUMIF('2.2⑤純増減→前工程費'!B:E,C205,'2.2⑤純増減→前工程費'!E:E)</f>
        <v>0</v>
      </c>
      <c r="L205" s="13">
        <f ca="1">SUMIF('2.6完成品'!C:D,C205,'2.6完成品'!D:D)</f>
        <v>0</v>
      </c>
      <c r="M205" s="13">
        <f ca="1">SUMIF('2.3研究費'!D:E,C205,'2.3研究費'!E:E)</f>
        <v>0</v>
      </c>
      <c r="N205" s="13">
        <f ca="1">SUMIF('2.4販促費'!D:E,C205,'2.4販促費'!E:E)</f>
        <v>0</v>
      </c>
      <c r="O205" s="13">
        <f ca="1">SUMIF('2.5廃棄処分'!D:E,C205,'2.5廃棄処分'!E:E)</f>
        <v>0</v>
      </c>
      <c r="P205" s="13">
        <f ca="1">SUMIF('2.1④異種原液'!D:E,C205,'2.1④異種原液'!E:E)</f>
        <v>12030.5</v>
      </c>
      <c r="Q205" s="14">
        <f ca="1">SUMIF('2.7製造部生産分'!D:I,C205,'2.7製造部生産分'!H:H)</f>
        <v>0</v>
      </c>
      <c r="R205" s="15">
        <f ca="1">-(G205+H205+K205-L205-M205-N205-O205-P205-Q205-S205)</f>
        <v>-5.5</v>
      </c>
      <c r="S205" s="13">
        <f ca="1">SUMIF('2.9原液在庫'!B:H,C205,'2.9原液在庫'!H:H)</f>
        <v>0</v>
      </c>
      <c r="T205" s="16">
        <f ca="1">IFERROR(SUM(G206:K206)/(G205+H205+K205),0)</f>
        <v>1589.3498881735309</v>
      </c>
      <c r="U205" s="17" t="str">
        <f>C205</f>
        <v>21HIB海</v>
      </c>
      <c r="V205" s="18">
        <f ca="1">IF(ISERROR(SUM(G206:K206)/SUM(L205:Q205,S205)),0,SUM(G206:K206)/SUM(L205:Q205,S205))</f>
        <v>1590.0764934172826</v>
      </c>
      <c r="W205" s="19">
        <f ca="1">V205</f>
        <v>1590.0764934172826</v>
      </c>
      <c r="X205" s="20">
        <f ca="1">W205/1000</f>
        <v>1.5900764934172826</v>
      </c>
    </row>
    <row r="206" spans="1:24">
      <c r="A206" s="199"/>
      <c r="B206" s="199"/>
      <c r="C206" s="201"/>
      <c r="D206" s="199"/>
      <c r="E206" s="199"/>
      <c r="F206" s="21" t="s">
        <v>247</v>
      </c>
      <c r="G206" s="22">
        <v>18768335.254056618</v>
      </c>
      <c r="H206" s="184"/>
      <c r="I206" s="23">
        <f ca="1">I205*労務費経費単価SC!D$7</f>
        <v>0</v>
      </c>
      <c r="J206" s="23">
        <f ca="1">J205*労務費経費単価SC!D$11</f>
        <v>361080</v>
      </c>
      <c r="K206" s="22">
        <f ca="1">K205*$E205</f>
        <v>0</v>
      </c>
      <c r="L206" s="22">
        <f ca="1">L205*$E205</f>
        <v>0</v>
      </c>
      <c r="M206" s="22">
        <f t="shared" ref="M206" ca="1" si="694">M205*$E205</f>
        <v>0</v>
      </c>
      <c r="N206" s="22">
        <f t="shared" ref="N206" ca="1" si="695">N205*$E205</f>
        <v>0</v>
      </c>
      <c r="O206" s="22">
        <f t="shared" ref="O206" ca="1" si="696">O205*$E205</f>
        <v>0</v>
      </c>
      <c r="P206" s="22">
        <f t="shared" ref="P206" ca="1" si="697">P205*$E205</f>
        <v>15808077</v>
      </c>
      <c r="Q206" s="22">
        <f t="shared" ref="Q206" ca="1" si="698">Q205*$E205</f>
        <v>0</v>
      </c>
      <c r="R206" s="22">
        <f t="shared" ref="R206" ca="1" si="699">R205*$E205</f>
        <v>-7227</v>
      </c>
      <c r="S206" s="22">
        <f t="shared" ref="S206" ca="1" si="700">S205*$E205</f>
        <v>0</v>
      </c>
      <c r="U206" s="17"/>
      <c r="V206" s="18"/>
      <c r="W206" s="19"/>
      <c r="X206" s="20"/>
    </row>
    <row r="207" spans="1:24">
      <c r="A207" s="199"/>
      <c r="B207" s="199"/>
      <c r="C207" s="199" t="s">
        <v>67</v>
      </c>
      <c r="D207" s="199" t="str">
        <f>VLOOKUP(C207,'仕掛品名寄（貼付）'!B:C,2,FALSE)</f>
        <v>HIパ</v>
      </c>
      <c r="E207" s="199">
        <f>VLOOKUP(D207,'仕掛品標準単価一覧表（貼付）'!B:G,6,FALSE)</f>
        <v>1283</v>
      </c>
      <c r="F207" s="12" t="s">
        <v>246</v>
      </c>
      <c r="G207" s="13">
        <v>377.5</v>
      </c>
      <c r="H207" s="13">
        <f ca="1">SUMIF('1.3②原材料使用'!B:E,C207,'1.3②原材料使用'!E:E)</f>
        <v>0</v>
      </c>
      <c r="I207" s="13">
        <f ca="1">SUMIF('2.10原液別作業時間'!A:B,C207,'2.10原液別作業時間'!B:B)</f>
        <v>0</v>
      </c>
      <c r="J207" s="13">
        <f ca="1">SUM(G207:H207,K207)</f>
        <v>377.5</v>
      </c>
      <c r="K207" s="13">
        <f ca="1">SUMIF('2.2⑤純増減→前工程費'!B:E,C207,'2.2⑤純増減→前工程費'!E:E)</f>
        <v>0</v>
      </c>
      <c r="L207" s="13">
        <f ca="1">SUMIF('2.6完成品'!C:D,C207,'2.6完成品'!D:D)</f>
        <v>0</v>
      </c>
      <c r="M207" s="13">
        <f ca="1">SUMIF('2.3研究費'!D:E,C207,'2.3研究費'!E:E)</f>
        <v>0</v>
      </c>
      <c r="N207" s="13">
        <f ca="1">SUMIF('2.4販促費'!D:E,C207,'2.4販促費'!E:E)</f>
        <v>0</v>
      </c>
      <c r="O207" s="13">
        <f ca="1">SUMIF('2.5廃棄処分'!D:E,C207,'2.5廃棄処分'!E:E)</f>
        <v>0</v>
      </c>
      <c r="P207" s="13">
        <f ca="1">SUMIF('2.1④異種原液'!D:E,C207,'2.1④異種原液'!E:E)</f>
        <v>0</v>
      </c>
      <c r="Q207" s="14">
        <f ca="1">SUMIF('2.7製造部生産分'!D:I,C207,'2.7製造部生産分'!H:H)</f>
        <v>0</v>
      </c>
      <c r="R207" s="15">
        <f ca="1">-(G207+H207+K207-L207-M207-N207-O207-P207-Q207-S207)</f>
        <v>-17.5</v>
      </c>
      <c r="S207" s="13">
        <f ca="1">SUMIF('2.9原液在庫'!B:H,C207,'2.9原液在庫'!H:H)</f>
        <v>360</v>
      </c>
      <c r="T207" s="16">
        <f ca="1">IFERROR(SUM(G208:K208)/(G207+H207+K207),0)</f>
        <v>1265.3914298159007</v>
      </c>
      <c r="U207" s="17" t="str">
        <f>C207</f>
        <v>21HIﾊﾟ</v>
      </c>
      <c r="V207" s="18">
        <f ca="1">IF(ISERROR(SUM(G208:K208)/SUM(L207:Q207,S207)),0,SUM(G208:K208)/SUM(L207:Q207,S207))</f>
        <v>1326.9035132097292</v>
      </c>
      <c r="W207" s="19">
        <f ca="1">V207</f>
        <v>1326.9035132097292</v>
      </c>
      <c r="X207" s="20">
        <f ca="1">W207/1000</f>
        <v>1.3269035132097293</v>
      </c>
    </row>
    <row r="208" spans="1:24">
      <c r="A208" s="199"/>
      <c r="B208" s="199"/>
      <c r="C208" s="199"/>
      <c r="D208" s="199"/>
      <c r="E208" s="199"/>
      <c r="F208" s="21" t="s">
        <v>247</v>
      </c>
      <c r="G208" s="22">
        <v>466360.26475550252</v>
      </c>
      <c r="H208" s="184"/>
      <c r="I208" s="23">
        <f ca="1">I207*労務費経費単価SC!D$7</f>
        <v>0</v>
      </c>
      <c r="J208" s="23">
        <f ca="1">J207*労務費経費単価SC!D$11</f>
        <v>11325</v>
      </c>
      <c r="K208" s="22">
        <f ca="1">K207*$E207</f>
        <v>0</v>
      </c>
      <c r="L208" s="22">
        <f ca="1">L207*$E207</f>
        <v>0</v>
      </c>
      <c r="M208" s="22">
        <f t="shared" ref="M208" ca="1" si="701">M207*$E207</f>
        <v>0</v>
      </c>
      <c r="N208" s="22">
        <f t="shared" ref="N208" ca="1" si="702">N207*$E207</f>
        <v>0</v>
      </c>
      <c r="O208" s="22">
        <f t="shared" ref="O208" ca="1" si="703">O207*$E207</f>
        <v>0</v>
      </c>
      <c r="P208" s="22">
        <f t="shared" ref="P208" ca="1" si="704">P207*$E207</f>
        <v>0</v>
      </c>
      <c r="Q208" s="22">
        <f t="shared" ref="Q208" ca="1" si="705">Q207*$E207</f>
        <v>0</v>
      </c>
      <c r="R208" s="22">
        <f t="shared" ref="R208" ca="1" si="706">R207*$E207</f>
        <v>-22452.5</v>
      </c>
      <c r="S208" s="22">
        <f t="shared" ref="S208" ca="1" si="707">S207*$E207</f>
        <v>461880</v>
      </c>
      <c r="U208" s="17"/>
      <c r="V208" s="18"/>
      <c r="W208" s="19"/>
      <c r="X208" s="20"/>
    </row>
    <row r="209" spans="1:24">
      <c r="A209" s="211" t="s">
        <v>319</v>
      </c>
      <c r="B209" s="211">
        <v>22</v>
      </c>
      <c r="C209" s="199" t="s">
        <v>320</v>
      </c>
      <c r="D209" s="199" t="str">
        <f>VLOOKUP(C209,'仕掛品名寄（貼付）'!B:C,2,FALSE)</f>
        <v>R</v>
      </c>
      <c r="E209" s="199">
        <f>VLOOKUP(D209,'仕掛品標準単価一覧表（貼付）'!B:G,6,FALSE)</f>
        <v>908</v>
      </c>
      <c r="F209" s="12" t="s">
        <v>246</v>
      </c>
      <c r="G209" s="24">
        <v>551.5</v>
      </c>
      <c r="H209" s="13">
        <f ca="1">SUMIF('1.3②原材料使用'!B:E,C209,'1.3②原材料使用'!E:E)</f>
        <v>0</v>
      </c>
      <c r="I209" s="13">
        <f ca="1">SUMIF('2.10原液別作業時間'!A:B,C209,'2.10原液別作業時間'!B:B)</f>
        <v>0</v>
      </c>
      <c r="J209" s="13">
        <f ca="1">SUM(G209:H209,K209)</f>
        <v>551.5</v>
      </c>
      <c r="K209" s="13">
        <f ca="1">SUMIF('2.2⑤純増減→前工程費'!B:E,C209,'2.2⑤純増減→前工程費'!E:E)</f>
        <v>0</v>
      </c>
      <c r="L209" s="13">
        <f ca="1">SUMIF('2.6完成品'!C:D,C209,'2.6完成品'!D:D)</f>
        <v>0</v>
      </c>
      <c r="M209" s="13">
        <f ca="1">SUMIF('2.3研究費'!D:E,C209,'2.3研究費'!E:E)</f>
        <v>0</v>
      </c>
      <c r="N209" s="13">
        <f ca="1">SUMIF('2.4販促費'!D:E,C209,'2.4販促費'!E:E)</f>
        <v>0</v>
      </c>
      <c r="O209" s="13">
        <f ca="1">SUMIF('2.5廃棄処分'!D:E,C209,'2.5廃棄処分'!E:E)</f>
        <v>0</v>
      </c>
      <c r="P209" s="13">
        <f ca="1">SUMIF('2.1④異種原液'!D:E,C209,'2.1④異種原液'!E:E)</f>
        <v>0</v>
      </c>
      <c r="Q209" s="14">
        <f ca="1">SUMIF('2.7製造部生産分'!D:I,C209,'2.7製造部生産分'!H:H)</f>
        <v>0</v>
      </c>
      <c r="R209" s="15">
        <f ca="1">-(G209+H209+K209-L209-M209-N209-O209-P209-Q209-S209)</f>
        <v>0</v>
      </c>
      <c r="S209" s="13">
        <f ca="1">SUMIF('2.9原液在庫'!B:H,C209,'2.9原液在庫'!H:H)</f>
        <v>551.5</v>
      </c>
      <c r="T209" s="16">
        <f ca="1">IFERROR(SUM(G210:K210)/(G209+H209+K209),0)</f>
        <v>1148.1134300255271</v>
      </c>
      <c r="U209" s="17" t="str">
        <f>C209</f>
        <v>22R</v>
      </c>
      <c r="V209" s="18">
        <f ca="1">IF(ISERROR(SUM(G210:K210)/SUM(L209:Q209,S209)),0,SUM(G210:K210)/SUM(L209:Q209,S209))</f>
        <v>1148.1134300255271</v>
      </c>
      <c r="W209" s="19">
        <f ca="1">V209</f>
        <v>1148.1134300255271</v>
      </c>
      <c r="X209" s="20">
        <f ca="1">W209/1000</f>
        <v>1.1481134300255271</v>
      </c>
    </row>
    <row r="210" spans="1:24">
      <c r="A210" s="212"/>
      <c r="B210" s="212"/>
      <c r="C210" s="199"/>
      <c r="D210" s="199"/>
      <c r="E210" s="199"/>
      <c r="F210" s="21" t="s">
        <v>247</v>
      </c>
      <c r="G210" s="22">
        <v>616639.55665907823</v>
      </c>
      <c r="H210" s="184"/>
      <c r="I210" s="23">
        <f ca="1">I209*労務費経費単価SC!D$7</f>
        <v>0</v>
      </c>
      <c r="J210" s="23">
        <f ca="1">J209*労務費経費単価SC!D$11</f>
        <v>16545</v>
      </c>
      <c r="K210" s="22">
        <f ca="1">K209*$E209</f>
        <v>0</v>
      </c>
      <c r="L210" s="22">
        <f ca="1">L209*$E209</f>
        <v>0</v>
      </c>
      <c r="M210" s="22">
        <f t="shared" ref="M210" ca="1" si="708">M209*$E209</f>
        <v>0</v>
      </c>
      <c r="N210" s="22">
        <f t="shared" ref="N210" ca="1" si="709">N209*$E209</f>
        <v>0</v>
      </c>
      <c r="O210" s="22">
        <f t="shared" ref="O210" ca="1" si="710">O209*$E209</f>
        <v>0</v>
      </c>
      <c r="P210" s="22">
        <f t="shared" ref="P210" ca="1" si="711">P209*$E209</f>
        <v>0</v>
      </c>
      <c r="Q210" s="22">
        <f t="shared" ref="Q210" ca="1" si="712">Q209*$E209</f>
        <v>0</v>
      </c>
      <c r="R210" s="22">
        <f t="shared" ref="R210" ca="1" si="713">R209*$E209</f>
        <v>0</v>
      </c>
      <c r="S210" s="22">
        <f t="shared" ref="S210" ca="1" si="714">S209*$E209</f>
        <v>500762</v>
      </c>
      <c r="U210" s="17"/>
      <c r="V210" s="18"/>
      <c r="W210" s="19"/>
      <c r="X210" s="20"/>
    </row>
    <row r="211" spans="1:24">
      <c r="A211" s="212"/>
      <c r="B211" s="212"/>
      <c r="C211" s="200" t="s">
        <v>321</v>
      </c>
      <c r="D211" s="199" t="str">
        <f>VLOOKUP(C211,'仕掛品名寄（貼付）'!B:C,2,FALSE)</f>
        <v>その他</v>
      </c>
      <c r="E211" s="199">
        <f>VLOOKUP(D211,'仕掛品標準単価一覧表（貼付）'!B:G,6,FALSE)</f>
        <v>1080</v>
      </c>
      <c r="F211" s="12" t="s">
        <v>246</v>
      </c>
      <c r="G211" s="13">
        <v>0</v>
      </c>
      <c r="H211" s="13">
        <f ca="1">SUMIF('1.3②原材料使用'!B:E,C211,'1.3②原材料使用'!E:E)</f>
        <v>0</v>
      </c>
      <c r="I211" s="13">
        <f ca="1">SUMIF('2.10原液別作業時間'!A:B,C211,'2.10原液別作業時間'!B:B)</f>
        <v>0</v>
      </c>
      <c r="J211" s="13">
        <f ca="1">SUM(G211:H211,K211)</f>
        <v>0</v>
      </c>
      <c r="K211" s="13">
        <f ca="1">SUMIF('2.2⑤純増減→前工程費'!B:E,C211,'2.2⑤純増減→前工程費'!E:E)</f>
        <v>0</v>
      </c>
      <c r="L211" s="13">
        <f ca="1">SUMIF('2.6完成品'!C:D,C211,'2.6完成品'!D:D)</f>
        <v>0</v>
      </c>
      <c r="M211" s="13">
        <f ca="1">SUMIF('2.3研究費'!D:E,C211,'2.3研究費'!E:E)</f>
        <v>0</v>
      </c>
      <c r="N211" s="13">
        <f ca="1">SUMIF('2.4販促費'!D:E,C211,'2.4販促費'!E:E)</f>
        <v>0</v>
      </c>
      <c r="O211" s="13">
        <f ca="1">SUMIF('2.5廃棄処分'!D:E,C211,'2.5廃棄処分'!E:E)</f>
        <v>0</v>
      </c>
      <c r="P211" s="13">
        <f ca="1">SUMIF('2.1④異種原液'!D:E,C211,'2.1④異種原液'!E:E)</f>
        <v>0</v>
      </c>
      <c r="Q211" s="14">
        <f ca="1">SUMIF('2.7製造部生産分'!D:I,C211,'2.7製造部生産分'!H:H)</f>
        <v>0</v>
      </c>
      <c r="R211" s="15">
        <f ca="1">-(G211+H211+K211-L211-M211-N211-O211-P211-Q211-S211)</f>
        <v>0</v>
      </c>
      <c r="S211" s="13">
        <f ca="1">SUMIF('2.9原液在庫'!B:H,C211,'2.9原液在庫'!H:H)</f>
        <v>0</v>
      </c>
      <c r="T211" s="16">
        <f ca="1">IFERROR(SUM(G212:K212)/(G211+H211+K211),0)</f>
        <v>0</v>
      </c>
      <c r="U211" s="17" t="str">
        <f>C211</f>
        <v>22Rｶﾘﾝ</v>
      </c>
      <c r="V211" s="18">
        <f ca="1">IF(ISERROR(SUM(G212:K212)/SUM(L211:Q211,S211)),0,SUM(G212:K212)/SUM(L211:Q211,S211))</f>
        <v>0</v>
      </c>
      <c r="W211" s="19">
        <f ca="1">V211</f>
        <v>0</v>
      </c>
      <c r="X211" s="20">
        <f ca="1">W211/1000</f>
        <v>0</v>
      </c>
    </row>
    <row r="212" spans="1:24">
      <c r="A212" s="212"/>
      <c r="B212" s="212"/>
      <c r="C212" s="214"/>
      <c r="D212" s="199"/>
      <c r="E212" s="199"/>
      <c r="F212" s="21" t="s">
        <v>247</v>
      </c>
      <c r="G212" s="22" t="s">
        <v>254</v>
      </c>
      <c r="H212" s="184"/>
      <c r="I212" s="23">
        <f ca="1">I211*労務費経費単価SC!D$7</f>
        <v>0</v>
      </c>
      <c r="J212" s="23">
        <f ca="1">J211*労務費経費単価SC!D$11</f>
        <v>0</v>
      </c>
      <c r="K212" s="22">
        <f ca="1">K211*$E211</f>
        <v>0</v>
      </c>
      <c r="L212" s="22">
        <f ca="1">L211*$E211</f>
        <v>0</v>
      </c>
      <c r="M212" s="22">
        <f t="shared" ref="M212" ca="1" si="715">M211*$E211</f>
        <v>0</v>
      </c>
      <c r="N212" s="22">
        <f t="shared" ref="N212" ca="1" si="716">N211*$E211</f>
        <v>0</v>
      </c>
      <c r="O212" s="22">
        <f t="shared" ref="O212" ca="1" si="717">O211*$E211</f>
        <v>0</v>
      </c>
      <c r="P212" s="22">
        <f t="shared" ref="P212" ca="1" si="718">P211*$E211</f>
        <v>0</v>
      </c>
      <c r="Q212" s="22">
        <f t="shared" ref="Q212" ca="1" si="719">Q211*$E211</f>
        <v>0</v>
      </c>
      <c r="R212" s="22">
        <f t="shared" ref="R212" ca="1" si="720">R211*$E211</f>
        <v>0</v>
      </c>
      <c r="S212" s="22">
        <f t="shared" ref="S212" ca="1" si="721">S211*$E211</f>
        <v>0</v>
      </c>
      <c r="U212" s="17"/>
      <c r="V212" s="18"/>
      <c r="W212" s="19"/>
      <c r="X212" s="20"/>
    </row>
    <row r="213" spans="1:24">
      <c r="A213" s="212"/>
      <c r="B213" s="212"/>
      <c r="C213" s="199" t="s">
        <v>70</v>
      </c>
      <c r="D213" s="199" t="str">
        <f>VLOOKUP(C213,'仕掛品名寄（貼付）'!B:C,2,FALSE)</f>
        <v>その他</v>
      </c>
      <c r="E213" s="199">
        <f>VLOOKUP(D213,'仕掛品標準単価一覧表（貼付）'!B:G,6,FALSE)</f>
        <v>1080</v>
      </c>
      <c r="F213" s="12" t="s">
        <v>246</v>
      </c>
      <c r="G213" s="24">
        <v>18604.5</v>
      </c>
      <c r="H213" s="13">
        <f ca="1">SUMIF('1.3②原材料使用'!B:E,C213,'1.3②原材料使用'!E:E)</f>
        <v>0</v>
      </c>
      <c r="I213" s="13">
        <f ca="1">SUMIF('2.10原液別作業時間'!A:B,C213,'2.10原液別作業時間'!B:B)</f>
        <v>150</v>
      </c>
      <c r="J213" s="13">
        <f ca="1">SUM(G213:H213,K213)</f>
        <v>18602</v>
      </c>
      <c r="K213" s="13">
        <f ca="1">SUMIF('2.2⑤純増減→前工程費'!B:E,C213,'2.2⑤純増減→前工程費'!E:E)</f>
        <v>-2.5</v>
      </c>
      <c r="L213" s="13">
        <f ca="1">SUMIF('2.6完成品'!C:D,C213,'2.6完成品'!D:D)</f>
        <v>0</v>
      </c>
      <c r="M213" s="13">
        <f ca="1">SUMIF('2.3研究費'!D:E,C213,'2.3研究費'!E:E)</f>
        <v>0</v>
      </c>
      <c r="N213" s="13">
        <f ca="1">SUMIF('2.4販促費'!D:E,C213,'2.4販促費'!E:E)</f>
        <v>0</v>
      </c>
      <c r="O213" s="13">
        <f ca="1">SUMIF('2.5廃棄処分'!D:E,C213,'2.5廃棄処分'!E:E)</f>
        <v>0</v>
      </c>
      <c r="P213" s="13">
        <f ca="1">SUMIF('2.1④異種原液'!D:E,C213,'2.1④異種原液'!E:E)</f>
        <v>396</v>
      </c>
      <c r="Q213" s="14">
        <f ca="1">SUMIF('2.7製造部生産分'!D:I,C213,'2.7製造部生産分'!H:H)</f>
        <v>0</v>
      </c>
      <c r="R213" s="15">
        <f ca="1">-(G213+H213+K213-L213-M213-N213-O213-P213-Q213-S213)</f>
        <v>3</v>
      </c>
      <c r="S213" s="13">
        <f ca="1">SUMIF('2.9原液在庫'!B:H,C213,'2.9原液在庫'!H:H)</f>
        <v>18209</v>
      </c>
      <c r="T213" s="16">
        <f ca="1">IFERROR(SUM(G214:K214)/(G213+H213+K213),0)</f>
        <v>1133.968080972973</v>
      </c>
      <c r="U213" s="17" t="str">
        <f>C213</f>
        <v>22Rﾊﾟ</v>
      </c>
      <c r="V213" s="18">
        <f ca="1">IF(ISERROR(SUM(G214:K214)/SUM(L213:Q213,S213)),0,SUM(G214:K214)/SUM(L213:Q213,S213))</f>
        <v>1133.7852320483332</v>
      </c>
      <c r="W213" s="19">
        <f ca="1">V213</f>
        <v>1133.7852320483332</v>
      </c>
      <c r="X213" s="20">
        <f ca="1">W213/1000</f>
        <v>1.1337852320483333</v>
      </c>
    </row>
    <row r="214" spans="1:24">
      <c r="A214" s="212"/>
      <c r="B214" s="212"/>
      <c r="C214" s="199"/>
      <c r="D214" s="199"/>
      <c r="E214" s="199"/>
      <c r="F214" s="21" t="s">
        <v>247</v>
      </c>
      <c r="G214" s="22">
        <v>20469714.242259242</v>
      </c>
      <c r="H214" s="184"/>
      <c r="I214" s="23">
        <f ca="1">I213*労務費経費単価SC!D$7</f>
        <v>69000</v>
      </c>
      <c r="J214" s="23">
        <f ca="1">J213*労務費経費単価SC!D$11</f>
        <v>558060</v>
      </c>
      <c r="K214" s="22">
        <f ca="1">K213*$E213</f>
        <v>-2700</v>
      </c>
      <c r="L214" s="22">
        <f ca="1">L213*$E213</f>
        <v>0</v>
      </c>
      <c r="M214" s="22">
        <f t="shared" ref="M214" ca="1" si="722">M213*$E213</f>
        <v>0</v>
      </c>
      <c r="N214" s="22">
        <f t="shared" ref="N214" ca="1" si="723">N213*$E213</f>
        <v>0</v>
      </c>
      <c r="O214" s="22">
        <f t="shared" ref="O214" ca="1" si="724">O213*$E213</f>
        <v>0</v>
      </c>
      <c r="P214" s="22">
        <f t="shared" ref="P214" ca="1" si="725">P213*$E213</f>
        <v>427680</v>
      </c>
      <c r="Q214" s="22">
        <f t="shared" ref="Q214" ca="1" si="726">Q213*$E213</f>
        <v>0</v>
      </c>
      <c r="R214" s="22">
        <f t="shared" ref="R214" ca="1" si="727">R213*$E213</f>
        <v>3240</v>
      </c>
      <c r="S214" s="22">
        <f t="shared" ref="S214" ca="1" si="728">S213*$E213</f>
        <v>19665720</v>
      </c>
      <c r="U214" s="17"/>
      <c r="V214" s="18"/>
      <c r="W214" s="19"/>
      <c r="X214" s="20"/>
    </row>
    <row r="215" spans="1:24">
      <c r="A215" s="212"/>
      <c r="B215" s="212"/>
      <c r="C215" s="200" t="s">
        <v>192</v>
      </c>
      <c r="D215" s="199" t="str">
        <f>VLOOKUP(C215,'仕掛品名寄（貼付）'!B:C,2,FALSE)</f>
        <v>その他</v>
      </c>
      <c r="E215" s="199">
        <f>VLOOKUP(D215,'仕掛品標準単価一覧表（貼付）'!B:G,6,FALSE)</f>
        <v>1080</v>
      </c>
      <c r="F215" s="27" t="s">
        <v>246</v>
      </c>
      <c r="G215" s="13">
        <v>734</v>
      </c>
      <c r="H215" s="13">
        <f ca="1">SUMIF('1.3②原材料使用'!B:E,C215,'1.3②原材料使用'!E:E)</f>
        <v>0</v>
      </c>
      <c r="I215" s="13">
        <f ca="1">SUMIF('2.10原液別作業時間'!A:B,C215,'2.10原液別作業時間'!B:B)</f>
        <v>0</v>
      </c>
      <c r="J215" s="13">
        <f ca="1">SUM(G215:H215,K215)</f>
        <v>1298.5</v>
      </c>
      <c r="K215" s="13">
        <f ca="1">SUMIF('2.2⑤純増減→前工程費'!B:E,C215,'2.2⑤純増減→前工程費'!E:E)</f>
        <v>564.5</v>
      </c>
      <c r="L215" s="13">
        <f ca="1">SUMIF('2.6完成品'!C:D,C215,'2.6完成品'!D:D)</f>
        <v>0</v>
      </c>
      <c r="M215" s="13">
        <f ca="1">SUMIF('2.3研究費'!D:E,C215,'2.3研究費'!E:E)</f>
        <v>0</v>
      </c>
      <c r="N215" s="13">
        <f ca="1">SUMIF('2.4販促費'!D:E,C215,'2.4販促費'!E:E)</f>
        <v>0</v>
      </c>
      <c r="O215" s="13">
        <f ca="1">SUMIF('2.5廃棄処分'!D:E,C215,'2.5廃棄処分'!E:E)</f>
        <v>0</v>
      </c>
      <c r="P215" s="13">
        <f ca="1">SUMIF('2.1④異種原液'!D:E,C215,'2.1④異種原液'!E:E)</f>
        <v>1298.5</v>
      </c>
      <c r="Q215" s="14">
        <f ca="1">SUMIF('2.7製造部生産分'!D:I,C215,'2.7製造部生産分'!H:H)</f>
        <v>0</v>
      </c>
      <c r="R215" s="15">
        <f ca="1">-(G215+H215+K215-L215-M215-N215-O215-P215-Q215-S215)</f>
        <v>0</v>
      </c>
      <c r="S215" s="13">
        <f ca="1">SUMIF('2.9原液在庫'!B:H,C215,'2.9原液在庫'!H:H)</f>
        <v>0</v>
      </c>
      <c r="T215" s="16">
        <f ca="1">IFERROR(SUM(G216:K216)/(G215+H215+K215),0)</f>
        <v>1148.9357564525653</v>
      </c>
      <c r="U215" s="17" t="str">
        <f>C215</f>
        <v>22RﾊﾟC</v>
      </c>
      <c r="V215" s="18">
        <f ca="1">IF(ISERROR(SUM(G216:K216)/SUM(L215:Q215,S215)),0,SUM(G216:K216)/SUM(L215:Q215,S215))</f>
        <v>1148.9357564525653</v>
      </c>
      <c r="W215" s="19">
        <f ca="1">V215</f>
        <v>1148.9357564525653</v>
      </c>
      <c r="X215" s="20">
        <f ca="1">W215/1000</f>
        <v>1.1489357564525653</v>
      </c>
    </row>
    <row r="216" spans="1:24">
      <c r="A216" s="212"/>
      <c r="B216" s="212"/>
      <c r="C216" s="201"/>
      <c r="D216" s="199"/>
      <c r="E216" s="199"/>
      <c r="F216" s="21" t="s">
        <v>247</v>
      </c>
      <c r="G216" s="22">
        <v>843278.07975365617</v>
      </c>
      <c r="H216" s="184"/>
      <c r="I216" s="23">
        <f ca="1">I215*労務費経費単価SC!D$7</f>
        <v>0</v>
      </c>
      <c r="J216" s="23">
        <f ca="1">J215*労務費経費単価SC!D$11</f>
        <v>38955</v>
      </c>
      <c r="K216" s="22">
        <f ca="1">K215*$E215</f>
        <v>609660</v>
      </c>
      <c r="L216" s="22">
        <f ca="1">L215*$E215</f>
        <v>0</v>
      </c>
      <c r="M216" s="22">
        <f t="shared" ref="M216" ca="1" si="729">M215*$E215</f>
        <v>0</v>
      </c>
      <c r="N216" s="22">
        <f t="shared" ref="N216" ca="1" si="730">N215*$E215</f>
        <v>0</v>
      </c>
      <c r="O216" s="22">
        <f t="shared" ref="O216" ca="1" si="731">O215*$E215</f>
        <v>0</v>
      </c>
      <c r="P216" s="22">
        <f t="shared" ref="P216" ca="1" si="732">P215*$E215</f>
        <v>1402380</v>
      </c>
      <c r="Q216" s="22">
        <f t="shared" ref="Q216" ca="1" si="733">Q215*$E215</f>
        <v>0</v>
      </c>
      <c r="R216" s="22">
        <f t="shared" ref="R216" ca="1" si="734">R215*$E215</f>
        <v>0</v>
      </c>
      <c r="S216" s="22">
        <f t="shared" ref="S216" ca="1" si="735">S215*$E215</f>
        <v>0</v>
      </c>
      <c r="U216" s="17"/>
      <c r="V216" s="18"/>
      <c r="W216" s="19"/>
      <c r="X216" s="20"/>
    </row>
    <row r="217" spans="1:24">
      <c r="A217" s="212"/>
      <c r="B217" s="212"/>
      <c r="C217" s="211" t="s">
        <v>322</v>
      </c>
      <c r="D217" s="199" t="str">
        <f>VLOOKUP(C217,'仕掛品名寄（貼付）'!B:C,2,FALSE)</f>
        <v>その他</v>
      </c>
      <c r="E217" s="199">
        <f>VLOOKUP(D217,'仕掛品標準単価一覧表（貼付）'!B:G,6,FALSE)</f>
        <v>1080</v>
      </c>
      <c r="F217" s="12" t="s">
        <v>246</v>
      </c>
      <c r="G217" s="13">
        <v>0</v>
      </c>
      <c r="H217" s="13">
        <f ca="1">SUMIF('1.3②原材料使用'!B:E,C217,'1.3②原材料使用'!E:E)</f>
        <v>0</v>
      </c>
      <c r="I217" s="13">
        <f ca="1">SUMIF('2.10原液別作業時間'!A:B,C217,'2.10原液別作業時間'!B:B)</f>
        <v>0</v>
      </c>
      <c r="J217" s="13">
        <f ca="1">SUM(G217:H217,K217)</f>
        <v>0</v>
      </c>
      <c r="K217" s="13">
        <f ca="1">SUMIF('2.2⑤純増減→前工程費'!B:E,C217,'2.2⑤純増減→前工程費'!E:E)</f>
        <v>0</v>
      </c>
      <c r="L217" s="13">
        <f ca="1">SUMIF('2.6完成品'!C:D,C217,'2.6完成品'!D:D)</f>
        <v>0</v>
      </c>
      <c r="M217" s="13">
        <f ca="1">SUMIF('2.3研究費'!D:E,C217,'2.3研究費'!E:E)</f>
        <v>0</v>
      </c>
      <c r="N217" s="13">
        <f ca="1">SUMIF('2.4販促費'!D:E,C217,'2.4販促費'!E:E)</f>
        <v>0</v>
      </c>
      <c r="O217" s="13">
        <f ca="1">SUMIF('2.5廃棄処分'!D:E,C217,'2.5廃棄処分'!E:E)</f>
        <v>0</v>
      </c>
      <c r="P217" s="13">
        <f ca="1">SUMIF('2.1④異種原液'!D:E,C217,'2.1④異種原液'!E:E)</f>
        <v>0</v>
      </c>
      <c r="Q217" s="14">
        <f ca="1">SUMIF('2.7製造部生産分'!D:I,C217,'2.7製造部生産分'!H:H)</f>
        <v>0</v>
      </c>
      <c r="R217" s="15">
        <f ca="1">-(G217+H217+K217-L217-M217-N217-O217-P217-Q217-S217)</f>
        <v>0</v>
      </c>
      <c r="S217" s="13">
        <f ca="1">SUMIF('2.9原液在庫'!B:H,C217,'2.9原液在庫'!H:H)</f>
        <v>0</v>
      </c>
      <c r="T217" s="16">
        <f ca="1">IFERROR(SUM(G218:K218)/(G217+H217+K217),0)</f>
        <v>0</v>
      </c>
      <c r="U217" s="17" t="str">
        <f>C217</f>
        <v>22Rﾊﾟﾄ</v>
      </c>
      <c r="V217" s="18">
        <f ca="1">IF(ISERROR(SUM(G218:K218)/SUM(L217:Q217,S217)),0,SUM(G218:K218)/SUM(L217:Q217,S217))</f>
        <v>0</v>
      </c>
      <c r="W217" s="19">
        <f ca="1">V217</f>
        <v>0</v>
      </c>
      <c r="X217" s="20">
        <f ca="1">W217/1000</f>
        <v>0</v>
      </c>
    </row>
    <row r="218" spans="1:24">
      <c r="A218" s="212"/>
      <c r="B218" s="212"/>
      <c r="C218" s="201"/>
      <c r="D218" s="199"/>
      <c r="E218" s="199"/>
      <c r="F218" s="21" t="s">
        <v>247</v>
      </c>
      <c r="G218" s="22" t="s">
        <v>254</v>
      </c>
      <c r="H218" s="184"/>
      <c r="I218" s="23">
        <f ca="1">I217*労務費経費単価SC!D$7</f>
        <v>0</v>
      </c>
      <c r="J218" s="23">
        <f ca="1">J217*労務費経費単価SC!D$11</f>
        <v>0</v>
      </c>
      <c r="K218" s="22">
        <f ca="1">K217*$E217</f>
        <v>0</v>
      </c>
      <c r="L218" s="22">
        <f ca="1">L217*$E217</f>
        <v>0</v>
      </c>
      <c r="M218" s="22">
        <f t="shared" ref="M218" ca="1" si="736">M217*$E217</f>
        <v>0</v>
      </c>
      <c r="N218" s="22">
        <f t="shared" ref="N218" ca="1" si="737">N217*$E217</f>
        <v>0</v>
      </c>
      <c r="O218" s="22">
        <f t="shared" ref="O218" ca="1" si="738">O217*$E217</f>
        <v>0</v>
      </c>
      <c r="P218" s="22">
        <f t="shared" ref="P218" ca="1" si="739">P217*$E217</f>
        <v>0</v>
      </c>
      <c r="Q218" s="22">
        <f t="shared" ref="Q218" ca="1" si="740">Q217*$E217</f>
        <v>0</v>
      </c>
      <c r="R218" s="22">
        <f t="shared" ref="R218" ca="1" si="741">R217*$E217</f>
        <v>0</v>
      </c>
      <c r="S218" s="22">
        <f t="shared" ref="S218" ca="1" si="742">S217*$E217</f>
        <v>0</v>
      </c>
      <c r="U218" s="17"/>
      <c r="V218" s="18"/>
      <c r="W218" s="19"/>
      <c r="X218" s="20"/>
    </row>
    <row r="219" spans="1:24">
      <c r="A219" s="212"/>
      <c r="B219" s="212"/>
      <c r="C219" s="200" t="s">
        <v>71</v>
      </c>
      <c r="D219" s="199" t="str">
        <f>VLOOKUP(C219,'仕掛品名寄（貼付）'!B:C,2,FALSE)</f>
        <v>Rシ</v>
      </c>
      <c r="E219" s="199">
        <f>VLOOKUP(D219,'仕掛品標準単価一覧表（貼付）'!B:G,6,FALSE)</f>
        <v>991</v>
      </c>
      <c r="F219" s="27" t="s">
        <v>246</v>
      </c>
      <c r="G219" s="13">
        <v>0</v>
      </c>
      <c r="H219" s="13">
        <f ca="1">SUMIF('1.3②原材料使用'!B:E,C219,'1.3②原材料使用'!E:E)</f>
        <v>0</v>
      </c>
      <c r="I219" s="13">
        <f ca="1">SUMIF('2.10原液別作業時間'!A:B,C219,'2.10原液別作業時間'!B:B)</f>
        <v>0</v>
      </c>
      <c r="J219" s="13">
        <f ca="1">SUM(G219:H219,K219)</f>
        <v>0</v>
      </c>
      <c r="K219" s="13">
        <f ca="1">SUMIF('2.2⑤純増減→前工程費'!B:E,C219,'2.2⑤純増減→前工程費'!E:E)</f>
        <v>0</v>
      </c>
      <c r="L219" s="13">
        <f ca="1">SUMIF('2.6完成品'!C:D,C219,'2.6完成品'!D:D)</f>
        <v>0</v>
      </c>
      <c r="M219" s="13">
        <f ca="1">SUMIF('2.3研究費'!D:E,C219,'2.3研究費'!E:E)</f>
        <v>0</v>
      </c>
      <c r="N219" s="13">
        <f ca="1">SUMIF('2.4販促費'!D:E,C219,'2.4販促費'!E:E)</f>
        <v>0</v>
      </c>
      <c r="O219" s="13">
        <f ca="1">SUMIF('2.5廃棄処分'!D:E,C219,'2.5廃棄処分'!E:E)</f>
        <v>0</v>
      </c>
      <c r="P219" s="13">
        <f ca="1">SUMIF('2.1④異種原液'!D:E,C219,'2.1④異種原液'!E:E)</f>
        <v>0</v>
      </c>
      <c r="Q219" s="14">
        <f ca="1">SUMIF('2.7製造部生産分'!D:I,C219,'2.7製造部生産分'!H:H)</f>
        <v>0</v>
      </c>
      <c r="R219" s="15">
        <f ca="1">-(G219+H219+K219-L219-M219-N219-O219-P219-Q219-S219)</f>
        <v>0</v>
      </c>
      <c r="S219" s="13">
        <f ca="1">SUMIF('2.9原液在庫'!B:H,C219,'2.9原液在庫'!H:H)</f>
        <v>0</v>
      </c>
      <c r="T219" s="16">
        <f ca="1">IFERROR(SUM(G220:K220)/(G219+H219+K219),0)</f>
        <v>0</v>
      </c>
      <c r="U219" s="17" t="str">
        <f>C219</f>
        <v>22Rｼ</v>
      </c>
      <c r="V219" s="18">
        <f ca="1">IF(ISERROR(SUM(G220:K220)/SUM(L219:Q219,S219)),0,SUM(G220:K220)/SUM(L219:Q219,S219))</f>
        <v>0</v>
      </c>
      <c r="W219" s="19">
        <f ca="1">V219</f>
        <v>0</v>
      </c>
      <c r="X219" s="20">
        <f ca="1">W219/1000</f>
        <v>0</v>
      </c>
    </row>
    <row r="220" spans="1:24">
      <c r="A220" s="212"/>
      <c r="B220" s="212"/>
      <c r="C220" s="201"/>
      <c r="D220" s="199"/>
      <c r="E220" s="199"/>
      <c r="F220" s="21" t="s">
        <v>247</v>
      </c>
      <c r="G220" s="22" t="s">
        <v>254</v>
      </c>
      <c r="H220" s="184"/>
      <c r="I220" s="23">
        <f ca="1">I219*労務費経費単価SC!D$7</f>
        <v>0</v>
      </c>
      <c r="J220" s="23">
        <f ca="1">J219*労務費経費単価SC!D$11</f>
        <v>0</v>
      </c>
      <c r="K220" s="22">
        <f ca="1">K219*$E219</f>
        <v>0</v>
      </c>
      <c r="L220" s="22">
        <f ca="1">L219*$E219</f>
        <v>0</v>
      </c>
      <c r="M220" s="22">
        <f t="shared" ref="M220" ca="1" si="743">M219*$E219</f>
        <v>0</v>
      </c>
      <c r="N220" s="22">
        <f t="shared" ref="N220" ca="1" si="744">N219*$E219</f>
        <v>0</v>
      </c>
      <c r="O220" s="22">
        <f t="shared" ref="O220" ca="1" si="745">O219*$E219</f>
        <v>0</v>
      </c>
      <c r="P220" s="22">
        <f t="shared" ref="P220" ca="1" si="746">P219*$E219</f>
        <v>0</v>
      </c>
      <c r="Q220" s="22">
        <f t="shared" ref="Q220" ca="1" si="747">Q219*$E219</f>
        <v>0</v>
      </c>
      <c r="R220" s="22">
        <f t="shared" ref="R220" ca="1" si="748">R219*$E219</f>
        <v>0</v>
      </c>
      <c r="S220" s="22">
        <f t="shared" ref="S220" ca="1" si="749">S219*$E219</f>
        <v>0</v>
      </c>
      <c r="U220" s="17"/>
      <c r="V220" s="18"/>
      <c r="W220" s="19"/>
      <c r="X220" s="20"/>
    </row>
    <row r="221" spans="1:24">
      <c r="A221" s="212"/>
      <c r="B221" s="212"/>
      <c r="C221" s="211" t="s">
        <v>72</v>
      </c>
      <c r="D221" s="199" t="str">
        <f>VLOOKUP(C221,'仕掛品名寄（貼付）'!B:C,2,FALSE)</f>
        <v>その他</v>
      </c>
      <c r="E221" s="199">
        <f>VLOOKUP(D221,'仕掛品標準単価一覧表（貼付）'!B:G,6,FALSE)</f>
        <v>1080</v>
      </c>
      <c r="F221" s="12" t="s">
        <v>246</v>
      </c>
      <c r="G221" s="13">
        <v>0</v>
      </c>
      <c r="H221" s="13">
        <f ca="1">SUMIF('1.3②原材料使用'!B:E,C221,'1.3②原材料使用'!E:E)</f>
        <v>0</v>
      </c>
      <c r="I221" s="13">
        <f ca="1">SUMIF('2.10原液別作業時間'!A:B,C221,'2.10原液別作業時間'!B:B)</f>
        <v>0</v>
      </c>
      <c r="J221" s="13">
        <f ca="1">SUM(G221:H221,K221)</f>
        <v>0</v>
      </c>
      <c r="K221" s="13">
        <f ca="1">SUMIF('2.2⑤純増減→前工程費'!B:E,C221,'2.2⑤純増減→前工程費'!E:E)</f>
        <v>0</v>
      </c>
      <c r="L221" s="13">
        <f ca="1">SUMIF('2.6完成品'!C:D,C221,'2.6完成品'!D:D)</f>
        <v>0</v>
      </c>
      <c r="M221" s="13">
        <f ca="1">SUMIF('2.3研究費'!D:E,C221,'2.3研究費'!E:E)</f>
        <v>0</v>
      </c>
      <c r="N221" s="13">
        <f ca="1">SUMIF('2.4販促費'!D:E,C221,'2.4販促費'!E:E)</f>
        <v>0</v>
      </c>
      <c r="O221" s="13">
        <f ca="1">SUMIF('2.5廃棄処分'!D:E,C221,'2.5廃棄処分'!E:E)</f>
        <v>0</v>
      </c>
      <c r="P221" s="13">
        <f ca="1">SUMIF('2.1④異種原液'!D:E,C221,'2.1④異種原液'!E:E)</f>
        <v>0</v>
      </c>
      <c r="Q221" s="14">
        <f ca="1">SUMIF('2.7製造部生産分'!D:I,C221,'2.7製造部生産分'!H:H)</f>
        <v>0</v>
      </c>
      <c r="R221" s="15">
        <f ca="1">-(G221+H221+K221-L221-M221-N221-O221-P221-Q221-S221)</f>
        <v>0</v>
      </c>
      <c r="S221" s="13">
        <f ca="1">SUMIF('2.9原液在庫'!B:H,C221,'2.9原液在庫'!H:H)</f>
        <v>0</v>
      </c>
      <c r="T221" s="16">
        <f ca="1">IFERROR(SUM(G222:K222)/(G221+H221+K221),0)</f>
        <v>0</v>
      </c>
      <c r="U221" s="17" t="str">
        <f>C221</f>
        <v>22RA</v>
      </c>
      <c r="V221" s="18">
        <f ca="1">IF(ISERROR(SUM(G222:K222)/SUM(L221:Q221,S221)),0,SUM(G222:K222)/SUM(L221:Q221,S221))</f>
        <v>0</v>
      </c>
      <c r="W221" s="19">
        <f ca="1">V221</f>
        <v>0</v>
      </c>
      <c r="X221" s="20">
        <f ca="1">W221/1000</f>
        <v>0</v>
      </c>
    </row>
    <row r="222" spans="1:24">
      <c r="A222" s="212"/>
      <c r="B222" s="212"/>
      <c r="C222" s="201"/>
      <c r="D222" s="199"/>
      <c r="E222" s="199"/>
      <c r="F222" s="21" t="s">
        <v>247</v>
      </c>
      <c r="G222" s="22" t="s">
        <v>254</v>
      </c>
      <c r="H222" s="184"/>
      <c r="I222" s="23">
        <f ca="1">I221*労務費経費単価SC!D$7</f>
        <v>0</v>
      </c>
      <c r="J222" s="23">
        <f ca="1">J221*労務費経費単価SC!D$11</f>
        <v>0</v>
      </c>
      <c r="K222" s="22">
        <f ca="1">K221*$E221</f>
        <v>0</v>
      </c>
      <c r="L222" s="22">
        <f ca="1">L221*$E221</f>
        <v>0</v>
      </c>
      <c r="M222" s="22">
        <f t="shared" ref="M222" ca="1" si="750">M221*$E221</f>
        <v>0</v>
      </c>
      <c r="N222" s="22">
        <f t="shared" ref="N222" ca="1" si="751">N221*$E221</f>
        <v>0</v>
      </c>
      <c r="O222" s="22">
        <f t="shared" ref="O222" ca="1" si="752">O221*$E221</f>
        <v>0</v>
      </c>
      <c r="P222" s="22">
        <f t="shared" ref="P222" ca="1" si="753">P221*$E221</f>
        <v>0</v>
      </c>
      <c r="Q222" s="22">
        <f t="shared" ref="Q222" ca="1" si="754">Q221*$E221</f>
        <v>0</v>
      </c>
      <c r="R222" s="22">
        <f t="shared" ref="R222" ca="1" si="755">R221*$E221</f>
        <v>0</v>
      </c>
      <c r="S222" s="22">
        <f t="shared" ref="S222" ca="1" si="756">S221*$E221</f>
        <v>0</v>
      </c>
      <c r="U222" s="17"/>
      <c r="V222" s="18"/>
      <c r="W222" s="19"/>
      <c r="X222" s="20"/>
    </row>
    <row r="223" spans="1:24">
      <c r="A223" s="212"/>
      <c r="B223" s="212"/>
      <c r="C223" s="200" t="s">
        <v>323</v>
      </c>
      <c r="D223" s="199" t="str">
        <f>VLOOKUP(C223,'仕掛品名寄（貼付）'!B:C,2,FALSE)</f>
        <v>その他</v>
      </c>
      <c r="E223" s="199">
        <f>VLOOKUP(D223,'仕掛品標準単価一覧表（貼付）'!B:G,6,FALSE)</f>
        <v>1080</v>
      </c>
      <c r="F223" s="12" t="s">
        <v>246</v>
      </c>
      <c r="G223" s="13">
        <v>0</v>
      </c>
      <c r="H223" s="13">
        <f ca="1">SUMIF('1.3②原材料使用'!B:E,C223,'1.3②原材料使用'!E:E)</f>
        <v>0</v>
      </c>
      <c r="I223" s="13">
        <f ca="1">SUMIF('2.10原液別作業時間'!A:B,C223,'2.10原液別作業時間'!B:B)</f>
        <v>0</v>
      </c>
      <c r="J223" s="13">
        <f ca="1">SUM(G223:H223,K223)</f>
        <v>0</v>
      </c>
      <c r="K223" s="13">
        <f ca="1">SUMIF('2.2⑤純増減→前工程費'!B:E,C223,'2.2⑤純増減→前工程費'!E:E)</f>
        <v>0</v>
      </c>
      <c r="L223" s="13">
        <f ca="1">SUMIF('2.6完成品'!C:D,C223,'2.6完成品'!D:D)</f>
        <v>0</v>
      </c>
      <c r="M223" s="13">
        <f ca="1">SUMIF('2.3研究費'!D:E,C223,'2.3研究費'!E:E)</f>
        <v>0</v>
      </c>
      <c r="N223" s="13">
        <f ca="1">SUMIF('2.4販促費'!D:E,C223,'2.4販促費'!E:E)</f>
        <v>0</v>
      </c>
      <c r="O223" s="13">
        <f ca="1">SUMIF('2.5廃棄処分'!D:E,C223,'2.5廃棄処分'!E:E)</f>
        <v>0</v>
      </c>
      <c r="P223" s="13">
        <f ca="1">SUMIF('2.1④異種原液'!D:E,C223,'2.1④異種原液'!E:E)</f>
        <v>0</v>
      </c>
      <c r="Q223" s="14">
        <f ca="1">SUMIF('2.7製造部生産分'!D:I,C223,'2.7製造部生産分'!H:H)</f>
        <v>0</v>
      </c>
      <c r="R223" s="15">
        <f ca="1">-(G223+H223+K223-L223-M223-N223-O223-P223-Q223-S223)</f>
        <v>0</v>
      </c>
      <c r="S223" s="13">
        <f ca="1">SUMIF('2.9原液在庫'!B:H,C223,'2.9原液在庫'!H:H)</f>
        <v>0</v>
      </c>
      <c r="T223" s="16">
        <f ca="1">IFERROR(SUM(G224:K224)/(G223+H223+K223),0)</f>
        <v>0</v>
      </c>
      <c r="U223" s="17" t="str">
        <f>C223</f>
        <v>22RAｼ</v>
      </c>
      <c r="V223" s="18">
        <f ca="1">IF(ISERROR(SUM(G224:K224)/SUM(L223:Q223,S223)),0,SUM(G224:K224)/SUM(L223:Q223,S223))</f>
        <v>0</v>
      </c>
      <c r="W223" s="19">
        <f ca="1">V223</f>
        <v>0</v>
      </c>
      <c r="X223" s="20">
        <f ca="1">W223/1000</f>
        <v>0</v>
      </c>
    </row>
    <row r="224" spans="1:24">
      <c r="A224" s="212"/>
      <c r="B224" s="212"/>
      <c r="C224" s="201"/>
      <c r="D224" s="199"/>
      <c r="E224" s="199"/>
      <c r="F224" s="21" t="s">
        <v>247</v>
      </c>
      <c r="G224" s="22" t="s">
        <v>254</v>
      </c>
      <c r="H224" s="184"/>
      <c r="I224" s="23">
        <f ca="1">I223*労務費経費単価SC!D$7</f>
        <v>0</v>
      </c>
      <c r="J224" s="23">
        <f ca="1">J223*労務費経費単価SC!D$11</f>
        <v>0</v>
      </c>
      <c r="K224" s="22">
        <f ca="1">K223*$E223</f>
        <v>0</v>
      </c>
      <c r="L224" s="22">
        <f ca="1">L223*$E223</f>
        <v>0</v>
      </c>
      <c r="M224" s="22">
        <f t="shared" ref="M224" ca="1" si="757">M223*$E223</f>
        <v>0</v>
      </c>
      <c r="N224" s="22">
        <f t="shared" ref="N224" ca="1" si="758">N223*$E223</f>
        <v>0</v>
      </c>
      <c r="O224" s="22">
        <f t="shared" ref="O224" ca="1" si="759">O223*$E223</f>
        <v>0</v>
      </c>
      <c r="P224" s="22">
        <f t="shared" ref="P224" ca="1" si="760">P223*$E223</f>
        <v>0</v>
      </c>
      <c r="Q224" s="22">
        <f t="shared" ref="Q224" ca="1" si="761">Q223*$E223</f>
        <v>0</v>
      </c>
      <c r="R224" s="22">
        <f t="shared" ref="R224" ca="1" si="762">R223*$E223</f>
        <v>0</v>
      </c>
      <c r="S224" s="22">
        <f t="shared" ref="S224" ca="1" si="763">S223*$E223</f>
        <v>0</v>
      </c>
      <c r="U224" s="17"/>
      <c r="V224" s="18"/>
      <c r="W224" s="19"/>
      <c r="X224" s="20"/>
    </row>
    <row r="225" spans="1:24">
      <c r="A225" s="212"/>
      <c r="B225" s="212"/>
      <c r="C225" s="199" t="s">
        <v>68</v>
      </c>
      <c r="D225" s="199" t="str">
        <f>VLOOKUP(C225,'仕掛品名寄（貼付）'!B:C,2,FALSE)</f>
        <v>HI</v>
      </c>
      <c r="E225" s="199">
        <f>VLOOKUP(D225,'仕掛品標準単価一覧表（貼付）'!B:G,6,FALSE)</f>
        <v>1176</v>
      </c>
      <c r="F225" s="12" t="s">
        <v>246</v>
      </c>
      <c r="G225" s="13">
        <v>78994</v>
      </c>
      <c r="H225" s="13">
        <f ca="1">SUMIF('1.3②原材料使用'!B:E,C225,'1.3②原材料使用'!E:E)</f>
        <v>0</v>
      </c>
      <c r="I225" s="13">
        <f ca="1">SUMIF('2.10原液別作業時間'!A:B,C225,'2.10原液別作業時間'!B:B)</f>
        <v>0</v>
      </c>
      <c r="J225" s="13">
        <f ca="1">SUM(G225:H225,K225)</f>
        <v>78994</v>
      </c>
      <c r="K225" s="13">
        <f ca="1">SUMIF('2.2⑤純増減→前工程費'!B:E,C225,'2.2⑤純増減→前工程費'!E:E)</f>
        <v>0</v>
      </c>
      <c r="L225" s="13">
        <f ca="1">SUMIF('2.6完成品'!C:D,C225,'2.6完成品'!D:D)</f>
        <v>0</v>
      </c>
      <c r="M225" s="13">
        <f ca="1">SUMIF('2.3研究費'!D:E,C225,'2.3研究費'!E:E)</f>
        <v>0</v>
      </c>
      <c r="N225" s="13">
        <f ca="1">SUMIF('2.4販促費'!D:E,C225,'2.4販促費'!E:E)</f>
        <v>0</v>
      </c>
      <c r="O225" s="13">
        <f ca="1">SUMIF('2.5廃棄処分'!D:E,C225,'2.5廃棄処分'!E:E)</f>
        <v>0</v>
      </c>
      <c r="P225" s="13">
        <f ca="1">SUMIF('2.1④異種原液'!D:E,C225,'2.1④異種原液'!E:E)</f>
        <v>0</v>
      </c>
      <c r="Q225" s="14">
        <f ca="1">SUMIF('2.7製造部生産分'!D:I,C225,'2.7製造部生産分'!H:H)</f>
        <v>0</v>
      </c>
      <c r="R225" s="15">
        <f ca="1">-(G225+H225+K225-L225-M225-N225-O225-P225-Q225-S225)</f>
        <v>0</v>
      </c>
      <c r="S225" s="13">
        <f ca="1">SUMIF('2.9原液在庫'!B:H,C225,'2.9原液在庫'!H:H)</f>
        <v>78994</v>
      </c>
      <c r="T225" s="16">
        <f ca="1">IFERROR(SUM(G226:K226)/(G225+H225+K225),0)</f>
        <v>1139.419606326114</v>
      </c>
      <c r="U225" s="17" t="str">
        <f>C225</f>
        <v>22HI</v>
      </c>
      <c r="V225" s="18">
        <f ca="1">IF(ISERROR(SUM(G226:K226)/SUM(L225:Q225,S225)),0,SUM(G226:K226)/SUM(L225:Q225,S225))</f>
        <v>1139.419606326114</v>
      </c>
      <c r="W225" s="19">
        <f ca="1">V225</f>
        <v>1139.419606326114</v>
      </c>
      <c r="X225" s="20">
        <f ca="1">W225/1000</f>
        <v>1.1394196063261139</v>
      </c>
    </row>
    <row r="226" spans="1:24">
      <c r="A226" s="212"/>
      <c r="B226" s="212"/>
      <c r="C226" s="199"/>
      <c r="D226" s="199"/>
      <c r="E226" s="199"/>
      <c r="F226" s="21" t="s">
        <v>247</v>
      </c>
      <c r="G226" s="22">
        <v>87637492.38212505</v>
      </c>
      <c r="H226" s="184"/>
      <c r="I226" s="23">
        <f ca="1">I225*労務費経費単価SC!D$7</f>
        <v>0</v>
      </c>
      <c r="J226" s="23">
        <f ca="1">J225*労務費経費単価SC!D$11</f>
        <v>2369820</v>
      </c>
      <c r="K226" s="22">
        <f ca="1">K225*$E225</f>
        <v>0</v>
      </c>
      <c r="L226" s="22">
        <f ca="1">L225*$E225</f>
        <v>0</v>
      </c>
      <c r="M226" s="22">
        <f t="shared" ref="M226" ca="1" si="764">M225*$E225</f>
        <v>0</v>
      </c>
      <c r="N226" s="22">
        <f t="shared" ref="N226" ca="1" si="765">N225*$E225</f>
        <v>0</v>
      </c>
      <c r="O226" s="22">
        <f t="shared" ref="O226" ca="1" si="766">O225*$E225</f>
        <v>0</v>
      </c>
      <c r="P226" s="22">
        <f t="shared" ref="P226" ca="1" si="767">P225*$E225</f>
        <v>0</v>
      </c>
      <c r="Q226" s="22">
        <f t="shared" ref="Q226" ca="1" si="768">Q225*$E225</f>
        <v>0</v>
      </c>
      <c r="R226" s="22">
        <f t="shared" ref="R226" ca="1" si="769">R225*$E225</f>
        <v>0</v>
      </c>
      <c r="S226" s="22">
        <f t="shared" ref="S226" ca="1" si="770">S225*$E225</f>
        <v>92896944</v>
      </c>
      <c r="U226" s="17"/>
      <c r="V226" s="18"/>
      <c r="W226" s="19"/>
      <c r="X226" s="20"/>
    </row>
    <row r="227" spans="1:24">
      <c r="A227" s="212"/>
      <c r="B227" s="212"/>
      <c r="C227" s="199" t="s">
        <v>69</v>
      </c>
      <c r="D227" s="199" t="str">
        <f>VLOOKUP(C227,'仕掛品名寄（貼付）'!B:C,2,FALSE)</f>
        <v>HIパ</v>
      </c>
      <c r="E227" s="199">
        <f>VLOOKUP(D227,'仕掛品標準単価一覧表（貼付）'!B:G,6,FALSE)</f>
        <v>1283</v>
      </c>
      <c r="F227" s="12" t="s">
        <v>246</v>
      </c>
      <c r="G227" s="24">
        <v>1151.5</v>
      </c>
      <c r="H227" s="13">
        <f ca="1">SUMIF('1.3②原材料使用'!B:E,C227,'1.3②原材料使用'!E:E)</f>
        <v>0</v>
      </c>
      <c r="I227" s="13">
        <f ca="1">SUMIF('2.10原液別作業時間'!A:B,C227,'2.10原液別作業時間'!B:B)</f>
        <v>0</v>
      </c>
      <c r="J227" s="13">
        <f ca="1">SUM(G227:H227,K227)</f>
        <v>1151.5</v>
      </c>
      <c r="K227" s="13">
        <f ca="1">SUMIF('2.2⑤純増減→前工程費'!B:E,C227,'2.2⑤純増減→前工程費'!E:E)</f>
        <v>0</v>
      </c>
      <c r="L227" s="13">
        <f ca="1">SUMIF('2.6完成品'!C:D,C227,'2.6完成品'!D:D)</f>
        <v>0</v>
      </c>
      <c r="M227" s="13">
        <f ca="1">SUMIF('2.3研究費'!D:E,C227,'2.3研究費'!E:E)</f>
        <v>0</v>
      </c>
      <c r="N227" s="13">
        <f ca="1">SUMIF('2.4販促費'!D:E,C227,'2.4販促費'!E:E)</f>
        <v>0</v>
      </c>
      <c r="O227" s="13">
        <f ca="1">SUMIF('2.5廃棄処分'!D:E,C227,'2.5廃棄処分'!E:E)</f>
        <v>0</v>
      </c>
      <c r="P227" s="13">
        <f ca="1">SUMIF('2.1④異種原液'!D:E,C227,'2.1④異種原液'!E:E)</f>
        <v>0</v>
      </c>
      <c r="Q227" s="14">
        <f ca="1">SUMIF('2.7製造部生産分'!D:I,C227,'2.7製造部生産分'!H:H)</f>
        <v>0</v>
      </c>
      <c r="R227" s="15">
        <f ca="1">-(G227+H227+K227-L227-M227-N227-O227-P227-Q227-S227)</f>
        <v>0</v>
      </c>
      <c r="S227" s="13">
        <f ca="1">SUMIF('2.9原液在庫'!B:H,C227,'2.9原液在庫'!H:H)</f>
        <v>1151.5</v>
      </c>
      <c r="T227" s="16">
        <f ca="1">IFERROR(SUM(G228:K228)/(G227+H227+K227),0)</f>
        <v>1202.3452128188935</v>
      </c>
      <c r="U227" s="17" t="str">
        <f>C227</f>
        <v>22HIﾊﾟ</v>
      </c>
      <c r="V227" s="18">
        <f ca="1">IF(ISERROR(SUM(G228:K228)/SUM(L227:Q227,S227)),0,SUM(G228:K228)/SUM(L227:Q227,S227))</f>
        <v>1202.3452128188935</v>
      </c>
      <c r="W227" s="19">
        <f ca="1">V227</f>
        <v>1202.3452128188935</v>
      </c>
      <c r="X227" s="20">
        <f ca="1">W227/1000</f>
        <v>1.2023452128188936</v>
      </c>
    </row>
    <row r="228" spans="1:24">
      <c r="A228" s="212"/>
      <c r="B228" s="212"/>
      <c r="C228" s="199"/>
      <c r="D228" s="199"/>
      <c r="E228" s="199"/>
      <c r="F228" s="21" t="s">
        <v>247</v>
      </c>
      <c r="G228" s="22">
        <v>1349955.5125609559</v>
      </c>
      <c r="H228" s="184"/>
      <c r="I228" s="23">
        <f ca="1">I227*労務費経費単価SC!D$7</f>
        <v>0</v>
      </c>
      <c r="J228" s="23">
        <f ca="1">J227*労務費経費単価SC!D$11</f>
        <v>34545</v>
      </c>
      <c r="K228" s="22">
        <f ca="1">K227*$E227</f>
        <v>0</v>
      </c>
      <c r="L228" s="22">
        <f ca="1">L227*$E227</f>
        <v>0</v>
      </c>
      <c r="M228" s="22">
        <f t="shared" ref="M228" ca="1" si="771">M227*$E227</f>
        <v>0</v>
      </c>
      <c r="N228" s="22">
        <f t="shared" ref="N228" ca="1" si="772">N227*$E227</f>
        <v>0</v>
      </c>
      <c r="O228" s="22">
        <f t="shared" ref="O228" ca="1" si="773">O227*$E227</f>
        <v>0</v>
      </c>
      <c r="P228" s="22">
        <f t="shared" ref="P228" ca="1" si="774">P227*$E227</f>
        <v>0</v>
      </c>
      <c r="Q228" s="22">
        <f t="shared" ref="Q228" ca="1" si="775">Q227*$E227</f>
        <v>0</v>
      </c>
      <c r="R228" s="22">
        <f t="shared" ref="R228" ca="1" si="776">R227*$E227</f>
        <v>0</v>
      </c>
      <c r="S228" s="22">
        <f t="shared" ref="S228" ca="1" si="777">S227*$E227</f>
        <v>1477374.5</v>
      </c>
      <c r="U228" s="17"/>
      <c r="V228" s="18"/>
      <c r="W228" s="19"/>
      <c r="X228" s="20"/>
    </row>
    <row r="229" spans="1:24">
      <c r="A229" s="212"/>
      <c r="B229" s="212"/>
      <c r="C229" s="199" t="s">
        <v>324</v>
      </c>
      <c r="D229" s="199" t="str">
        <f>VLOOKUP(C229,'仕掛品名寄（貼付）'!B:C,2,FALSE)</f>
        <v>G</v>
      </c>
      <c r="E229" s="199">
        <f>VLOOKUP(D229,'仕掛品標準単価一覧表（貼付）'!B:G,6,FALSE)</f>
        <v>2344.7183999999997</v>
      </c>
      <c r="F229" s="12" t="s">
        <v>246</v>
      </c>
      <c r="G229" s="13">
        <v>5267</v>
      </c>
      <c r="H229" s="13">
        <f ca="1">SUMIF('1.3②原材料使用'!B:E,C229,'1.3②原材料使用'!E:E)</f>
        <v>0</v>
      </c>
      <c r="I229" s="13">
        <f ca="1">SUMIF('2.10原液別作業時間'!A:B,C229,'2.10原液別作業時間'!B:B)</f>
        <v>0</v>
      </c>
      <c r="J229" s="13">
        <f ca="1">SUM(G229:H229,K229)</f>
        <v>5267</v>
      </c>
      <c r="K229" s="13">
        <f ca="1">SUMIF('2.2⑤純増減→前工程費'!B:E,C229,'2.2⑤純増減→前工程費'!E:E)</f>
        <v>0</v>
      </c>
      <c r="L229" s="13">
        <f ca="1">SUMIF('2.6完成品'!C:D,C229,'2.6完成品'!D:D)</f>
        <v>0</v>
      </c>
      <c r="M229" s="13">
        <f ca="1">SUMIF('2.3研究費'!D:E,C229,'2.3研究費'!E:E)</f>
        <v>0</v>
      </c>
      <c r="N229" s="13">
        <f ca="1">SUMIF('2.4販促費'!D:E,C229,'2.4販促費'!E:E)</f>
        <v>0</v>
      </c>
      <c r="O229" s="13">
        <f ca="1">SUMIF('2.5廃棄処分'!D:E,C229,'2.5廃棄処分'!E:E)</f>
        <v>0</v>
      </c>
      <c r="P229" s="13">
        <f ca="1">SUMIF('2.1④異種原液'!D:E,C229,'2.1④異種原液'!E:E)</f>
        <v>0</v>
      </c>
      <c r="Q229" s="14">
        <f ca="1">SUMIF('2.7製造部生産分'!D:I,C229,'2.7製造部生産分'!H:H)</f>
        <v>0</v>
      </c>
      <c r="R229" s="15">
        <f ca="1">-(G229+H229+K229-L229-M229-N229-O229-P229-Q229-S229)</f>
        <v>0</v>
      </c>
      <c r="S229" s="13">
        <f ca="1">SUMIF('2.9原液在庫'!B:H,C229,'2.9原液在庫'!H:H)</f>
        <v>5267</v>
      </c>
      <c r="T229" s="16">
        <f ca="1">IFERROR(SUM(G230:K230)/(G229+H229+K229),0)</f>
        <v>1058.6455252984133</v>
      </c>
      <c r="U229" s="17" t="str">
        <f>C229</f>
        <v>22G</v>
      </c>
      <c r="V229" s="18">
        <f ca="1">IF(ISERROR(SUM(G230:K230)/SUM(L229:Q229,S229)),0,SUM(G230:K230)/SUM(L229:Q229,S229))</f>
        <v>1058.6455252984133</v>
      </c>
      <c r="W229" s="19">
        <f ca="1">V229</f>
        <v>1058.6455252984133</v>
      </c>
      <c r="X229" s="20">
        <f ca="1">W229/1000</f>
        <v>1.0586455252984133</v>
      </c>
    </row>
    <row r="230" spans="1:24">
      <c r="A230" s="212"/>
      <c r="B230" s="212"/>
      <c r="C230" s="199"/>
      <c r="D230" s="199"/>
      <c r="E230" s="199"/>
      <c r="F230" s="21" t="s">
        <v>247</v>
      </c>
      <c r="G230" s="22">
        <v>5417875.9817467425</v>
      </c>
      <c r="H230" s="184"/>
      <c r="I230" s="23">
        <f ca="1">I229*労務費経費単価SC!D$7</f>
        <v>0</v>
      </c>
      <c r="J230" s="23">
        <f ca="1">J229*労務費経費単価SC!D$11</f>
        <v>158010</v>
      </c>
      <c r="K230" s="22">
        <f ca="1">K229*$E229</f>
        <v>0</v>
      </c>
      <c r="L230" s="22">
        <f ca="1">L229*$E229</f>
        <v>0</v>
      </c>
      <c r="M230" s="22">
        <f t="shared" ref="M230" ca="1" si="778">M229*$E229</f>
        <v>0</v>
      </c>
      <c r="N230" s="22">
        <f t="shared" ref="N230" ca="1" si="779">N229*$E229</f>
        <v>0</v>
      </c>
      <c r="O230" s="22">
        <f t="shared" ref="O230" ca="1" si="780">O229*$E229</f>
        <v>0</v>
      </c>
      <c r="P230" s="22">
        <f t="shared" ref="P230" ca="1" si="781">P229*$E229</f>
        <v>0</v>
      </c>
      <c r="Q230" s="22">
        <f t="shared" ref="Q230" ca="1" si="782">Q229*$E229</f>
        <v>0</v>
      </c>
      <c r="R230" s="22">
        <f t="shared" ref="R230" ca="1" si="783">R229*$E229</f>
        <v>0</v>
      </c>
      <c r="S230" s="22">
        <f t="shared" ref="S230" ca="1" si="784">S229*$E229</f>
        <v>12349631.812799999</v>
      </c>
      <c r="U230" s="17"/>
      <c r="V230" s="18"/>
      <c r="W230" s="19"/>
      <c r="X230" s="20"/>
    </row>
    <row r="231" spans="1:24">
      <c r="A231" s="212"/>
      <c r="B231" s="212"/>
      <c r="C231" s="199" t="s">
        <v>325</v>
      </c>
      <c r="D231" s="199" t="str">
        <f>VLOOKUP(C231,'仕掛品名寄（貼付）'!B:C,2,FALSE)</f>
        <v>その他</v>
      </c>
      <c r="E231" s="199">
        <f>VLOOKUP(D231,'仕掛品標準単価一覧表（貼付）'!B:G,6,FALSE)</f>
        <v>1080</v>
      </c>
      <c r="F231" s="12" t="s">
        <v>246</v>
      </c>
      <c r="G231" s="13">
        <v>13168</v>
      </c>
      <c r="H231" s="13">
        <f ca="1">SUMIF('1.3②原材料使用'!B:E,C231,'1.3②原材料使用'!E:E)</f>
        <v>0</v>
      </c>
      <c r="I231" s="13">
        <f ca="1">SUMIF('2.10原液別作業時間'!A:B,C231,'2.10原液別作業時間'!B:B)</f>
        <v>0</v>
      </c>
      <c r="J231" s="13">
        <f ca="1">SUM(G231:H231,K231)</f>
        <v>13168</v>
      </c>
      <c r="K231" s="13">
        <f ca="1">SUMIF('2.2⑤純増減→前工程費'!B:E,C231,'2.2⑤純増減→前工程費'!E:E)</f>
        <v>0</v>
      </c>
      <c r="L231" s="13">
        <f ca="1">SUMIF('2.6完成品'!C:D,C231,'2.6完成品'!D:D)</f>
        <v>0</v>
      </c>
      <c r="M231" s="13">
        <f ca="1">SUMIF('2.3研究費'!D:E,C231,'2.3研究費'!E:E)</f>
        <v>0</v>
      </c>
      <c r="N231" s="13">
        <f ca="1">SUMIF('2.4販促費'!D:E,C231,'2.4販促費'!E:E)</f>
        <v>0</v>
      </c>
      <c r="O231" s="13">
        <f ca="1">SUMIF('2.5廃棄処分'!D:E,C231,'2.5廃棄処分'!E:E)</f>
        <v>0</v>
      </c>
      <c r="P231" s="13">
        <f ca="1">SUMIF('2.1④異種原液'!D:E,C231,'2.1④異種原液'!E:E)</f>
        <v>0</v>
      </c>
      <c r="Q231" s="14">
        <f ca="1">SUMIF('2.7製造部生産分'!D:I,C231,'2.7製造部生産分'!H:H)</f>
        <v>0</v>
      </c>
      <c r="R231" s="15">
        <f ca="1">-(G231+H231+K231-L231-M231-N231-O231-P231-Q231-S231)</f>
        <v>0</v>
      </c>
      <c r="S231" s="13">
        <f ca="1">SUMIF('2.9原液在庫'!B:H,C231,'2.9原液在庫'!H:H)</f>
        <v>13168</v>
      </c>
      <c r="T231" s="16">
        <f ca="1">IFERROR(SUM(G232:K232)/(G231+H231+K231),0)</f>
        <v>1102.0324130093213</v>
      </c>
      <c r="U231" s="17" t="str">
        <f>C231</f>
        <v>22Gﾊﾟ</v>
      </c>
      <c r="V231" s="18">
        <f ca="1">IF(ISERROR(SUM(G232:K232)/SUM(L231:Q231,S231)),0,SUM(G232:K232)/SUM(L231:Q231,S231))</f>
        <v>1102.0324130093213</v>
      </c>
      <c r="W231" s="19">
        <f ca="1">V231</f>
        <v>1102.0324130093213</v>
      </c>
      <c r="X231" s="20">
        <f ca="1">W231/1000</f>
        <v>1.1020324130093213</v>
      </c>
    </row>
    <row r="232" spans="1:24">
      <c r="A232" s="212"/>
      <c r="B232" s="212"/>
      <c r="C232" s="199"/>
      <c r="D232" s="199"/>
      <c r="E232" s="199"/>
      <c r="F232" s="21" t="s">
        <v>247</v>
      </c>
      <c r="G232" s="22">
        <v>14116522.814506743</v>
      </c>
      <c r="H232" s="184"/>
      <c r="I232" s="23">
        <f ca="1">I231*労務費経費単価SC!D$7</f>
        <v>0</v>
      </c>
      <c r="J232" s="23">
        <f ca="1">J231*労務費経費単価SC!D$11</f>
        <v>395040</v>
      </c>
      <c r="K232" s="22">
        <f ca="1">K231*$E231</f>
        <v>0</v>
      </c>
      <c r="L232" s="22">
        <f ca="1">L231*$E231</f>
        <v>0</v>
      </c>
      <c r="M232" s="22">
        <f t="shared" ref="M232" ca="1" si="785">M231*$E231</f>
        <v>0</v>
      </c>
      <c r="N232" s="22">
        <f t="shared" ref="N232" ca="1" si="786">N231*$E231</f>
        <v>0</v>
      </c>
      <c r="O232" s="22">
        <f t="shared" ref="O232" ca="1" si="787">O231*$E231</f>
        <v>0</v>
      </c>
      <c r="P232" s="22">
        <f t="shared" ref="P232" ca="1" si="788">P231*$E231</f>
        <v>0</v>
      </c>
      <c r="Q232" s="22">
        <f t="shared" ref="Q232" ca="1" si="789">Q231*$E231</f>
        <v>0</v>
      </c>
      <c r="R232" s="22">
        <f t="shared" ref="R232" ca="1" si="790">R231*$E231</f>
        <v>0</v>
      </c>
      <c r="S232" s="22">
        <f t="shared" ref="S232" ca="1" si="791">S231*$E231</f>
        <v>14221440</v>
      </c>
      <c r="U232" s="17"/>
      <c r="V232" s="18"/>
      <c r="W232" s="19"/>
      <c r="X232" s="20"/>
    </row>
    <row r="233" spans="1:24">
      <c r="A233" s="212"/>
      <c r="B233" s="212"/>
      <c r="C233" s="206" t="s">
        <v>326</v>
      </c>
      <c r="D233" s="199" t="str">
        <f>VLOOKUP(C233,'仕掛品名寄（貼付）'!B:C,2,FALSE)</f>
        <v>その他</v>
      </c>
      <c r="E233" s="199">
        <f>VLOOKUP(D233,'仕掛品標準単価一覧表（貼付）'!B:G,6,FALSE)</f>
        <v>1080</v>
      </c>
      <c r="F233" s="12" t="s">
        <v>246</v>
      </c>
      <c r="G233" s="13">
        <v>0</v>
      </c>
      <c r="H233" s="13">
        <f ca="1">SUMIF('1.3②原材料使用'!B:E,C233,'1.3②原材料使用'!E:E)</f>
        <v>0</v>
      </c>
      <c r="I233" s="13">
        <f ca="1">SUMIF('2.10原液別作業時間'!A:B,C233,'2.10原液別作業時間'!B:B)</f>
        <v>0</v>
      </c>
      <c r="J233" s="13">
        <f ca="1">SUM(G233:H233,K233)</f>
        <v>0</v>
      </c>
      <c r="K233" s="13">
        <f ca="1">SUMIF('2.2⑤純増減→前工程費'!B:E,C233,'2.2⑤純増減→前工程費'!E:E)</f>
        <v>0</v>
      </c>
      <c r="L233" s="13">
        <f ca="1">SUMIF('2.6完成品'!C:D,C233,'2.6完成品'!D:D)</f>
        <v>0</v>
      </c>
      <c r="M233" s="13">
        <f ca="1">SUMIF('2.3研究費'!D:E,C233,'2.3研究費'!E:E)</f>
        <v>0</v>
      </c>
      <c r="N233" s="13">
        <f ca="1">SUMIF('2.4販促費'!D:E,C233,'2.4販促費'!E:E)</f>
        <v>0</v>
      </c>
      <c r="O233" s="13">
        <f ca="1">SUMIF('2.5廃棄処分'!D:E,C233,'2.5廃棄処分'!E:E)</f>
        <v>0</v>
      </c>
      <c r="P233" s="13">
        <f ca="1">SUMIF('2.1④異種原液'!D:E,C233,'2.1④異種原液'!E:E)</f>
        <v>0</v>
      </c>
      <c r="Q233" s="14">
        <f ca="1">SUMIF('2.7製造部生産分'!D:I,C233,'2.7製造部生産分'!H:H)</f>
        <v>0</v>
      </c>
      <c r="R233" s="15">
        <f ca="1">-(G233+H233+K233-L233-M233-N233-O233-P233-Q233-S233)</f>
        <v>0</v>
      </c>
      <c r="S233" s="13">
        <f ca="1">SUMIF('2.9原液在庫'!B:H,C233,'2.9原液在庫'!H:H)</f>
        <v>0</v>
      </c>
      <c r="T233" s="16">
        <f ca="1">IFERROR(SUM(G234:K234)/(G233+H233+K233),0)</f>
        <v>0</v>
      </c>
      <c r="U233" s="17" t="str">
        <f>C233</f>
        <v>22RAｶﾘﾝ</v>
      </c>
      <c r="V233" s="18">
        <f ca="1">IF(ISERROR(SUM(G234:K234)/SUM(L233:Q233,S233)),0,SUM(G234:K234)/SUM(L233:Q233,S233))</f>
        <v>0</v>
      </c>
      <c r="W233" s="19">
        <f ca="1">V233</f>
        <v>0</v>
      </c>
      <c r="X233" s="20">
        <f ca="1">W233/1000</f>
        <v>0</v>
      </c>
    </row>
    <row r="234" spans="1:24">
      <c r="A234" s="212"/>
      <c r="B234" s="212"/>
      <c r="C234" s="199"/>
      <c r="D234" s="199"/>
      <c r="E234" s="199"/>
      <c r="F234" s="21" t="s">
        <v>247</v>
      </c>
      <c r="G234" s="22" t="s">
        <v>254</v>
      </c>
      <c r="H234" s="184"/>
      <c r="I234" s="23">
        <f ca="1">I233*労務費経費単価SC!D$7</f>
        <v>0</v>
      </c>
      <c r="J234" s="23">
        <f ca="1">J233*労務費経費単価SC!D$11</f>
        <v>0</v>
      </c>
      <c r="K234" s="22">
        <f ca="1">K233*$E233</f>
        <v>0</v>
      </c>
      <c r="L234" s="22">
        <f ca="1">L233*$E233</f>
        <v>0</v>
      </c>
      <c r="M234" s="22">
        <f t="shared" ref="M234" ca="1" si="792">M233*$E233</f>
        <v>0</v>
      </c>
      <c r="N234" s="22">
        <f t="shared" ref="N234" ca="1" si="793">N233*$E233</f>
        <v>0</v>
      </c>
      <c r="O234" s="22">
        <f t="shared" ref="O234" ca="1" si="794">O233*$E233</f>
        <v>0</v>
      </c>
      <c r="P234" s="22">
        <f t="shared" ref="P234" ca="1" si="795">P233*$E233</f>
        <v>0</v>
      </c>
      <c r="Q234" s="22">
        <f t="shared" ref="Q234" ca="1" si="796">Q233*$E233</f>
        <v>0</v>
      </c>
      <c r="R234" s="22">
        <f t="shared" ref="R234" ca="1" si="797">R233*$E233</f>
        <v>0</v>
      </c>
      <c r="S234" s="22">
        <f t="shared" ref="S234" ca="1" si="798">S233*$E233</f>
        <v>0</v>
      </c>
      <c r="U234" s="17"/>
      <c r="V234" s="18"/>
      <c r="W234" s="19"/>
      <c r="X234" s="20"/>
    </row>
    <row r="235" spans="1:24">
      <c r="A235" s="212"/>
      <c r="B235" s="212"/>
      <c r="C235" s="206" t="s">
        <v>327</v>
      </c>
      <c r="D235" s="199" t="str">
        <f>VLOOKUP(C235,'仕掛品名寄（貼付）'!B:C,2,FALSE)</f>
        <v>その他</v>
      </c>
      <c r="E235" s="199">
        <f>VLOOKUP(D235,'仕掛品標準単価一覧表（貼付）'!B:G,6,FALSE)</f>
        <v>1080</v>
      </c>
      <c r="F235" s="12" t="s">
        <v>246</v>
      </c>
      <c r="G235" s="13">
        <v>0</v>
      </c>
      <c r="H235" s="13">
        <f ca="1">SUMIF('1.3②原材料使用'!B:E,C235,'1.3②原材料使用'!E:E)</f>
        <v>0</v>
      </c>
      <c r="I235" s="13">
        <f ca="1">SUMIF('2.10原液別作業時間'!A:B,C235,'2.10原液別作業時間'!B:B)</f>
        <v>0</v>
      </c>
      <c r="J235" s="13">
        <f ca="1">SUM(G235:H235,K235)</f>
        <v>0</v>
      </c>
      <c r="K235" s="13">
        <f ca="1">SUMIF('2.2⑤純増減→前工程費'!B:E,C235,'2.2⑤純増減→前工程費'!E:E)</f>
        <v>0</v>
      </c>
      <c r="L235" s="13">
        <f ca="1">SUMIF('2.6完成品'!C:D,C235,'2.6完成品'!D:D)</f>
        <v>0</v>
      </c>
      <c r="M235" s="13">
        <f ca="1">SUMIF('2.3研究費'!D:E,C235,'2.3研究費'!E:E)</f>
        <v>0</v>
      </c>
      <c r="N235" s="13">
        <f ca="1">SUMIF('2.4販促費'!D:E,C235,'2.4販促費'!E:E)</f>
        <v>0</v>
      </c>
      <c r="O235" s="13">
        <f ca="1">SUMIF('2.5廃棄処分'!D:E,C235,'2.5廃棄処分'!E:E)</f>
        <v>0</v>
      </c>
      <c r="P235" s="13">
        <f ca="1">SUMIF('2.1④異種原液'!D:E,C235,'2.1④異種原液'!E:E)</f>
        <v>0</v>
      </c>
      <c r="Q235" s="14">
        <f ca="1">SUMIF('2.7製造部生産分'!D:I,C235,'2.7製造部生産分'!H:H)</f>
        <v>0</v>
      </c>
      <c r="R235" s="15">
        <f ca="1">-(G235+H235+K235-L235-M235-N235-O235-P235-Q235-S235)</f>
        <v>0</v>
      </c>
      <c r="S235" s="13">
        <f ca="1">SUMIF('2.9原液在庫'!B:H,C235,'2.9原液在庫'!H:H)</f>
        <v>0</v>
      </c>
      <c r="T235" s="16">
        <f ca="1">IFERROR(SUM(G236:K236)/(G235+H235+K235),0)</f>
        <v>0</v>
      </c>
      <c r="U235" s="17" t="str">
        <f>C235</f>
        <v>22RBｶﾘﾝ</v>
      </c>
      <c r="V235" s="18">
        <f ca="1">IF(ISERROR(SUM(G236:K236)/SUM(L235:Q235,S235)),0,SUM(G236:K236)/SUM(L235:Q235,S235))</f>
        <v>0</v>
      </c>
      <c r="W235" s="19">
        <f ca="1">V235</f>
        <v>0</v>
      </c>
      <c r="X235" s="20">
        <f ca="1">W235/1000</f>
        <v>0</v>
      </c>
    </row>
    <row r="236" spans="1:24">
      <c r="A236" s="212"/>
      <c r="B236" s="212"/>
      <c r="C236" s="199"/>
      <c r="D236" s="199"/>
      <c r="E236" s="199"/>
      <c r="F236" s="21" t="s">
        <v>247</v>
      </c>
      <c r="G236" s="22" t="s">
        <v>254</v>
      </c>
      <c r="H236" s="184"/>
      <c r="I236" s="23">
        <f ca="1">I235*労務費経費単価SC!D$7</f>
        <v>0</v>
      </c>
      <c r="J236" s="23">
        <f ca="1">J235*労務費経費単価SC!D$11</f>
        <v>0</v>
      </c>
      <c r="K236" s="22">
        <f ca="1">K235*$E235</f>
        <v>0</v>
      </c>
      <c r="L236" s="22">
        <f ca="1">L235*$E235</f>
        <v>0</v>
      </c>
      <c r="M236" s="22">
        <f t="shared" ref="M236" ca="1" si="799">M235*$E235</f>
        <v>0</v>
      </c>
      <c r="N236" s="22">
        <f t="shared" ref="N236" ca="1" si="800">N235*$E235</f>
        <v>0</v>
      </c>
      <c r="O236" s="22">
        <f t="shared" ref="O236" ca="1" si="801">O235*$E235</f>
        <v>0</v>
      </c>
      <c r="P236" s="22">
        <f t="shared" ref="P236" ca="1" si="802">P235*$E235</f>
        <v>0</v>
      </c>
      <c r="Q236" s="22">
        <f t="shared" ref="Q236" ca="1" si="803">Q235*$E235</f>
        <v>0</v>
      </c>
      <c r="R236" s="22">
        <f t="shared" ref="R236" ca="1" si="804">R235*$E235</f>
        <v>0</v>
      </c>
      <c r="S236" s="22">
        <f t="shared" ref="S236" ca="1" si="805">S235*$E235</f>
        <v>0</v>
      </c>
      <c r="U236" s="17"/>
      <c r="V236" s="18"/>
      <c r="W236" s="19"/>
      <c r="X236" s="20"/>
    </row>
    <row r="237" spans="1:24">
      <c r="A237" s="212"/>
      <c r="B237" s="212"/>
      <c r="C237" s="199" t="s">
        <v>73</v>
      </c>
      <c r="D237" s="199" t="str">
        <f>VLOOKUP(C237,'仕掛品名寄（貼付）'!B:C,2,FALSE)</f>
        <v>RX</v>
      </c>
      <c r="E237" s="199">
        <f>VLOOKUP(D237,'仕掛品標準単価一覧表（貼付）'!B:G,6,FALSE)</f>
        <v>847</v>
      </c>
      <c r="F237" s="12" t="s">
        <v>246</v>
      </c>
      <c r="G237" s="13">
        <v>0</v>
      </c>
      <c r="H237" s="13">
        <f ca="1">SUMIF('1.3②原材料使用'!B:E,C237,'1.3②原材料使用'!E:E)</f>
        <v>0</v>
      </c>
      <c r="I237" s="13">
        <f ca="1">SUMIF('2.10原液別作業時間'!A:B,C237,'2.10原液別作業時間'!B:B)</f>
        <v>0</v>
      </c>
      <c r="J237" s="13">
        <f ca="1">SUM(G237:H237,K237)</f>
        <v>0</v>
      </c>
      <c r="K237" s="13">
        <f ca="1">SUMIF('2.2⑤純増減→前工程費'!B:E,C237,'2.2⑤純増減→前工程費'!E:E)</f>
        <v>0</v>
      </c>
      <c r="L237" s="13">
        <f ca="1">SUMIF('2.6完成品'!C:D,C237,'2.6完成品'!D:D)</f>
        <v>0</v>
      </c>
      <c r="M237" s="13">
        <f ca="1">SUMIF('2.3研究費'!D:E,C237,'2.3研究費'!E:E)</f>
        <v>0</v>
      </c>
      <c r="N237" s="13">
        <f ca="1">SUMIF('2.4販促費'!D:E,C237,'2.4販促費'!E:E)</f>
        <v>0</v>
      </c>
      <c r="O237" s="13">
        <f ca="1">SUMIF('2.5廃棄処分'!D:E,C237,'2.5廃棄処分'!E:E)</f>
        <v>0</v>
      </c>
      <c r="P237" s="13">
        <f ca="1">SUMIF('2.1④異種原液'!D:E,C237,'2.1④異種原液'!E:E)</f>
        <v>0</v>
      </c>
      <c r="Q237" s="14">
        <f ca="1">SUMIF('2.7製造部生産分'!D:I,C237,'2.7製造部生産分'!H:H)</f>
        <v>0</v>
      </c>
      <c r="R237" s="15">
        <f ca="1">-(G237+H237+K237-L237-M237-N237-O237-P237-Q237-S237)</f>
        <v>0</v>
      </c>
      <c r="S237" s="13">
        <f ca="1">SUMIF('2.9原液在庫'!B:H,C237,'2.9原液在庫'!H:H)</f>
        <v>0</v>
      </c>
      <c r="T237" s="16">
        <f ca="1">IFERROR(SUM(G238:K238)/(G237+H237+K237),0)</f>
        <v>0</v>
      </c>
      <c r="U237" s="17" t="str">
        <f>C237</f>
        <v>22RX</v>
      </c>
      <c r="V237" s="18">
        <f ca="1">IF(ISERROR(SUM(G238:K238)/SUM(L237:Q237,S237)),0,SUM(G238:K238)/SUM(L237:Q237,S237))</f>
        <v>0</v>
      </c>
      <c r="W237" s="19">
        <f ca="1">V237</f>
        <v>0</v>
      </c>
      <c r="X237" s="20">
        <f ca="1">W237/1000</f>
        <v>0</v>
      </c>
    </row>
    <row r="238" spans="1:24">
      <c r="A238" s="201"/>
      <c r="B238" s="201"/>
      <c r="C238" s="199"/>
      <c r="D238" s="199"/>
      <c r="E238" s="199"/>
      <c r="F238" s="21" t="s">
        <v>247</v>
      </c>
      <c r="G238" s="22" t="s">
        <v>254</v>
      </c>
      <c r="H238" s="184"/>
      <c r="I238" s="23">
        <f ca="1">I237*労務費経費単価SC!D$7</f>
        <v>0</v>
      </c>
      <c r="J238" s="23">
        <f ca="1">J237*労務費経費単価SC!D$11</f>
        <v>0</v>
      </c>
      <c r="K238" s="22">
        <f ca="1">K237*$E237</f>
        <v>0</v>
      </c>
      <c r="L238" s="22">
        <f ca="1">L237*$E237</f>
        <v>0</v>
      </c>
      <c r="M238" s="22">
        <f t="shared" ref="M238" ca="1" si="806">M237*$E237</f>
        <v>0</v>
      </c>
      <c r="N238" s="22">
        <f t="shared" ref="N238" ca="1" si="807">N237*$E237</f>
        <v>0</v>
      </c>
      <c r="O238" s="22">
        <f t="shared" ref="O238" ca="1" si="808">O237*$E237</f>
        <v>0</v>
      </c>
      <c r="P238" s="22">
        <f t="shared" ref="P238" ca="1" si="809">P237*$E237</f>
        <v>0</v>
      </c>
      <c r="Q238" s="22">
        <f t="shared" ref="Q238" ca="1" si="810">Q237*$E237</f>
        <v>0</v>
      </c>
      <c r="R238" s="22">
        <f t="shared" ref="R238" ca="1" si="811">R237*$E237</f>
        <v>0</v>
      </c>
      <c r="S238" s="22">
        <f t="shared" ref="S238" ca="1" si="812">S237*$E237</f>
        <v>0</v>
      </c>
      <c r="U238" s="17"/>
      <c r="V238" s="18"/>
      <c r="W238" s="19"/>
      <c r="X238" s="20"/>
    </row>
    <row r="239" spans="1:24">
      <c r="A239" s="199" t="s">
        <v>328</v>
      </c>
      <c r="B239" s="199">
        <v>23</v>
      </c>
      <c r="C239" s="199" t="s">
        <v>329</v>
      </c>
      <c r="D239" s="199" t="str">
        <f>VLOOKUP(C239,'仕掛品名寄（貼付）'!B:C,2,FALSE)</f>
        <v>R</v>
      </c>
      <c r="E239" s="199">
        <f>VLOOKUP(D239,'仕掛品標準単価一覧表（貼付）'!B:G,6,FALSE)</f>
        <v>908</v>
      </c>
      <c r="F239" s="12" t="s">
        <v>246</v>
      </c>
      <c r="G239" s="13">
        <v>0</v>
      </c>
      <c r="H239" s="13">
        <f ca="1">SUMIF('1.3②原材料使用'!B:E,C239,'1.3②原材料使用'!E:E)</f>
        <v>0</v>
      </c>
      <c r="I239" s="13">
        <f ca="1">SUMIF('2.10原液別作業時間'!A:B,C239,'2.10原液別作業時間'!B:B)</f>
        <v>0</v>
      </c>
      <c r="J239" s="13">
        <f ca="1">SUM(G239:H239,K239)</f>
        <v>0</v>
      </c>
      <c r="K239" s="13">
        <f ca="1">SUMIF('2.2⑤純増減→前工程費'!B:E,C239,'2.2⑤純増減→前工程費'!E:E)</f>
        <v>0</v>
      </c>
      <c r="L239" s="13">
        <f ca="1">SUMIF('2.6完成品'!C:D,C239,'2.6完成品'!D:D)</f>
        <v>0</v>
      </c>
      <c r="M239" s="13">
        <f ca="1">SUMIF('2.3研究費'!D:E,C239,'2.3研究費'!E:E)</f>
        <v>0</v>
      </c>
      <c r="N239" s="13">
        <f ca="1">SUMIF('2.4販促費'!D:E,C239,'2.4販促費'!E:E)</f>
        <v>0</v>
      </c>
      <c r="O239" s="13">
        <f ca="1">SUMIF('2.5廃棄処分'!D:E,C239,'2.5廃棄処分'!E:E)</f>
        <v>0</v>
      </c>
      <c r="P239" s="13">
        <f ca="1">SUMIF('2.1④異種原液'!D:E,C239,'2.1④異種原液'!E:E)</f>
        <v>0</v>
      </c>
      <c r="Q239" s="14">
        <f ca="1">SUMIF('2.7製造部生産分'!D:I,C239,'2.7製造部生産分'!H:H)</f>
        <v>0</v>
      </c>
      <c r="R239" s="15">
        <f ca="1">-(G239+H239+K239-L239-M239-N239-O239-P239-Q239-S239)</f>
        <v>0</v>
      </c>
      <c r="S239" s="13">
        <f ca="1">SUMIF('2.9原液在庫'!B:H,C239,'2.9原液在庫'!H:H)</f>
        <v>0</v>
      </c>
      <c r="T239" s="16">
        <f ca="1">IFERROR(SUM(G240:K240)/(G239+H239+K239),0)</f>
        <v>0</v>
      </c>
      <c r="U239" s="17" t="str">
        <f>C239</f>
        <v>23R</v>
      </c>
      <c r="V239" s="18">
        <f ca="1">IF(ISERROR(SUM(G240:K240)/SUM(L239:Q239,S239)),0,SUM(G240:K240)/SUM(L239:Q239,S239))</f>
        <v>0</v>
      </c>
      <c r="W239" s="19">
        <f ca="1">V239</f>
        <v>0</v>
      </c>
      <c r="X239" s="20">
        <f ca="1">W239/1000</f>
        <v>0</v>
      </c>
    </row>
    <row r="240" spans="1:24">
      <c r="A240" s="199"/>
      <c r="B240" s="199"/>
      <c r="C240" s="199"/>
      <c r="D240" s="199"/>
      <c r="E240" s="199"/>
      <c r="F240" s="21" t="s">
        <v>247</v>
      </c>
      <c r="G240" s="22" t="s">
        <v>254</v>
      </c>
      <c r="H240" s="184"/>
      <c r="I240" s="23">
        <f ca="1">I239*労務費経費単価SC!D$7</f>
        <v>0</v>
      </c>
      <c r="J240" s="23">
        <f ca="1">J239*労務費経費単価SC!D$11</f>
        <v>0</v>
      </c>
      <c r="K240" s="22">
        <f ca="1">K239*$E239</f>
        <v>0</v>
      </c>
      <c r="L240" s="22">
        <f ca="1">L239*$E239</f>
        <v>0</v>
      </c>
      <c r="M240" s="22">
        <f t="shared" ref="M240" ca="1" si="813">M239*$E239</f>
        <v>0</v>
      </c>
      <c r="N240" s="22">
        <f t="shared" ref="N240" ca="1" si="814">N239*$E239</f>
        <v>0</v>
      </c>
      <c r="O240" s="22">
        <f t="shared" ref="O240" ca="1" si="815">O239*$E239</f>
        <v>0</v>
      </c>
      <c r="P240" s="22">
        <f t="shared" ref="P240" ca="1" si="816">P239*$E239</f>
        <v>0</v>
      </c>
      <c r="Q240" s="22">
        <f t="shared" ref="Q240" ca="1" si="817">Q239*$E239</f>
        <v>0</v>
      </c>
      <c r="R240" s="22">
        <f t="shared" ref="R240" ca="1" si="818">R239*$E239</f>
        <v>0</v>
      </c>
      <c r="S240" s="22">
        <f t="shared" ref="S240" ca="1" si="819">S239*$E239</f>
        <v>0</v>
      </c>
      <c r="U240" s="17"/>
      <c r="V240" s="18"/>
      <c r="W240" s="19"/>
      <c r="X240" s="20"/>
    </row>
    <row r="241" spans="1:24">
      <c r="A241" s="199"/>
      <c r="B241" s="199"/>
      <c r="C241" s="199" t="s">
        <v>330</v>
      </c>
      <c r="D241" s="199" t="str">
        <f>VLOOKUP(C241,'仕掛品名寄（貼付）'!B:C,2,FALSE)</f>
        <v>Rシ</v>
      </c>
      <c r="E241" s="199">
        <f>VLOOKUP(D241,'仕掛品標準単価一覧表（貼付）'!B:G,6,FALSE)</f>
        <v>991</v>
      </c>
      <c r="F241" s="12" t="s">
        <v>246</v>
      </c>
      <c r="G241" s="13">
        <v>0</v>
      </c>
      <c r="H241" s="13">
        <f ca="1">SUMIF('1.3②原材料使用'!B:E,C241,'1.3②原材料使用'!E:E)</f>
        <v>0</v>
      </c>
      <c r="I241" s="13">
        <f ca="1">SUMIF('2.10原液別作業時間'!A:B,C241,'2.10原液別作業時間'!B:B)</f>
        <v>0</v>
      </c>
      <c r="J241" s="13">
        <f ca="1">SUM(G241:H241,K241)</f>
        <v>0</v>
      </c>
      <c r="K241" s="13">
        <f ca="1">SUMIF('2.2⑤純増減→前工程費'!B:E,C241,'2.2⑤純増減→前工程費'!E:E)</f>
        <v>0</v>
      </c>
      <c r="L241" s="13">
        <f ca="1">SUMIF('2.6完成品'!C:D,C241,'2.6完成品'!D:D)</f>
        <v>0</v>
      </c>
      <c r="M241" s="13">
        <f ca="1">SUMIF('2.3研究費'!D:E,C241,'2.3研究費'!E:E)</f>
        <v>0</v>
      </c>
      <c r="N241" s="13">
        <f ca="1">SUMIF('2.4販促費'!D:E,C241,'2.4販促費'!E:E)</f>
        <v>0</v>
      </c>
      <c r="O241" s="13">
        <f ca="1">SUMIF('2.5廃棄処分'!D:E,C241,'2.5廃棄処分'!E:E)</f>
        <v>0</v>
      </c>
      <c r="P241" s="13">
        <f ca="1">SUMIF('2.1④異種原液'!D:E,C241,'2.1④異種原液'!E:E)</f>
        <v>0</v>
      </c>
      <c r="Q241" s="14">
        <f ca="1">SUMIF('2.7製造部生産分'!D:I,C241,'2.7製造部生産分'!H:H)</f>
        <v>0</v>
      </c>
      <c r="R241" s="15">
        <f ca="1">-(G241+H241+K241-L241-M241-N241-O241-P241-Q241-S241)</f>
        <v>0</v>
      </c>
      <c r="S241" s="13">
        <f ca="1">SUMIF('2.9原液在庫'!B:H,C241,'2.9原液在庫'!H:H)</f>
        <v>0</v>
      </c>
      <c r="T241" s="16">
        <f ca="1">IFERROR(SUM(G242:K242)/(G241+H241+K241),0)</f>
        <v>0</v>
      </c>
      <c r="U241" s="17" t="str">
        <f>C241</f>
        <v>23Rｼ</v>
      </c>
      <c r="V241" s="18">
        <f ca="1">IF(ISERROR(SUM(G242:K242)/SUM(L241:Q241,S241)),0,SUM(G242:K242)/SUM(L241:Q241,S241))</f>
        <v>0</v>
      </c>
      <c r="W241" s="19">
        <f ca="1">V241</f>
        <v>0</v>
      </c>
      <c r="X241" s="20">
        <f ca="1">W241/1000</f>
        <v>0</v>
      </c>
    </row>
    <row r="242" spans="1:24">
      <c r="A242" s="199"/>
      <c r="B242" s="199"/>
      <c r="C242" s="199"/>
      <c r="D242" s="199"/>
      <c r="E242" s="199"/>
      <c r="F242" s="21" t="s">
        <v>247</v>
      </c>
      <c r="G242" s="22" t="s">
        <v>254</v>
      </c>
      <c r="H242" s="184"/>
      <c r="I242" s="23">
        <f ca="1">I241*労務費経費単価SC!D$7</f>
        <v>0</v>
      </c>
      <c r="J242" s="23">
        <f ca="1">J241*労務費経費単価SC!D$11</f>
        <v>0</v>
      </c>
      <c r="K242" s="22">
        <f ca="1">K241*$E241</f>
        <v>0</v>
      </c>
      <c r="L242" s="22">
        <f ca="1">L241*$E241</f>
        <v>0</v>
      </c>
      <c r="M242" s="22">
        <f t="shared" ref="M242" ca="1" si="820">M241*$E241</f>
        <v>0</v>
      </c>
      <c r="N242" s="22">
        <f t="shared" ref="N242" ca="1" si="821">N241*$E241</f>
        <v>0</v>
      </c>
      <c r="O242" s="22">
        <f t="shared" ref="O242" ca="1" si="822">O241*$E241</f>
        <v>0</v>
      </c>
      <c r="P242" s="22">
        <f t="shared" ref="P242" ca="1" si="823">P241*$E241</f>
        <v>0</v>
      </c>
      <c r="Q242" s="22">
        <f t="shared" ref="Q242" ca="1" si="824">Q241*$E241</f>
        <v>0</v>
      </c>
      <c r="R242" s="22">
        <f t="shared" ref="R242" ca="1" si="825">R241*$E241</f>
        <v>0</v>
      </c>
      <c r="S242" s="22">
        <f t="shared" ref="S242" ca="1" si="826">S241*$E241</f>
        <v>0</v>
      </c>
      <c r="U242" s="17"/>
      <c r="V242" s="18"/>
      <c r="W242" s="19"/>
      <c r="X242" s="20"/>
    </row>
    <row r="243" spans="1:24">
      <c r="A243" s="199"/>
      <c r="B243" s="199"/>
      <c r="C243" s="199" t="s">
        <v>331</v>
      </c>
      <c r="D243" s="199" t="str">
        <f>VLOOKUP(C243,'仕掛品名寄（貼付）'!B:C,2,FALSE)</f>
        <v>その他</v>
      </c>
      <c r="E243" s="199">
        <f>VLOOKUP(D243,'仕掛品標準単価一覧表（貼付）'!B:G,6,FALSE)</f>
        <v>1080</v>
      </c>
      <c r="F243" s="12" t="s">
        <v>246</v>
      </c>
      <c r="G243" s="13">
        <v>0</v>
      </c>
      <c r="H243" s="13">
        <f ca="1">SUMIF('1.3②原材料使用'!B:E,C243,'1.3②原材料使用'!E:E)</f>
        <v>0</v>
      </c>
      <c r="I243" s="13">
        <f ca="1">SUMIF('2.10原液別作業時間'!A:B,C243,'2.10原液別作業時間'!B:B)</f>
        <v>0</v>
      </c>
      <c r="J243" s="13">
        <f ca="1">SUM(G243:H243,K243)</f>
        <v>0</v>
      </c>
      <c r="K243" s="13">
        <f ca="1">SUMIF('2.2⑤純増減→前工程費'!B:E,C243,'2.2⑤純増減→前工程費'!E:E)</f>
        <v>0</v>
      </c>
      <c r="L243" s="13">
        <f ca="1">SUMIF('2.6完成品'!C:D,C243,'2.6完成品'!D:D)</f>
        <v>0</v>
      </c>
      <c r="M243" s="13">
        <f ca="1">SUMIF('2.3研究費'!D:E,C243,'2.3研究費'!E:E)</f>
        <v>0</v>
      </c>
      <c r="N243" s="13">
        <f ca="1">SUMIF('2.4販促費'!D:E,C243,'2.4販促費'!E:E)</f>
        <v>0</v>
      </c>
      <c r="O243" s="13">
        <f ca="1">SUMIF('2.5廃棄処分'!D:E,C243,'2.5廃棄処分'!E:E)</f>
        <v>0</v>
      </c>
      <c r="P243" s="13">
        <f ca="1">SUMIF('2.1④異種原液'!D:E,C243,'2.1④異種原液'!E:E)</f>
        <v>0</v>
      </c>
      <c r="Q243" s="14">
        <f ca="1">SUMIF('2.7製造部生産分'!D:I,C243,'2.7製造部生産分'!H:H)</f>
        <v>0</v>
      </c>
      <c r="R243" s="15">
        <f ca="1">-(G243+H243+K243-L243-M243-N243-O243-P243-Q243-S243)</f>
        <v>0</v>
      </c>
      <c r="S243" s="13">
        <f ca="1">SUMIF('2.9原液在庫'!B:H,C243,'2.9原液在庫'!H:H)</f>
        <v>0</v>
      </c>
      <c r="T243" s="16">
        <f ca="1">IFERROR(SUM(G244:K244)/(G243+H243+K243),0)</f>
        <v>0</v>
      </c>
      <c r="U243" s="17" t="str">
        <f>C243</f>
        <v>23RAｼ</v>
      </c>
      <c r="V243" s="18">
        <f ca="1">IF(ISERROR(SUM(G244:K244)/SUM(L243:Q243,S243)),0,SUM(G244:K244)/SUM(L243:Q243,S243))</f>
        <v>0</v>
      </c>
      <c r="W243" s="19">
        <f ca="1">V243</f>
        <v>0</v>
      </c>
      <c r="X243" s="20">
        <f ca="1">W243/1000</f>
        <v>0</v>
      </c>
    </row>
    <row r="244" spans="1:24">
      <c r="A244" s="199"/>
      <c r="B244" s="199"/>
      <c r="C244" s="199"/>
      <c r="D244" s="199"/>
      <c r="E244" s="199"/>
      <c r="F244" s="21" t="s">
        <v>247</v>
      </c>
      <c r="G244" s="22" t="s">
        <v>254</v>
      </c>
      <c r="H244" s="184"/>
      <c r="I244" s="23">
        <f ca="1">I243*労務費経費単価SC!D$7</f>
        <v>0</v>
      </c>
      <c r="J244" s="23">
        <f ca="1">J243*労務費経費単価SC!D$11</f>
        <v>0</v>
      </c>
      <c r="K244" s="22">
        <f ca="1">K243*$E243</f>
        <v>0</v>
      </c>
      <c r="L244" s="22">
        <f ca="1">L243*$E243</f>
        <v>0</v>
      </c>
      <c r="M244" s="22">
        <f t="shared" ref="M244" ca="1" si="827">M243*$E243</f>
        <v>0</v>
      </c>
      <c r="N244" s="22">
        <f t="shared" ref="N244" ca="1" si="828">N243*$E243</f>
        <v>0</v>
      </c>
      <c r="O244" s="22">
        <f t="shared" ref="O244" ca="1" si="829">O243*$E243</f>
        <v>0</v>
      </c>
      <c r="P244" s="22">
        <f t="shared" ref="P244" ca="1" si="830">P243*$E243</f>
        <v>0</v>
      </c>
      <c r="Q244" s="22">
        <f t="shared" ref="Q244" ca="1" si="831">Q243*$E243</f>
        <v>0</v>
      </c>
      <c r="R244" s="22">
        <f t="shared" ref="R244" ca="1" si="832">R243*$E243</f>
        <v>0</v>
      </c>
      <c r="S244" s="22">
        <f t="shared" ref="S244" ca="1" si="833">S243*$E243</f>
        <v>0</v>
      </c>
      <c r="U244" s="17"/>
      <c r="V244" s="18"/>
      <c r="W244" s="19"/>
      <c r="X244" s="20"/>
    </row>
    <row r="245" spans="1:24">
      <c r="A245" s="199"/>
      <c r="B245" s="199"/>
      <c r="C245" s="199" t="s">
        <v>75</v>
      </c>
      <c r="D245" s="199" t="str">
        <f>VLOOKUP(C245,'仕掛品名寄（貼付）'!B:C,2,FALSE)</f>
        <v>RX</v>
      </c>
      <c r="E245" s="199">
        <f>VLOOKUP(D245,'仕掛品標準単価一覧表（貼付）'!B:G,6,FALSE)</f>
        <v>847</v>
      </c>
      <c r="F245" s="12" t="s">
        <v>246</v>
      </c>
      <c r="G245" s="24">
        <v>0</v>
      </c>
      <c r="H245" s="13">
        <f ca="1">SUMIF('1.3②原材料使用'!B:E,C245,'1.3②原材料使用'!E:E)</f>
        <v>0</v>
      </c>
      <c r="I245" s="13">
        <f ca="1">SUMIF('2.10原液別作業時間'!A:B,C245,'2.10原液別作業時間'!B:B)</f>
        <v>0</v>
      </c>
      <c r="J245" s="13">
        <f ca="1">SUM(G245:H245,K245)</f>
        <v>0</v>
      </c>
      <c r="K245" s="13">
        <f ca="1">SUMIF('2.2⑤純増減→前工程費'!B:E,C245,'2.2⑤純増減→前工程費'!E:E)</f>
        <v>0</v>
      </c>
      <c r="L245" s="13">
        <f ca="1">SUMIF('2.6完成品'!C:D,C245,'2.6完成品'!D:D)</f>
        <v>0</v>
      </c>
      <c r="M245" s="13">
        <f ca="1">SUMIF('2.3研究費'!D:E,C245,'2.3研究費'!E:E)</f>
        <v>0</v>
      </c>
      <c r="N245" s="13">
        <f ca="1">SUMIF('2.4販促費'!D:E,C245,'2.4販促費'!E:E)</f>
        <v>0</v>
      </c>
      <c r="O245" s="13">
        <f ca="1">SUMIF('2.5廃棄処分'!D:E,C245,'2.5廃棄処分'!E:E)</f>
        <v>0</v>
      </c>
      <c r="P245" s="13">
        <f ca="1">SUMIF('2.1④異種原液'!D:E,C245,'2.1④異種原液'!E:E)</f>
        <v>0</v>
      </c>
      <c r="Q245" s="14">
        <f ca="1">SUMIF('2.7製造部生産分'!D:I,C245,'2.7製造部生産分'!H:H)</f>
        <v>0</v>
      </c>
      <c r="R245" s="15">
        <f ca="1">-(G245+H245+K245-L245-M245-N245-O245-P245-Q245-S245)</f>
        <v>0</v>
      </c>
      <c r="S245" s="13">
        <f ca="1">SUMIF('2.9原液在庫'!B:H,C245,'2.9原液在庫'!H:H)</f>
        <v>0</v>
      </c>
      <c r="T245" s="16">
        <f ca="1">IFERROR(SUM(G246:K246)/(G245+H245+K245),0)</f>
        <v>0</v>
      </c>
      <c r="U245" s="17" t="str">
        <f>C245</f>
        <v>23RX</v>
      </c>
      <c r="V245" s="18">
        <f ca="1">IF(ISERROR(SUM(G246:K246)/SUM(L245:Q245,S245)),0,SUM(G246:K246)/SUM(L245:Q245,S245))</f>
        <v>0</v>
      </c>
      <c r="W245" s="19">
        <f ca="1">V245</f>
        <v>0</v>
      </c>
      <c r="X245" s="20">
        <f ca="1">W245/1000</f>
        <v>0</v>
      </c>
    </row>
    <row r="246" spans="1:24">
      <c r="A246" s="199"/>
      <c r="B246" s="199"/>
      <c r="C246" s="199"/>
      <c r="D246" s="199"/>
      <c r="E246" s="199"/>
      <c r="F246" s="21" t="s">
        <v>247</v>
      </c>
      <c r="G246" s="22" t="s">
        <v>254</v>
      </c>
      <c r="H246" s="184"/>
      <c r="I246" s="23">
        <f ca="1">I245*労務費経費単価SC!D$7</f>
        <v>0</v>
      </c>
      <c r="J246" s="23">
        <f ca="1">J245*労務費経費単価SC!D$11</f>
        <v>0</v>
      </c>
      <c r="K246" s="22">
        <f ca="1">K245*$E245</f>
        <v>0</v>
      </c>
      <c r="L246" s="22">
        <f ca="1">L245*$E245</f>
        <v>0</v>
      </c>
      <c r="M246" s="22">
        <f t="shared" ref="M246" ca="1" si="834">M245*$E245</f>
        <v>0</v>
      </c>
      <c r="N246" s="22">
        <f t="shared" ref="N246" ca="1" si="835">N245*$E245</f>
        <v>0</v>
      </c>
      <c r="O246" s="22">
        <f t="shared" ref="O246" ca="1" si="836">O245*$E245</f>
        <v>0</v>
      </c>
      <c r="P246" s="22">
        <f t="shared" ref="P246" ca="1" si="837">P245*$E245</f>
        <v>0</v>
      </c>
      <c r="Q246" s="22">
        <f t="shared" ref="Q246" ca="1" si="838">Q245*$E245</f>
        <v>0</v>
      </c>
      <c r="R246" s="22">
        <f t="shared" ref="R246" ca="1" si="839">R245*$E245</f>
        <v>0</v>
      </c>
      <c r="S246" s="22">
        <f t="shared" ref="S246" ca="1" si="840">S245*$E245</f>
        <v>0</v>
      </c>
      <c r="U246" s="17"/>
      <c r="V246" s="18"/>
      <c r="W246" s="19"/>
      <c r="X246" s="20"/>
    </row>
    <row r="247" spans="1:24">
      <c r="A247" s="199"/>
      <c r="B247" s="199"/>
      <c r="C247" s="199" t="s">
        <v>332</v>
      </c>
      <c r="D247" s="199" t="str">
        <f>VLOOKUP(C247,'仕掛品名寄（貼付）'!B:C,2,FALSE)</f>
        <v>HI</v>
      </c>
      <c r="E247" s="199">
        <f>VLOOKUP(D247,'仕掛品標準単価一覧表（貼付）'!B:G,6,FALSE)</f>
        <v>1176</v>
      </c>
      <c r="F247" s="12" t="s">
        <v>246</v>
      </c>
      <c r="G247" s="24">
        <v>43320</v>
      </c>
      <c r="H247" s="13">
        <f ca="1">SUMIF('1.3②原材料使用'!B:E,C247,'1.3②原材料使用'!E:E)</f>
        <v>0</v>
      </c>
      <c r="I247" s="13">
        <f ca="1">SUMIF('2.10原液別作業時間'!A:B,C247,'2.10原液別作業時間'!B:B)</f>
        <v>0</v>
      </c>
      <c r="J247" s="13">
        <f ca="1">SUM(G247:H247,K247)</f>
        <v>43320</v>
      </c>
      <c r="K247" s="13">
        <f ca="1">SUMIF('2.2⑤純増減→前工程費'!B:E,C247,'2.2⑤純増減→前工程費'!E:E)</f>
        <v>0</v>
      </c>
      <c r="L247" s="13">
        <f ca="1">SUMIF('2.6完成品'!C:D,C247,'2.6完成品'!D:D)</f>
        <v>0</v>
      </c>
      <c r="M247" s="13">
        <f ca="1">SUMIF('2.3研究費'!D:E,C247,'2.3研究費'!E:E)</f>
        <v>0</v>
      </c>
      <c r="N247" s="13">
        <f ca="1">SUMIF('2.4販促費'!D:E,C247,'2.4販促費'!E:E)</f>
        <v>0</v>
      </c>
      <c r="O247" s="13">
        <f ca="1">SUMIF('2.5廃棄処分'!D:E,C247,'2.5廃棄処分'!E:E)</f>
        <v>0</v>
      </c>
      <c r="P247" s="13">
        <f ca="1">SUMIF('2.1④異種原液'!D:E,C247,'2.1④異種原液'!E:E)</f>
        <v>0</v>
      </c>
      <c r="Q247" s="14">
        <f ca="1">SUMIF('2.7製造部生産分'!D:I,C247,'2.7製造部生産分'!H:H)</f>
        <v>0</v>
      </c>
      <c r="R247" s="15">
        <f ca="1">-(G247+H247+K247-L247-M247-N247-O247-P247-Q247-S247)</f>
        <v>-2.5</v>
      </c>
      <c r="S247" s="13">
        <f ca="1">SUMIF('2.9原液在庫'!B:H,C247,'2.9原液在庫'!H:H)</f>
        <v>43317.5</v>
      </c>
      <c r="T247" s="16">
        <f ca="1">IFERROR(SUM(G248:K248)/(G247+H247+K247),0)</f>
        <v>1132.6977068378328</v>
      </c>
      <c r="U247" s="17" t="str">
        <f>C247</f>
        <v>23HI</v>
      </c>
      <c r="V247" s="18">
        <f ca="1">IF(ISERROR(SUM(G248:K248)/SUM(L247:Q247,S247)),0,SUM(G248:K248)/SUM(L247:Q247,S247))</f>
        <v>1132.7630786683192</v>
      </c>
      <c r="W247" s="19">
        <f ca="1">V247</f>
        <v>1132.7630786683192</v>
      </c>
      <c r="X247" s="20">
        <f ca="1">W247/1000</f>
        <v>1.1327630786683192</v>
      </c>
    </row>
    <row r="248" spans="1:24">
      <c r="A248" s="199"/>
      <c r="B248" s="199"/>
      <c r="C248" s="199"/>
      <c r="D248" s="199"/>
      <c r="E248" s="199"/>
      <c r="F248" s="21" t="s">
        <v>247</v>
      </c>
      <c r="G248" s="22">
        <v>47768864.660214916</v>
      </c>
      <c r="H248" s="184"/>
      <c r="I248" s="23">
        <f ca="1">I247*労務費経費単価SC!D$7</f>
        <v>0</v>
      </c>
      <c r="J248" s="23">
        <f ca="1">J247*労務費経費単価SC!D$11</f>
        <v>1299600</v>
      </c>
      <c r="K248" s="22">
        <f ca="1">K247*$E247</f>
        <v>0</v>
      </c>
      <c r="L248" s="22">
        <f ca="1">L247*$E247</f>
        <v>0</v>
      </c>
      <c r="M248" s="22">
        <f t="shared" ref="M248" ca="1" si="841">M247*$E247</f>
        <v>0</v>
      </c>
      <c r="N248" s="22">
        <f t="shared" ref="N248" ca="1" si="842">N247*$E247</f>
        <v>0</v>
      </c>
      <c r="O248" s="22">
        <f t="shared" ref="O248" ca="1" si="843">O247*$E247</f>
        <v>0</v>
      </c>
      <c r="P248" s="22">
        <f t="shared" ref="P248" ca="1" si="844">P247*$E247</f>
        <v>0</v>
      </c>
      <c r="Q248" s="22">
        <f t="shared" ref="Q248" ca="1" si="845">Q247*$E247</f>
        <v>0</v>
      </c>
      <c r="R248" s="22">
        <f t="shared" ref="R248" ca="1" si="846">R247*$E247</f>
        <v>-2940</v>
      </c>
      <c r="S248" s="22">
        <f t="shared" ref="S248" ca="1" si="847">S247*$E247</f>
        <v>50941380</v>
      </c>
      <c r="U248" s="17"/>
      <c r="V248" s="18"/>
      <c r="W248" s="19"/>
      <c r="X248" s="20"/>
    </row>
    <row r="249" spans="1:24">
      <c r="A249" s="199"/>
      <c r="B249" s="199"/>
      <c r="C249" s="199" t="s">
        <v>74</v>
      </c>
      <c r="D249" s="199" t="str">
        <f>VLOOKUP(C249,'仕掛品名寄（貼付）'!B:C,2,FALSE)</f>
        <v>HIA</v>
      </c>
      <c r="E249" s="199">
        <f>VLOOKUP(D249,'仕掛品標準単価一覧表（貼付）'!B:G,6,FALSE)</f>
        <v>1254</v>
      </c>
      <c r="F249" s="12" t="s">
        <v>246</v>
      </c>
      <c r="G249" s="13">
        <v>566.5</v>
      </c>
      <c r="H249" s="13">
        <f ca="1">SUMIF('1.3②原材料使用'!B:E,C249,'1.3②原材料使用'!E:E)</f>
        <v>0</v>
      </c>
      <c r="I249" s="13">
        <f ca="1">SUMIF('2.10原液別作業時間'!A:B,C249,'2.10原液別作業時間'!B:B)</f>
        <v>0</v>
      </c>
      <c r="J249" s="13">
        <f ca="1">SUM(G249:H249,K249)</f>
        <v>566.5</v>
      </c>
      <c r="K249" s="13">
        <f ca="1">SUMIF('2.2⑤純増減→前工程費'!B:E,C249,'2.2⑤純増減→前工程費'!E:E)</f>
        <v>0</v>
      </c>
      <c r="L249" s="13">
        <f ca="1">SUMIF('2.6完成品'!C:D,C249,'2.6完成品'!D:D)</f>
        <v>0</v>
      </c>
      <c r="M249" s="13">
        <f ca="1">SUMIF('2.3研究費'!D:E,C249,'2.3研究費'!E:E)</f>
        <v>0</v>
      </c>
      <c r="N249" s="13">
        <f ca="1">SUMIF('2.4販促費'!D:E,C249,'2.4販促費'!E:E)</f>
        <v>0</v>
      </c>
      <c r="O249" s="13">
        <f ca="1">SUMIF('2.5廃棄処分'!D:E,C249,'2.5廃棄処分'!E:E)</f>
        <v>0</v>
      </c>
      <c r="P249" s="13">
        <f ca="1">SUMIF('2.1④異種原液'!D:E,C249,'2.1④異種原液'!E:E)</f>
        <v>0</v>
      </c>
      <c r="Q249" s="14">
        <f ca="1">SUMIF('2.7製造部生産分'!D:I,C249,'2.7製造部生産分'!H:H)</f>
        <v>0</v>
      </c>
      <c r="R249" s="15">
        <f ca="1">-(G249+H249+K249-L249-M249-N249-O249-P249-Q249-S249)</f>
        <v>0</v>
      </c>
      <c r="S249" s="13">
        <f ca="1">SUMIF('2.9原液在庫'!B:H,C249,'2.9原液在庫'!H:H)</f>
        <v>566.5</v>
      </c>
      <c r="T249" s="16">
        <f ca="1">IFERROR(SUM(G250:K250)/(G249+H249+K249),0)</f>
        <v>1181.2607365621311</v>
      </c>
      <c r="U249" s="17" t="str">
        <f>C249</f>
        <v>23HIA</v>
      </c>
      <c r="V249" s="18">
        <f ca="1">IF(ISERROR(SUM(G250:K250)/SUM(L249:Q249,S249)),0,SUM(G250:K250)/SUM(L249:Q249,S249))</f>
        <v>1181.2607365621311</v>
      </c>
      <c r="W249" s="19">
        <f ca="1">V249</f>
        <v>1181.2607365621311</v>
      </c>
      <c r="X249" s="20">
        <f ca="1">W249/1000</f>
        <v>1.181260736562131</v>
      </c>
    </row>
    <row r="250" spans="1:24">
      <c r="A250" s="199"/>
      <c r="B250" s="199"/>
      <c r="C250" s="199"/>
      <c r="D250" s="199"/>
      <c r="E250" s="199"/>
      <c r="F250" s="21" t="s">
        <v>247</v>
      </c>
      <c r="G250" s="22">
        <v>652189.20726244734</v>
      </c>
      <c r="H250" s="184"/>
      <c r="I250" s="23">
        <f ca="1">I249*労務費経費単価SC!D$7</f>
        <v>0</v>
      </c>
      <c r="J250" s="23">
        <f ca="1">J249*労務費経費単価SC!D$11</f>
        <v>16995</v>
      </c>
      <c r="K250" s="22">
        <f ca="1">K249*$E249</f>
        <v>0</v>
      </c>
      <c r="L250" s="22">
        <f ca="1">L249*$E249</f>
        <v>0</v>
      </c>
      <c r="M250" s="22">
        <f t="shared" ref="M250" ca="1" si="848">M249*$E249</f>
        <v>0</v>
      </c>
      <c r="N250" s="22">
        <f t="shared" ref="N250" ca="1" si="849">N249*$E249</f>
        <v>0</v>
      </c>
      <c r="O250" s="22">
        <f t="shared" ref="O250" ca="1" si="850">O249*$E249</f>
        <v>0</v>
      </c>
      <c r="P250" s="22">
        <f t="shared" ref="P250" ca="1" si="851">P249*$E249</f>
        <v>0</v>
      </c>
      <c r="Q250" s="22">
        <f t="shared" ref="Q250" ca="1" si="852">Q249*$E249</f>
        <v>0</v>
      </c>
      <c r="R250" s="22">
        <f t="shared" ref="R250" ca="1" si="853">R249*$E249</f>
        <v>0</v>
      </c>
      <c r="S250" s="22">
        <f t="shared" ref="S250" ca="1" si="854">S249*$E249</f>
        <v>710391</v>
      </c>
      <c r="U250" s="17"/>
      <c r="V250" s="18"/>
      <c r="W250" s="19"/>
      <c r="X250" s="20"/>
    </row>
    <row r="251" spans="1:24">
      <c r="A251" s="199"/>
      <c r="B251" s="199"/>
      <c r="C251" s="199" t="s">
        <v>333</v>
      </c>
      <c r="D251" s="199" t="str">
        <f>VLOOKUP(C251,'仕掛品名寄（貼付）'!B:C,2,FALSE)</f>
        <v>G</v>
      </c>
      <c r="E251" s="199">
        <f>VLOOKUP(D251,'仕掛品標準単価一覧表（貼付）'!B:G,6,FALSE)</f>
        <v>2344.7183999999997</v>
      </c>
      <c r="F251" s="12" t="s">
        <v>246</v>
      </c>
      <c r="G251" s="13">
        <v>545</v>
      </c>
      <c r="H251" s="13">
        <f ca="1">SUMIF('1.3②原材料使用'!B:E,C251,'1.3②原材料使用'!E:E)</f>
        <v>0</v>
      </c>
      <c r="I251" s="13">
        <f ca="1">SUMIF('2.10原液別作業時間'!A:B,C251,'2.10原液別作業時間'!B:B)</f>
        <v>0</v>
      </c>
      <c r="J251" s="13">
        <f ca="1">SUM(G251:H251,K251)</f>
        <v>545</v>
      </c>
      <c r="K251" s="13">
        <f ca="1">SUMIF('2.2⑤純増減→前工程費'!B:E,C251,'2.2⑤純増減→前工程費'!E:E)</f>
        <v>0</v>
      </c>
      <c r="L251" s="13">
        <f ca="1">SUMIF('2.6完成品'!C:D,C251,'2.6完成品'!D:D)</f>
        <v>0</v>
      </c>
      <c r="M251" s="13">
        <f ca="1">SUMIF('2.3研究費'!D:E,C251,'2.3研究費'!E:E)</f>
        <v>0</v>
      </c>
      <c r="N251" s="13">
        <f ca="1">SUMIF('2.4販促費'!D:E,C251,'2.4販促費'!E:E)</f>
        <v>0</v>
      </c>
      <c r="O251" s="13">
        <f ca="1">SUMIF('2.5廃棄処分'!D:E,C251,'2.5廃棄処分'!E:E)</f>
        <v>0</v>
      </c>
      <c r="P251" s="13">
        <f ca="1">SUMIF('2.1④異種原液'!D:E,C251,'2.1④異種原液'!E:E)</f>
        <v>0</v>
      </c>
      <c r="Q251" s="14">
        <f ca="1">SUMIF('2.7製造部生産分'!D:I,C251,'2.7製造部生産分'!H:H)</f>
        <v>0</v>
      </c>
      <c r="R251" s="15">
        <f ca="1">-(G251+H251+K251-L251-M251-N251-O251-P251-Q251-S251)</f>
        <v>0</v>
      </c>
      <c r="S251" s="13">
        <f ca="1">SUMIF('2.9原液在庫'!B:H,C251,'2.9原液在庫'!H:H)</f>
        <v>545</v>
      </c>
      <c r="T251" s="16">
        <f ca="1">IFERROR(SUM(G252:K252)/(G251+H251+K251),0)</f>
        <v>1077.1267051435634</v>
      </c>
      <c r="U251" s="17" t="str">
        <f>C251</f>
        <v>23G</v>
      </c>
      <c r="V251" s="18">
        <f ca="1">IF(ISERROR(SUM(G252:K252)/SUM(L251:Q251,S251)),0,SUM(G252:K252)/SUM(L251:Q251,S251))</f>
        <v>1077.1267051435634</v>
      </c>
      <c r="W251" s="19">
        <f ca="1">V251</f>
        <v>1077.1267051435634</v>
      </c>
      <c r="X251" s="20">
        <f ca="1">W251/1000</f>
        <v>1.0771267051435633</v>
      </c>
    </row>
    <row r="252" spans="1:24">
      <c r="A252" s="199"/>
      <c r="B252" s="199"/>
      <c r="C252" s="199"/>
      <c r="D252" s="199"/>
      <c r="E252" s="199"/>
      <c r="F252" s="21" t="s">
        <v>247</v>
      </c>
      <c r="G252" s="22">
        <v>570684.05430324201</v>
      </c>
      <c r="H252" s="184"/>
      <c r="I252" s="23">
        <f ca="1">I251*労務費経費単価SC!D$7</f>
        <v>0</v>
      </c>
      <c r="J252" s="23">
        <f ca="1">J251*労務費経費単価SC!D$11</f>
        <v>16350</v>
      </c>
      <c r="K252" s="22">
        <f ca="1">K251*$E251</f>
        <v>0</v>
      </c>
      <c r="L252" s="22">
        <f ca="1">L251*$E251</f>
        <v>0</v>
      </c>
      <c r="M252" s="22">
        <f t="shared" ref="M252" ca="1" si="855">M251*$E251</f>
        <v>0</v>
      </c>
      <c r="N252" s="22">
        <f t="shared" ref="N252" ca="1" si="856">N251*$E251</f>
        <v>0</v>
      </c>
      <c r="O252" s="22">
        <f t="shared" ref="O252" ca="1" si="857">O251*$E251</f>
        <v>0</v>
      </c>
      <c r="P252" s="22">
        <f t="shared" ref="P252" ca="1" si="858">P251*$E251</f>
        <v>0</v>
      </c>
      <c r="Q252" s="22">
        <f t="shared" ref="Q252" ca="1" si="859">Q251*$E251</f>
        <v>0</v>
      </c>
      <c r="R252" s="22">
        <f t="shared" ref="R252" ca="1" si="860">R251*$E251</f>
        <v>0</v>
      </c>
      <c r="S252" s="22">
        <f t="shared" ref="S252" ca="1" si="861">S251*$E251</f>
        <v>1277871.5279999999</v>
      </c>
      <c r="U252" s="17"/>
      <c r="V252" s="18"/>
      <c r="W252" s="19"/>
      <c r="X252" s="20"/>
    </row>
    <row r="253" spans="1:24">
      <c r="A253" s="199"/>
      <c r="B253" s="199"/>
      <c r="C253" s="199" t="s">
        <v>334</v>
      </c>
      <c r="D253" s="199" t="str">
        <f>VLOOKUP(C253,'仕掛品名寄（貼付）'!B:C,2,FALSE)</f>
        <v>その他</v>
      </c>
      <c r="E253" s="199">
        <f>VLOOKUP(D253,'仕掛品標準単価一覧表（貼付）'!B:G,6,FALSE)</f>
        <v>1080</v>
      </c>
      <c r="F253" s="12" t="s">
        <v>246</v>
      </c>
      <c r="G253" s="13">
        <v>0</v>
      </c>
      <c r="H253" s="13">
        <f ca="1">SUMIF('1.3②原材料使用'!B:E,C253,'1.3②原材料使用'!E:E)</f>
        <v>0</v>
      </c>
      <c r="I253" s="13">
        <f ca="1">SUMIF('2.10原液別作業時間'!A:B,C253,'2.10原液別作業時間'!B:B)</f>
        <v>0</v>
      </c>
      <c r="J253" s="13">
        <f ca="1">SUM(G253:H253,K253)</f>
        <v>0</v>
      </c>
      <c r="K253" s="13">
        <f ca="1">SUMIF('2.2⑤純増減→前工程費'!B:E,C253,'2.2⑤純増減→前工程費'!E:E)</f>
        <v>0</v>
      </c>
      <c r="L253" s="13">
        <f ca="1">SUMIF('2.6完成品'!C:D,C253,'2.6完成品'!D:D)</f>
        <v>0</v>
      </c>
      <c r="M253" s="13">
        <f ca="1">SUMIF('2.3研究費'!D:E,C253,'2.3研究費'!E:E)</f>
        <v>0</v>
      </c>
      <c r="N253" s="13">
        <f ca="1">SUMIF('2.4販促費'!D:E,C253,'2.4販促費'!E:E)</f>
        <v>0</v>
      </c>
      <c r="O253" s="13">
        <f ca="1">SUMIF('2.5廃棄処分'!D:E,C253,'2.5廃棄処分'!E:E)</f>
        <v>0</v>
      </c>
      <c r="P253" s="13">
        <f ca="1">SUMIF('2.1④異種原液'!D:E,C253,'2.1④異種原液'!E:E)</f>
        <v>0</v>
      </c>
      <c r="Q253" s="14">
        <f ca="1">SUMIF('2.7製造部生産分'!D:I,C253,'2.7製造部生産分'!H:H)</f>
        <v>0</v>
      </c>
      <c r="R253" s="15">
        <f ca="1">-(G253+H253+K253-L253-M253-N253-O253-P253-Q253-S253)</f>
        <v>0</v>
      </c>
      <c r="S253" s="13">
        <f ca="1">SUMIF('2.9原液在庫'!B:H,C253,'2.9原液在庫'!H:H)</f>
        <v>0</v>
      </c>
      <c r="T253" s="16">
        <f ca="1">IFERROR(SUM(G254:K254)/(G253+H253+K253),0)</f>
        <v>0</v>
      </c>
      <c r="U253" s="17" t="str">
        <f>C253</f>
        <v>23糖蜜</v>
      </c>
      <c r="V253" s="18">
        <f ca="1">IF(ISERROR(SUM(G254:K254)/SUM(L253:Q253,S253)),0,SUM(G254:K254)/SUM(L253:Q253,S253))</f>
        <v>0</v>
      </c>
      <c r="W253" s="19">
        <f ca="1">V253</f>
        <v>0</v>
      </c>
      <c r="X253" s="20">
        <f ca="1">W253/1000</f>
        <v>0</v>
      </c>
    </row>
    <row r="254" spans="1:24">
      <c r="A254" s="199"/>
      <c r="B254" s="199"/>
      <c r="C254" s="199"/>
      <c r="D254" s="199"/>
      <c r="E254" s="199"/>
      <c r="F254" s="21" t="s">
        <v>247</v>
      </c>
      <c r="G254" s="22" t="s">
        <v>254</v>
      </c>
      <c r="H254" s="184"/>
      <c r="I254" s="23">
        <f ca="1">I253*労務費経費単価SC!D$7</f>
        <v>0</v>
      </c>
      <c r="J254" s="23">
        <f ca="1">J253*労務費経費単価SC!D$11</f>
        <v>0</v>
      </c>
      <c r="K254" s="22">
        <f ca="1">K253*$E253</f>
        <v>0</v>
      </c>
      <c r="L254" s="22">
        <f ca="1">L253*$E253</f>
        <v>0</v>
      </c>
      <c r="M254" s="22">
        <f t="shared" ref="M254" ca="1" si="862">M253*$E253</f>
        <v>0</v>
      </c>
      <c r="N254" s="22">
        <f t="shared" ref="N254" ca="1" si="863">N253*$E253</f>
        <v>0</v>
      </c>
      <c r="O254" s="22">
        <f t="shared" ref="O254" ca="1" si="864">O253*$E253</f>
        <v>0</v>
      </c>
      <c r="P254" s="22">
        <f t="shared" ref="P254" ca="1" si="865">P253*$E253</f>
        <v>0</v>
      </c>
      <c r="Q254" s="22">
        <f t="shared" ref="Q254" ca="1" si="866">Q253*$E253</f>
        <v>0</v>
      </c>
      <c r="R254" s="22">
        <f t="shared" ref="R254" ca="1" si="867">R253*$E253</f>
        <v>0</v>
      </c>
      <c r="S254" s="22">
        <f t="shared" ref="S254" ca="1" si="868">S253*$E253</f>
        <v>0</v>
      </c>
      <c r="U254" s="17"/>
      <c r="V254" s="18"/>
      <c r="W254" s="19"/>
      <c r="X254" s="20"/>
    </row>
    <row r="255" spans="1:24">
      <c r="A255" s="211" t="s">
        <v>335</v>
      </c>
      <c r="B255" s="211">
        <v>24</v>
      </c>
      <c r="C255" s="199" t="s">
        <v>336</v>
      </c>
      <c r="D255" s="199" t="str">
        <f>VLOOKUP(C255,'仕掛品名寄（貼付）'!B:C,2,FALSE)</f>
        <v>R</v>
      </c>
      <c r="E255" s="199">
        <f>VLOOKUP(D255,'仕掛品標準単価一覧表（貼付）'!B:G,6,FALSE)</f>
        <v>908</v>
      </c>
      <c r="F255" s="12" t="s">
        <v>246</v>
      </c>
      <c r="G255" s="13">
        <v>0</v>
      </c>
      <c r="H255" s="13">
        <f ca="1">SUMIF('1.3②原材料使用'!B:E,C255,'1.3②原材料使用'!E:E)</f>
        <v>0</v>
      </c>
      <c r="I255" s="13">
        <f ca="1">SUMIF('2.10原液別作業時間'!A:B,C255,'2.10原液別作業時間'!B:B)</f>
        <v>0</v>
      </c>
      <c r="J255" s="13">
        <f ca="1">SUM(G255:H255,K255)</f>
        <v>0</v>
      </c>
      <c r="K255" s="13">
        <f ca="1">SUMIF('2.2⑤純増減→前工程費'!B:E,C255,'2.2⑤純増減→前工程費'!E:E)</f>
        <v>0</v>
      </c>
      <c r="L255" s="13">
        <f ca="1">SUMIF('2.6完成品'!C:D,C255,'2.6完成品'!D:D)</f>
        <v>0</v>
      </c>
      <c r="M255" s="13">
        <f ca="1">SUMIF('2.3研究費'!D:E,C255,'2.3研究費'!E:E)</f>
        <v>0</v>
      </c>
      <c r="N255" s="13">
        <f ca="1">SUMIF('2.4販促費'!D:E,C255,'2.4販促費'!E:E)</f>
        <v>0</v>
      </c>
      <c r="O255" s="13">
        <f ca="1">SUMIF('2.5廃棄処分'!D:E,C255,'2.5廃棄処分'!E:E)</f>
        <v>0</v>
      </c>
      <c r="P255" s="13">
        <f ca="1">SUMIF('2.1④異種原液'!D:E,C255,'2.1④異種原液'!E:E)</f>
        <v>0</v>
      </c>
      <c r="Q255" s="14">
        <f ca="1">SUMIF('2.7製造部生産分'!D:I,C255,'2.7製造部生産分'!H:H)</f>
        <v>0</v>
      </c>
      <c r="R255" s="15">
        <f ca="1">-(G255+H255+K255-L255-M255-N255-O255-P255-Q255-S255)</f>
        <v>0</v>
      </c>
      <c r="S255" s="13">
        <f ca="1">SUMIF('2.9原液在庫'!B:H,C255,'2.9原液在庫'!H:H)</f>
        <v>0</v>
      </c>
      <c r="T255" s="16">
        <f ca="1">IFERROR(SUM(G256:K256)/(G255+H255+K255),0)</f>
        <v>0</v>
      </c>
      <c r="U255" s="17" t="str">
        <f>C255</f>
        <v>24R</v>
      </c>
      <c r="V255" s="18">
        <f ca="1">IF(ISERROR(SUM(G256:K256)/SUM(L255:Q255,S255)),0,SUM(G256:K256)/SUM(L255:Q255,S255))</f>
        <v>0</v>
      </c>
      <c r="W255" s="19">
        <f ca="1">V255</f>
        <v>0</v>
      </c>
      <c r="X255" s="20">
        <f ca="1">W255/1000</f>
        <v>0</v>
      </c>
    </row>
    <row r="256" spans="1:24">
      <c r="A256" s="212"/>
      <c r="B256" s="212"/>
      <c r="C256" s="199"/>
      <c r="D256" s="199"/>
      <c r="E256" s="199"/>
      <c r="F256" s="21" t="s">
        <v>247</v>
      </c>
      <c r="G256" s="22" t="s">
        <v>254</v>
      </c>
      <c r="H256" s="184"/>
      <c r="I256" s="23">
        <f ca="1">I255*労務費経費単価SC!D$7</f>
        <v>0</v>
      </c>
      <c r="J256" s="23">
        <f ca="1">J255*労務費経費単価SC!D$11</f>
        <v>0</v>
      </c>
      <c r="K256" s="22">
        <f ca="1">K255*$E255</f>
        <v>0</v>
      </c>
      <c r="L256" s="22">
        <f ca="1">L255*$E255</f>
        <v>0</v>
      </c>
      <c r="M256" s="22">
        <f t="shared" ref="M256" ca="1" si="869">M255*$E255</f>
        <v>0</v>
      </c>
      <c r="N256" s="22">
        <f t="shared" ref="N256" ca="1" si="870">N255*$E255</f>
        <v>0</v>
      </c>
      <c r="O256" s="22">
        <f t="shared" ref="O256" ca="1" si="871">O255*$E255</f>
        <v>0</v>
      </c>
      <c r="P256" s="22">
        <f t="shared" ref="P256" ca="1" si="872">P255*$E255</f>
        <v>0</v>
      </c>
      <c r="Q256" s="22">
        <f t="shared" ref="Q256" ca="1" si="873">Q255*$E255</f>
        <v>0</v>
      </c>
      <c r="R256" s="22">
        <f t="shared" ref="R256" ca="1" si="874">R255*$E255</f>
        <v>0</v>
      </c>
      <c r="S256" s="22">
        <f t="shared" ref="S256" ca="1" si="875">S255*$E255</f>
        <v>0</v>
      </c>
      <c r="U256" s="17"/>
      <c r="V256" s="18"/>
      <c r="W256" s="19"/>
      <c r="X256" s="20"/>
    </row>
    <row r="257" spans="1:24">
      <c r="A257" s="212"/>
      <c r="B257" s="212"/>
      <c r="C257" s="199" t="s">
        <v>337</v>
      </c>
      <c r="D257" s="199" t="str">
        <f>VLOOKUP(C257,'仕掛品名寄（貼付）'!B:C,2,FALSE)</f>
        <v>Rシ</v>
      </c>
      <c r="E257" s="199">
        <f>VLOOKUP(D257,'仕掛品標準単価一覧表（貼付）'!B:G,6,FALSE)</f>
        <v>991</v>
      </c>
      <c r="F257" s="12" t="s">
        <v>246</v>
      </c>
      <c r="G257" s="13">
        <v>0</v>
      </c>
      <c r="H257" s="13">
        <f ca="1">SUMIF('1.3②原材料使用'!B:E,C257,'1.3②原材料使用'!E:E)</f>
        <v>0</v>
      </c>
      <c r="I257" s="13">
        <f ca="1">SUMIF('2.10原液別作業時間'!A:B,C257,'2.10原液別作業時間'!B:B)</f>
        <v>0</v>
      </c>
      <c r="J257" s="13">
        <f ca="1">SUM(G257:H257,K257)</f>
        <v>0</v>
      </c>
      <c r="K257" s="13">
        <f ca="1">SUMIF('2.2⑤純増減→前工程費'!B:E,C257,'2.2⑤純増減→前工程費'!E:E)</f>
        <v>0</v>
      </c>
      <c r="L257" s="13">
        <f ca="1">SUMIF('2.6完成品'!C:D,C257,'2.6完成品'!D:D)</f>
        <v>0</v>
      </c>
      <c r="M257" s="13">
        <f ca="1">SUMIF('2.3研究費'!D:E,C257,'2.3研究費'!E:E)</f>
        <v>0</v>
      </c>
      <c r="N257" s="13">
        <f ca="1">SUMIF('2.4販促費'!D:E,C257,'2.4販促費'!E:E)</f>
        <v>0</v>
      </c>
      <c r="O257" s="13">
        <f ca="1">SUMIF('2.5廃棄処分'!D:E,C257,'2.5廃棄処分'!E:E)</f>
        <v>0</v>
      </c>
      <c r="P257" s="13">
        <f ca="1">SUMIF('2.1④異種原液'!D:E,C257,'2.1④異種原液'!E:E)</f>
        <v>0</v>
      </c>
      <c r="Q257" s="14">
        <f ca="1">SUMIF('2.7製造部生産分'!D:I,C257,'2.7製造部生産分'!H:H)</f>
        <v>0</v>
      </c>
      <c r="R257" s="15">
        <f ca="1">-(G257+H257+K257-L257-M257-N257-O257-P257-Q257-S257)</f>
        <v>0</v>
      </c>
      <c r="S257" s="13">
        <f ca="1">SUMIF('2.9原液在庫'!B:H,C257,'2.9原液在庫'!H:H)</f>
        <v>0</v>
      </c>
      <c r="T257" s="16">
        <f ca="1">IFERROR(SUM(G258:K258)/(G257+H257+K257),0)</f>
        <v>0</v>
      </c>
      <c r="U257" s="17" t="str">
        <f>C257</f>
        <v>24Rｼ</v>
      </c>
      <c r="V257" s="18">
        <f ca="1">IF(ISERROR(SUM(G258:K258)/SUM(L257:Q257,S257)),0,SUM(G258:K258)/SUM(L257:Q257,S257))</f>
        <v>0</v>
      </c>
      <c r="W257" s="19">
        <f ca="1">V257</f>
        <v>0</v>
      </c>
      <c r="X257" s="20">
        <f ca="1">W257/1000</f>
        <v>0</v>
      </c>
    </row>
    <row r="258" spans="1:24">
      <c r="A258" s="212"/>
      <c r="B258" s="212"/>
      <c r="C258" s="199"/>
      <c r="D258" s="199"/>
      <c r="E258" s="199"/>
      <c r="F258" s="21" t="s">
        <v>247</v>
      </c>
      <c r="G258" s="22" t="s">
        <v>254</v>
      </c>
      <c r="H258" s="184"/>
      <c r="I258" s="23">
        <f ca="1">I257*労務費経費単価SC!D$7</f>
        <v>0</v>
      </c>
      <c r="J258" s="23">
        <f ca="1">J257*労務費経費単価SC!D$11</f>
        <v>0</v>
      </c>
      <c r="K258" s="22">
        <f ca="1">K257*$E257</f>
        <v>0</v>
      </c>
      <c r="L258" s="22">
        <f ca="1">L257*$E257</f>
        <v>0</v>
      </c>
      <c r="M258" s="22">
        <f t="shared" ref="M258" ca="1" si="876">M257*$E257</f>
        <v>0</v>
      </c>
      <c r="N258" s="22">
        <f t="shared" ref="N258" ca="1" si="877">N257*$E257</f>
        <v>0</v>
      </c>
      <c r="O258" s="22">
        <f t="shared" ref="O258" ca="1" si="878">O257*$E257</f>
        <v>0</v>
      </c>
      <c r="P258" s="22">
        <f t="shared" ref="P258" ca="1" si="879">P257*$E257</f>
        <v>0</v>
      </c>
      <c r="Q258" s="22">
        <f t="shared" ref="Q258" ca="1" si="880">Q257*$E257</f>
        <v>0</v>
      </c>
      <c r="R258" s="22">
        <f t="shared" ref="R258" ca="1" si="881">R257*$E257</f>
        <v>0</v>
      </c>
      <c r="S258" s="22">
        <f t="shared" ref="S258" ca="1" si="882">S257*$E257</f>
        <v>0</v>
      </c>
      <c r="U258" s="17"/>
      <c r="V258" s="18"/>
      <c r="W258" s="19"/>
      <c r="X258" s="20"/>
    </row>
    <row r="259" spans="1:24">
      <c r="A259" s="212"/>
      <c r="B259" s="212"/>
      <c r="C259" s="199" t="s">
        <v>76</v>
      </c>
      <c r="D259" s="199" t="str">
        <f>VLOOKUP(C259,'仕掛品名寄（貼付）'!B:C,2,FALSE)</f>
        <v>その他</v>
      </c>
      <c r="E259" s="199">
        <f>VLOOKUP(D259,'仕掛品標準単価一覧表（貼付）'!B:G,6,FALSE)</f>
        <v>1080</v>
      </c>
      <c r="F259" s="12" t="s">
        <v>246</v>
      </c>
      <c r="G259" s="13">
        <v>0</v>
      </c>
      <c r="H259" s="13">
        <f ca="1">SUMIF('1.3②原材料使用'!B:E,C259,'1.3②原材料使用'!E:E)</f>
        <v>0</v>
      </c>
      <c r="I259" s="13">
        <f ca="1">SUMIF('2.10原液別作業時間'!A:B,C259,'2.10原液別作業時間'!B:B)</f>
        <v>0</v>
      </c>
      <c r="J259" s="13">
        <f ca="1">SUM(G259:H259,K259)</f>
        <v>0</v>
      </c>
      <c r="K259" s="13">
        <f ca="1">SUMIF('2.2⑤純増減→前工程費'!B:E,C259,'2.2⑤純増減→前工程費'!E:E)</f>
        <v>0</v>
      </c>
      <c r="L259" s="13">
        <f ca="1">SUMIF('2.6完成品'!C:D,C259,'2.6完成品'!D:D)</f>
        <v>0</v>
      </c>
      <c r="M259" s="13">
        <f ca="1">SUMIF('2.3研究費'!D:E,C259,'2.3研究費'!E:E)</f>
        <v>0</v>
      </c>
      <c r="N259" s="13">
        <f ca="1">SUMIF('2.4販促費'!D:E,C259,'2.4販促費'!E:E)</f>
        <v>0</v>
      </c>
      <c r="O259" s="13">
        <f ca="1">SUMIF('2.5廃棄処分'!D:E,C259,'2.5廃棄処分'!E:E)</f>
        <v>0</v>
      </c>
      <c r="P259" s="13">
        <f ca="1">SUMIF('2.1④異種原液'!D:E,C259,'2.1④異種原液'!E:E)</f>
        <v>0</v>
      </c>
      <c r="Q259" s="14">
        <f ca="1">SUMIF('2.7製造部生産分'!D:I,C259,'2.7製造部生産分'!H:H)</f>
        <v>0</v>
      </c>
      <c r="R259" s="15">
        <f ca="1">-(G259+H259+K259-L259-M259-N259-O259-P259-Q259-S259)</f>
        <v>0</v>
      </c>
      <c r="S259" s="13">
        <f ca="1">SUMIF('2.9原液在庫'!B:H,C259,'2.9原液在庫'!H:H)</f>
        <v>0</v>
      </c>
      <c r="T259" s="16">
        <f ca="1">IFERROR(SUM(G260:K260)/(G259+H259+K259),0)</f>
        <v>0</v>
      </c>
      <c r="U259" s="17" t="str">
        <f>C259</f>
        <v>24RAｼ</v>
      </c>
      <c r="V259" s="18">
        <f ca="1">IF(ISERROR(SUM(G260:K260)/SUM(L259:Q259,S259)),0,SUM(G260:K260)/SUM(L259:Q259,S259))</f>
        <v>0</v>
      </c>
      <c r="W259" s="19">
        <f ca="1">V259</f>
        <v>0</v>
      </c>
      <c r="X259" s="20">
        <f ca="1">W259/1000</f>
        <v>0</v>
      </c>
    </row>
    <row r="260" spans="1:24">
      <c r="A260" s="212"/>
      <c r="B260" s="212"/>
      <c r="C260" s="199"/>
      <c r="D260" s="199"/>
      <c r="E260" s="199"/>
      <c r="F260" s="21" t="s">
        <v>247</v>
      </c>
      <c r="G260" s="22" t="s">
        <v>254</v>
      </c>
      <c r="H260" s="184"/>
      <c r="I260" s="23">
        <f ca="1">I259*労務費経費単価SC!D$7</f>
        <v>0</v>
      </c>
      <c r="J260" s="23">
        <f ca="1">J259*労務費経費単価SC!D$11</f>
        <v>0</v>
      </c>
      <c r="K260" s="22">
        <f ca="1">K259*$E259</f>
        <v>0</v>
      </c>
      <c r="L260" s="22">
        <f ca="1">L259*$E259</f>
        <v>0</v>
      </c>
      <c r="M260" s="22">
        <f t="shared" ref="M260" ca="1" si="883">M259*$E259</f>
        <v>0</v>
      </c>
      <c r="N260" s="22">
        <f t="shared" ref="N260" ca="1" si="884">N259*$E259</f>
        <v>0</v>
      </c>
      <c r="O260" s="22">
        <f t="shared" ref="O260" ca="1" si="885">O259*$E259</f>
        <v>0</v>
      </c>
      <c r="P260" s="22">
        <f t="shared" ref="P260" ca="1" si="886">P259*$E259</f>
        <v>0</v>
      </c>
      <c r="Q260" s="22">
        <f t="shared" ref="Q260" ca="1" si="887">Q259*$E259</f>
        <v>0</v>
      </c>
      <c r="R260" s="22">
        <f t="shared" ref="R260" ca="1" si="888">R259*$E259</f>
        <v>0</v>
      </c>
      <c r="S260" s="22">
        <f t="shared" ref="S260" ca="1" si="889">S259*$E259</f>
        <v>0</v>
      </c>
      <c r="U260" s="17"/>
      <c r="V260" s="18"/>
      <c r="W260" s="19"/>
      <c r="X260" s="20"/>
    </row>
    <row r="261" spans="1:24">
      <c r="A261" s="212"/>
      <c r="B261" s="212"/>
      <c r="C261" s="199" t="s">
        <v>77</v>
      </c>
      <c r="D261" s="199" t="str">
        <f>VLOOKUP(C261,'仕掛品名寄（貼付）'!B:C,2,FALSE)</f>
        <v>RX</v>
      </c>
      <c r="E261" s="199">
        <f>VLOOKUP(D261,'仕掛品標準単価一覧表（貼付）'!B:G,6,FALSE)</f>
        <v>847</v>
      </c>
      <c r="F261" s="12" t="s">
        <v>246</v>
      </c>
      <c r="G261" s="13">
        <v>0</v>
      </c>
      <c r="H261" s="13">
        <f ca="1">SUMIF('1.3②原材料使用'!B:E,C261,'1.3②原材料使用'!E:E)</f>
        <v>0</v>
      </c>
      <c r="I261" s="13">
        <f ca="1">SUMIF('2.10原液別作業時間'!A:B,C261,'2.10原液別作業時間'!B:B)</f>
        <v>0</v>
      </c>
      <c r="J261" s="13">
        <f ca="1">SUM(G261:H261,K261)</f>
        <v>0</v>
      </c>
      <c r="K261" s="13">
        <f ca="1">SUMIF('2.2⑤純増減→前工程費'!B:E,C261,'2.2⑤純増減→前工程費'!E:E)</f>
        <v>0</v>
      </c>
      <c r="L261" s="13">
        <f ca="1">SUMIF('2.6完成品'!C:D,C261,'2.6完成品'!D:D)</f>
        <v>0</v>
      </c>
      <c r="M261" s="13">
        <f ca="1">SUMIF('2.3研究費'!D:E,C261,'2.3研究費'!E:E)</f>
        <v>0</v>
      </c>
      <c r="N261" s="13">
        <f ca="1">SUMIF('2.4販促費'!D:E,C261,'2.4販促費'!E:E)</f>
        <v>0</v>
      </c>
      <c r="O261" s="13">
        <f ca="1">SUMIF('2.5廃棄処分'!D:E,C261,'2.5廃棄処分'!E:E)</f>
        <v>0</v>
      </c>
      <c r="P261" s="13">
        <f ca="1">SUMIF('2.1④異種原液'!D:E,C261,'2.1④異種原液'!E:E)</f>
        <v>0</v>
      </c>
      <c r="Q261" s="14">
        <f ca="1">SUMIF('2.7製造部生産分'!D:I,C261,'2.7製造部生産分'!H:H)</f>
        <v>0</v>
      </c>
      <c r="R261" s="15">
        <f ca="1">-(G261+H261+K261-L261-M261-N261-O261-P261-Q261-S261)</f>
        <v>0</v>
      </c>
      <c r="S261" s="13">
        <f ca="1">SUMIF('2.9原液在庫'!B:H,C261,'2.9原液在庫'!H:H)</f>
        <v>0</v>
      </c>
      <c r="T261" s="16">
        <f ca="1">IFERROR(SUM(G262:K262)/(G261+H261+K261),0)</f>
        <v>0</v>
      </c>
      <c r="U261" s="17" t="str">
        <f>C261</f>
        <v>24RX</v>
      </c>
      <c r="V261" s="18">
        <f ca="1">IF(ISERROR(SUM(G262:K262)/SUM(L261:Q261,S261)),0,SUM(G262:K262)/SUM(L261:Q261,S261))</f>
        <v>0</v>
      </c>
      <c r="W261" s="19">
        <f ca="1">V261</f>
        <v>0</v>
      </c>
      <c r="X261" s="20">
        <f ca="1">W261/1000</f>
        <v>0</v>
      </c>
    </row>
    <row r="262" spans="1:24">
      <c r="A262" s="212"/>
      <c r="B262" s="212"/>
      <c r="C262" s="199"/>
      <c r="D262" s="199"/>
      <c r="E262" s="199"/>
      <c r="F262" s="21" t="s">
        <v>247</v>
      </c>
      <c r="G262" s="22" t="s">
        <v>254</v>
      </c>
      <c r="H262" s="184"/>
      <c r="I262" s="23">
        <f ca="1">I261*労務費経費単価SC!D$7</f>
        <v>0</v>
      </c>
      <c r="J262" s="23">
        <f ca="1">J261*労務費経費単価SC!D$11</f>
        <v>0</v>
      </c>
      <c r="K262" s="22">
        <f ca="1">K261*$E261</f>
        <v>0</v>
      </c>
      <c r="L262" s="22">
        <f ca="1">L261*$E261</f>
        <v>0</v>
      </c>
      <c r="M262" s="22">
        <f t="shared" ref="M262" ca="1" si="890">M261*$E261</f>
        <v>0</v>
      </c>
      <c r="N262" s="22">
        <f t="shared" ref="N262" ca="1" si="891">N261*$E261</f>
        <v>0</v>
      </c>
      <c r="O262" s="22">
        <f t="shared" ref="O262" ca="1" si="892">O261*$E261</f>
        <v>0</v>
      </c>
      <c r="P262" s="22">
        <f t="shared" ref="P262" ca="1" si="893">P261*$E261</f>
        <v>0</v>
      </c>
      <c r="Q262" s="22">
        <f t="shared" ref="Q262" ca="1" si="894">Q261*$E261</f>
        <v>0</v>
      </c>
      <c r="R262" s="22">
        <f t="shared" ref="R262" ca="1" si="895">R261*$E261</f>
        <v>0</v>
      </c>
      <c r="S262" s="22">
        <f t="shared" ref="S262" ca="1" si="896">S261*$E261</f>
        <v>0</v>
      </c>
      <c r="U262" s="17"/>
      <c r="V262" s="18"/>
      <c r="W262" s="19"/>
      <c r="X262" s="20"/>
    </row>
    <row r="263" spans="1:24">
      <c r="A263" s="212"/>
      <c r="B263" s="212"/>
      <c r="C263" s="199" t="s">
        <v>338</v>
      </c>
      <c r="D263" s="199" t="str">
        <f>VLOOKUP(C263,'仕掛品名寄（貼付）'!B:C,2,FALSE)</f>
        <v>その他</v>
      </c>
      <c r="E263" s="199">
        <f>VLOOKUP(D263,'仕掛品標準単価一覧表（貼付）'!B:G,6,FALSE)</f>
        <v>1080</v>
      </c>
      <c r="F263" s="12" t="s">
        <v>246</v>
      </c>
      <c r="G263" s="24">
        <v>0</v>
      </c>
      <c r="H263" s="13">
        <f ca="1">SUMIF('1.3②原材料使用'!B:E,C263,'1.3②原材料使用'!E:E)</f>
        <v>0</v>
      </c>
      <c r="I263" s="13">
        <f ca="1">SUMIF('2.10原液別作業時間'!A:B,C263,'2.10原液別作業時間'!B:B)</f>
        <v>0</v>
      </c>
      <c r="J263" s="13">
        <f ca="1">SUM(G263:H263,K263)</f>
        <v>0</v>
      </c>
      <c r="K263" s="13">
        <f ca="1">SUMIF('2.2⑤純増減→前工程費'!B:E,C263,'2.2⑤純増減→前工程費'!E:E)</f>
        <v>0</v>
      </c>
      <c r="L263" s="13">
        <f ca="1">SUMIF('2.6完成品'!C:D,C263,'2.6完成品'!D:D)</f>
        <v>0</v>
      </c>
      <c r="M263" s="13">
        <f ca="1">SUMIF('2.3研究費'!D:E,C263,'2.3研究費'!E:E)</f>
        <v>0</v>
      </c>
      <c r="N263" s="13">
        <f ca="1">SUMIF('2.4販促費'!D:E,C263,'2.4販促費'!E:E)</f>
        <v>0</v>
      </c>
      <c r="O263" s="13">
        <f ca="1">SUMIF('2.5廃棄処分'!D:E,C263,'2.5廃棄処分'!E:E)</f>
        <v>0</v>
      </c>
      <c r="P263" s="13">
        <f ca="1">SUMIF('2.1④異種原液'!D:E,C263,'2.1④異種原液'!E:E)</f>
        <v>0</v>
      </c>
      <c r="Q263" s="14">
        <f ca="1">SUMIF('2.7製造部生産分'!D:I,C263,'2.7製造部生産分'!H:H)</f>
        <v>0</v>
      </c>
      <c r="R263" s="15">
        <f ca="1">-(G263+H263+K263-L263-M263-N263-O263-P263-Q263-S263)</f>
        <v>0</v>
      </c>
      <c r="S263" s="13">
        <f ca="1">SUMIF('2.9原液在庫'!B:H,C263,'2.9原液在庫'!H:H)</f>
        <v>0</v>
      </c>
      <c r="T263" s="16">
        <f ca="1">IFERROR(SUM(G264:K264)/(G263+H263+K263),0)</f>
        <v>0</v>
      </c>
      <c r="U263" s="17" t="str">
        <f>C263</f>
        <v>24HIｼ</v>
      </c>
      <c r="V263" s="18">
        <f ca="1">IF(ISERROR(SUM(G264:K264)/SUM(L263:Q263,S263)),0,SUM(G264:K264)/SUM(L263:Q263,S263))</f>
        <v>0</v>
      </c>
      <c r="W263" s="19">
        <f ca="1">V263</f>
        <v>0</v>
      </c>
      <c r="X263" s="20">
        <f ca="1">W263/1000</f>
        <v>0</v>
      </c>
    </row>
    <row r="264" spans="1:24">
      <c r="A264" s="201"/>
      <c r="B264" s="201"/>
      <c r="C264" s="199"/>
      <c r="D264" s="199"/>
      <c r="E264" s="199"/>
      <c r="F264" s="21" t="s">
        <v>247</v>
      </c>
      <c r="G264" s="22" t="s">
        <v>254</v>
      </c>
      <c r="H264" s="184"/>
      <c r="I264" s="23">
        <f ca="1">I263*労務費経費単価SC!D$7</f>
        <v>0</v>
      </c>
      <c r="J264" s="23">
        <f ca="1">J263*労務費経費単価SC!D$11</f>
        <v>0</v>
      </c>
      <c r="K264" s="22">
        <f ca="1">K263*$E263</f>
        <v>0</v>
      </c>
      <c r="L264" s="22">
        <f ca="1">L263*$E263</f>
        <v>0</v>
      </c>
      <c r="M264" s="22">
        <f t="shared" ref="M264" ca="1" si="897">M263*$E263</f>
        <v>0</v>
      </c>
      <c r="N264" s="22">
        <f t="shared" ref="N264" ca="1" si="898">N263*$E263</f>
        <v>0</v>
      </c>
      <c r="O264" s="22">
        <f t="shared" ref="O264" ca="1" si="899">O263*$E263</f>
        <v>0</v>
      </c>
      <c r="P264" s="22">
        <f t="shared" ref="P264" ca="1" si="900">P263*$E263</f>
        <v>0</v>
      </c>
      <c r="Q264" s="22">
        <f t="shared" ref="Q264" ca="1" si="901">Q263*$E263</f>
        <v>0</v>
      </c>
      <c r="R264" s="22">
        <f t="shared" ref="R264" ca="1" si="902">R263*$E263</f>
        <v>0</v>
      </c>
      <c r="S264" s="22">
        <f t="shared" ref="S264" ca="1" si="903">S263*$E263</f>
        <v>0</v>
      </c>
      <c r="U264" s="17"/>
      <c r="V264" s="18"/>
      <c r="W264" s="19"/>
      <c r="X264" s="20"/>
    </row>
    <row r="265" spans="1:24">
      <c r="A265" s="199" t="s">
        <v>339</v>
      </c>
      <c r="B265" s="199">
        <v>25</v>
      </c>
      <c r="C265" s="199" t="s">
        <v>340</v>
      </c>
      <c r="D265" s="199" t="str">
        <f>VLOOKUP(C265,'仕掛品名寄（貼付）'!B:C,2,FALSE)</f>
        <v>R</v>
      </c>
      <c r="E265" s="199">
        <f>VLOOKUP(D265,'仕掛品標準単価一覧表（貼付）'!B:G,6,FALSE)</f>
        <v>908</v>
      </c>
      <c r="F265" s="12" t="s">
        <v>246</v>
      </c>
      <c r="G265" s="13">
        <v>11421</v>
      </c>
      <c r="H265" s="13">
        <f ca="1">SUMIF('1.3②原材料使用'!B:E,C265,'1.3②原材料使用'!E:E)</f>
        <v>0</v>
      </c>
      <c r="I265" s="13">
        <f ca="1">SUMIF('2.10原液別作業時間'!A:B,C265,'2.10原液別作業時間'!B:B)</f>
        <v>0</v>
      </c>
      <c r="J265" s="13">
        <f ca="1">SUM(G265:H265,K265)</f>
        <v>11421</v>
      </c>
      <c r="K265" s="13">
        <f ca="1">SUMIF('2.2⑤純増減→前工程費'!B:E,C265,'2.2⑤純増減→前工程費'!E:E)</f>
        <v>0</v>
      </c>
      <c r="L265" s="13">
        <f ca="1">SUMIF('2.6完成品'!C:D,C265,'2.6完成品'!D:D)</f>
        <v>0</v>
      </c>
      <c r="M265" s="13">
        <f ca="1">SUMIF('2.3研究費'!D:E,C265,'2.3研究費'!E:E)</f>
        <v>0</v>
      </c>
      <c r="N265" s="13">
        <f ca="1">SUMIF('2.4販促費'!D:E,C265,'2.4販促費'!E:E)</f>
        <v>0</v>
      </c>
      <c r="O265" s="13">
        <f ca="1">SUMIF('2.5廃棄処分'!D:E,C265,'2.5廃棄処分'!E:E)</f>
        <v>0</v>
      </c>
      <c r="P265" s="13">
        <f ca="1">SUMIF('2.1④異種原液'!D:E,C265,'2.1④異種原液'!E:E)</f>
        <v>0</v>
      </c>
      <c r="Q265" s="14">
        <f ca="1">SUMIF('2.7製造部生産分'!D:I,C265,'2.7製造部生産分'!H:H)</f>
        <v>0</v>
      </c>
      <c r="R265" s="15">
        <f ca="1">-(G265+H265+K265-L265-M265-N265-O265-P265-Q265-S265)</f>
        <v>0</v>
      </c>
      <c r="S265" s="13">
        <f ca="1">SUMIF('2.9原液在庫'!B:H,C265,'2.9原液在庫'!H:H)</f>
        <v>11421</v>
      </c>
      <c r="T265" s="16">
        <f ca="1">IFERROR(SUM(G266:K266)/(G265+H265+K265),0)</f>
        <v>1139.8755314652763</v>
      </c>
      <c r="U265" s="17" t="str">
        <f>C265</f>
        <v>25R</v>
      </c>
      <c r="V265" s="18">
        <f ca="1">IF(ISERROR(SUM(G266:K266)/SUM(L265:Q265,S265)),0,SUM(G266:K266)/SUM(L265:Q265,S265))</f>
        <v>1139.8755314652763</v>
      </c>
      <c r="W265" s="19">
        <f ca="1">V265</f>
        <v>1139.8755314652763</v>
      </c>
      <c r="X265" s="20">
        <f ca="1">W265/1000</f>
        <v>1.1398755314652762</v>
      </c>
    </row>
    <row r="266" spans="1:24">
      <c r="A266" s="199"/>
      <c r="B266" s="199"/>
      <c r="C266" s="199"/>
      <c r="D266" s="199"/>
      <c r="E266" s="199"/>
      <c r="F266" s="21" t="s">
        <v>247</v>
      </c>
      <c r="G266" s="22">
        <v>12675888.444864919</v>
      </c>
      <c r="H266" s="184"/>
      <c r="I266" s="23">
        <f ca="1">I265*労務費経費単価SC!D$7</f>
        <v>0</v>
      </c>
      <c r="J266" s="23">
        <f ca="1">J265*労務費経費単価SC!D$11</f>
        <v>342630</v>
      </c>
      <c r="K266" s="22">
        <f ca="1">K265*$E265</f>
        <v>0</v>
      </c>
      <c r="L266" s="22">
        <f ca="1">L265*$E265</f>
        <v>0</v>
      </c>
      <c r="M266" s="22">
        <f t="shared" ref="M266" ca="1" si="904">M265*$E265</f>
        <v>0</v>
      </c>
      <c r="N266" s="22">
        <f t="shared" ref="N266" ca="1" si="905">N265*$E265</f>
        <v>0</v>
      </c>
      <c r="O266" s="22">
        <f t="shared" ref="O266" ca="1" si="906">O265*$E265</f>
        <v>0</v>
      </c>
      <c r="P266" s="22">
        <f t="shared" ref="P266" ca="1" si="907">P265*$E265</f>
        <v>0</v>
      </c>
      <c r="Q266" s="22">
        <f t="shared" ref="Q266" ca="1" si="908">Q265*$E265</f>
        <v>0</v>
      </c>
      <c r="R266" s="22">
        <f t="shared" ref="R266" ca="1" si="909">R265*$E265</f>
        <v>0</v>
      </c>
      <c r="S266" s="22">
        <f t="shared" ref="S266" ca="1" si="910">S265*$E265</f>
        <v>10370268</v>
      </c>
      <c r="U266" s="17"/>
      <c r="V266" s="18"/>
      <c r="W266" s="19"/>
      <c r="X266" s="20"/>
    </row>
    <row r="267" spans="1:24">
      <c r="A267" s="199"/>
      <c r="B267" s="199"/>
      <c r="C267" s="199" t="s">
        <v>341</v>
      </c>
      <c r="D267" s="199" t="str">
        <f>VLOOKUP(C267,'仕掛品名寄（貼付）'!B:C,2,FALSE)</f>
        <v>その他</v>
      </c>
      <c r="E267" s="199">
        <f>VLOOKUP(D267,'仕掛品標準単価一覧表（貼付）'!B:G,6,FALSE)</f>
        <v>1080</v>
      </c>
      <c r="F267" s="12" t="s">
        <v>246</v>
      </c>
      <c r="G267" s="13">
        <v>5245</v>
      </c>
      <c r="H267" s="13">
        <f ca="1">SUMIF('1.3②原材料使用'!B:E,C267,'1.3②原材料使用'!E:E)</f>
        <v>0</v>
      </c>
      <c r="I267" s="13">
        <f ca="1">SUMIF('2.10原液別作業時間'!A:B,C267,'2.10原液別作業時間'!B:B)</f>
        <v>0</v>
      </c>
      <c r="J267" s="13">
        <f ca="1">SUM(G267:H267,K267)</f>
        <v>5245</v>
      </c>
      <c r="K267" s="13">
        <f ca="1">SUMIF('2.2⑤純増減→前工程費'!B:E,C267,'2.2⑤純増減→前工程費'!E:E)</f>
        <v>0</v>
      </c>
      <c r="L267" s="13">
        <f ca="1">SUMIF('2.6完成品'!C:D,C267,'2.6完成品'!D:D)</f>
        <v>0</v>
      </c>
      <c r="M267" s="13">
        <f ca="1">SUMIF('2.3研究費'!D:E,C267,'2.3研究費'!E:E)</f>
        <v>0</v>
      </c>
      <c r="N267" s="13">
        <f ca="1">SUMIF('2.4販促費'!D:E,C267,'2.4販促費'!E:E)</f>
        <v>0</v>
      </c>
      <c r="O267" s="13">
        <f ca="1">SUMIF('2.5廃棄処分'!D:E,C267,'2.5廃棄処分'!E:E)</f>
        <v>0</v>
      </c>
      <c r="P267" s="13">
        <f ca="1">SUMIF('2.1④異種原液'!D:E,C267,'2.1④異種原液'!E:E)</f>
        <v>0</v>
      </c>
      <c r="Q267" s="14">
        <f ca="1">SUMIF('2.7製造部生産分'!D:I,C267,'2.7製造部生産分'!H:H)</f>
        <v>0</v>
      </c>
      <c r="R267" s="15">
        <f ca="1">-(G267+H267+K267-L267-M267-N267-O267-P267-Q267-S267)</f>
        <v>-5.5</v>
      </c>
      <c r="S267" s="13">
        <f ca="1">SUMIF('2.9原液在庫'!B:H,C267,'2.9原液在庫'!H:H)</f>
        <v>5239.5</v>
      </c>
      <c r="T267" s="16">
        <f ca="1">IFERROR(SUM(G268:K268)/(G267+H267+K267),0)</f>
        <v>1117.8592800445144</v>
      </c>
      <c r="U267" s="17" t="str">
        <f>C267</f>
        <v>25Rﾊﾟ</v>
      </c>
      <c r="V267" s="18">
        <f ca="1">IF(ISERROR(SUM(G268:K268)/SUM(L267:Q267,S267)),0,SUM(G268:K268)/SUM(L267:Q267,S267))</f>
        <v>1119.0327175939456</v>
      </c>
      <c r="W267" s="19">
        <f ca="1">V267</f>
        <v>1119.0327175939456</v>
      </c>
      <c r="X267" s="20">
        <f ca="1">W267/1000</f>
        <v>1.1190327175939456</v>
      </c>
    </row>
    <row r="268" spans="1:24">
      <c r="A268" s="199"/>
      <c r="B268" s="199"/>
      <c r="C268" s="199"/>
      <c r="D268" s="199"/>
      <c r="E268" s="199"/>
      <c r="F268" s="21" t="s">
        <v>247</v>
      </c>
      <c r="G268" s="22">
        <v>5705821.9238334782</v>
      </c>
      <c r="H268" s="184"/>
      <c r="I268" s="23">
        <f ca="1">I267*労務費経費単価SC!D$7</f>
        <v>0</v>
      </c>
      <c r="J268" s="23">
        <f ca="1">J267*労務費経費単価SC!D$11</f>
        <v>157350</v>
      </c>
      <c r="K268" s="22">
        <f ca="1">K267*$E267</f>
        <v>0</v>
      </c>
      <c r="L268" s="22">
        <f ca="1">L267*$E267</f>
        <v>0</v>
      </c>
      <c r="M268" s="22">
        <f t="shared" ref="M268" ca="1" si="911">M267*$E267</f>
        <v>0</v>
      </c>
      <c r="N268" s="22">
        <f t="shared" ref="N268" ca="1" si="912">N267*$E267</f>
        <v>0</v>
      </c>
      <c r="O268" s="22">
        <f t="shared" ref="O268" ca="1" si="913">O267*$E267</f>
        <v>0</v>
      </c>
      <c r="P268" s="22">
        <f t="shared" ref="P268" ca="1" si="914">P267*$E267</f>
        <v>0</v>
      </c>
      <c r="Q268" s="22">
        <f t="shared" ref="Q268" ca="1" si="915">Q267*$E267</f>
        <v>0</v>
      </c>
      <c r="R268" s="22">
        <f t="shared" ref="R268" ca="1" si="916">R267*$E267</f>
        <v>-5940</v>
      </c>
      <c r="S268" s="22">
        <f t="shared" ref="S268" ca="1" si="917">S267*$E267</f>
        <v>5658660</v>
      </c>
      <c r="U268" s="17"/>
      <c r="V268" s="18"/>
      <c r="W268" s="19"/>
      <c r="X268" s="20"/>
    </row>
    <row r="269" spans="1:24">
      <c r="A269" s="199"/>
      <c r="B269" s="199"/>
      <c r="C269" s="206" t="s">
        <v>78</v>
      </c>
      <c r="D269" s="199" t="str">
        <f>VLOOKUP(C269,'仕掛品名寄（貼付）'!B:C,2,FALSE)</f>
        <v>その他</v>
      </c>
      <c r="E269" s="199">
        <f>VLOOKUP(D269,'仕掛品標準単価一覧表（貼付）'!B:G,6,FALSE)</f>
        <v>1080</v>
      </c>
      <c r="F269" s="12" t="s">
        <v>246</v>
      </c>
      <c r="G269" s="13">
        <v>0</v>
      </c>
      <c r="H269" s="13">
        <f ca="1">SUMIF('1.3②原材料使用'!B:E,C269,'1.3②原材料使用'!E:E)</f>
        <v>0</v>
      </c>
      <c r="I269" s="13">
        <f ca="1">SUMIF('2.10原液別作業時間'!A:B,C269,'2.10原液別作業時間'!B:B)</f>
        <v>0</v>
      </c>
      <c r="J269" s="13">
        <f ca="1">SUM(G269:H269,K269)</f>
        <v>0</v>
      </c>
      <c r="K269" s="13">
        <f ca="1">SUMIF('2.2⑤純増減→前工程費'!B:E,C269,'2.2⑤純増減→前工程費'!E:E)</f>
        <v>0</v>
      </c>
      <c r="L269" s="13">
        <f ca="1">SUMIF('2.6完成品'!C:D,C269,'2.6完成品'!D:D)</f>
        <v>0</v>
      </c>
      <c r="M269" s="13">
        <f ca="1">SUMIF('2.3研究費'!D:E,C269,'2.3研究費'!E:E)</f>
        <v>0</v>
      </c>
      <c r="N269" s="13">
        <f ca="1">SUMIF('2.4販促費'!D:E,C269,'2.4販促費'!E:E)</f>
        <v>0</v>
      </c>
      <c r="O269" s="13">
        <f ca="1">SUMIF('2.5廃棄処分'!D:E,C269,'2.5廃棄処分'!E:E)</f>
        <v>0</v>
      </c>
      <c r="P269" s="13">
        <f ca="1">SUMIF('2.1④異種原液'!D:E,C269,'2.1④異種原液'!E:E)</f>
        <v>0</v>
      </c>
      <c r="Q269" s="14">
        <f ca="1">SUMIF('2.7製造部生産分'!D:I,C269,'2.7製造部生産分'!H:H)</f>
        <v>0</v>
      </c>
      <c r="R269" s="15">
        <f ca="1">-(G269+H269+K269-L269-M269-N269-O269-P269-Q269-S269)</f>
        <v>0</v>
      </c>
      <c r="S269" s="13">
        <f ca="1">SUMIF('2.9原液在庫'!B:H,C269,'2.9原液在庫'!H:H)</f>
        <v>0</v>
      </c>
      <c r="T269" s="16">
        <f ca="1">IFERROR(SUM(G270:K270)/(G269+H269+K269),0)</f>
        <v>0</v>
      </c>
      <c r="U269" s="17" t="str">
        <f>C269</f>
        <v>25RAﾊﾟ</v>
      </c>
      <c r="V269" s="18">
        <f ca="1">IF(ISERROR(SUM(G270:K270)/SUM(L269:Q269,S269)),0,SUM(G270:K270)/SUM(L269:Q269,S269))</f>
        <v>0</v>
      </c>
      <c r="W269" s="19">
        <f ca="1">V269</f>
        <v>0</v>
      </c>
      <c r="X269" s="20">
        <f ca="1">W269/1000</f>
        <v>0</v>
      </c>
    </row>
    <row r="270" spans="1:24">
      <c r="A270" s="199"/>
      <c r="B270" s="199"/>
      <c r="C270" s="199"/>
      <c r="D270" s="199"/>
      <c r="E270" s="199"/>
      <c r="F270" s="21" t="s">
        <v>247</v>
      </c>
      <c r="G270" s="22" t="s">
        <v>254</v>
      </c>
      <c r="H270" s="184"/>
      <c r="I270" s="23">
        <f ca="1">I269*労務費経費単価SC!D$7</f>
        <v>0</v>
      </c>
      <c r="J270" s="23">
        <f ca="1">J269*労務費経費単価SC!D$11</f>
        <v>0</v>
      </c>
      <c r="K270" s="22">
        <f ca="1">K269*$E269</f>
        <v>0</v>
      </c>
      <c r="L270" s="22">
        <f ca="1">L269*$E269</f>
        <v>0</v>
      </c>
      <c r="M270" s="22">
        <f t="shared" ref="M270" ca="1" si="918">M269*$E269</f>
        <v>0</v>
      </c>
      <c r="N270" s="22">
        <f t="shared" ref="N270" ca="1" si="919">N269*$E269</f>
        <v>0</v>
      </c>
      <c r="O270" s="22">
        <f t="shared" ref="O270" ca="1" si="920">O269*$E269</f>
        <v>0</v>
      </c>
      <c r="P270" s="22">
        <f t="shared" ref="P270" ca="1" si="921">P269*$E269</f>
        <v>0</v>
      </c>
      <c r="Q270" s="22">
        <f t="shared" ref="Q270" ca="1" si="922">Q269*$E269</f>
        <v>0</v>
      </c>
      <c r="R270" s="22">
        <f t="shared" ref="R270" ca="1" si="923">R269*$E269</f>
        <v>0</v>
      </c>
      <c r="S270" s="22">
        <f t="shared" ref="S270" ca="1" si="924">S269*$E269</f>
        <v>0</v>
      </c>
      <c r="U270" s="17"/>
      <c r="V270" s="18"/>
      <c r="W270" s="19"/>
      <c r="X270" s="20"/>
    </row>
    <row r="271" spans="1:24">
      <c r="A271" s="199"/>
      <c r="B271" s="199"/>
      <c r="C271" s="206" t="s">
        <v>79</v>
      </c>
      <c r="D271" s="199" t="str">
        <f>VLOOKUP(C271,'仕掛品名寄（貼付）'!B:C,2,FALSE)</f>
        <v>その他</v>
      </c>
      <c r="E271" s="199">
        <f>VLOOKUP(D271,'仕掛品標準単価一覧表（貼付）'!B:G,6,FALSE)</f>
        <v>1080</v>
      </c>
      <c r="F271" s="12" t="s">
        <v>246</v>
      </c>
      <c r="G271" s="13">
        <v>0</v>
      </c>
      <c r="H271" s="13">
        <f ca="1">SUMIF('1.3②原材料使用'!B:E,C271,'1.3②原材料使用'!E:E)</f>
        <v>0</v>
      </c>
      <c r="I271" s="13">
        <f ca="1">SUMIF('2.10原液別作業時間'!A:B,C271,'2.10原液別作業時間'!B:B)</f>
        <v>0</v>
      </c>
      <c r="J271" s="13">
        <f ca="1">SUM(G271:H271,K271)</f>
        <v>0</v>
      </c>
      <c r="K271" s="13">
        <f ca="1">SUMIF('2.2⑤純増減→前工程費'!B:E,C271,'2.2⑤純増減→前工程費'!E:E)</f>
        <v>0</v>
      </c>
      <c r="L271" s="13">
        <f ca="1">SUMIF('2.6完成品'!C:D,C271,'2.6完成品'!D:D)</f>
        <v>0</v>
      </c>
      <c r="M271" s="13">
        <f ca="1">SUMIF('2.3研究費'!D:E,C271,'2.3研究費'!E:E)</f>
        <v>0</v>
      </c>
      <c r="N271" s="13">
        <f ca="1">SUMIF('2.4販促費'!D:E,C271,'2.4販促費'!E:E)</f>
        <v>0</v>
      </c>
      <c r="O271" s="13">
        <f ca="1">SUMIF('2.5廃棄処分'!D:E,C271,'2.5廃棄処分'!E:E)</f>
        <v>0</v>
      </c>
      <c r="P271" s="13">
        <f ca="1">SUMIF('2.1④異種原液'!D:E,C271,'2.1④異種原液'!E:E)</f>
        <v>0</v>
      </c>
      <c r="Q271" s="14">
        <f ca="1">SUMIF('2.7製造部生産分'!D:I,C271,'2.7製造部生産分'!H:H)</f>
        <v>0</v>
      </c>
      <c r="R271" s="15">
        <f ca="1">-(G271+H271+K271-L271-M271-N271-O271-P271-Q271-S271)</f>
        <v>0</v>
      </c>
      <c r="S271" s="13">
        <f ca="1">SUMIF('2.9原液在庫'!B:H,C271,'2.9原液在庫'!H:H)</f>
        <v>0</v>
      </c>
      <c r="T271" s="16">
        <f ca="1">IFERROR(SUM(G272:K272)/(G271+H271+K271),0)</f>
        <v>0</v>
      </c>
      <c r="U271" s="17" t="str">
        <f>C271</f>
        <v>25RﾊﾟB</v>
      </c>
      <c r="V271" s="18">
        <f ca="1">IF(ISERROR(SUM(G272:K272)/SUM(L271:Q271,S271)),0,SUM(G272:K272)/SUM(L271:Q271,S271))</f>
        <v>0</v>
      </c>
      <c r="W271" s="19">
        <f ca="1">V271</f>
        <v>0</v>
      </c>
      <c r="X271" s="20">
        <f ca="1">W271/1000</f>
        <v>0</v>
      </c>
    </row>
    <row r="272" spans="1:24">
      <c r="A272" s="199"/>
      <c r="B272" s="199"/>
      <c r="C272" s="199"/>
      <c r="D272" s="199"/>
      <c r="E272" s="199"/>
      <c r="F272" s="21" t="s">
        <v>247</v>
      </c>
      <c r="G272" s="22" t="s">
        <v>254</v>
      </c>
      <c r="H272" s="184"/>
      <c r="I272" s="23">
        <f ca="1">I271*労務費経費単価SC!D$7</f>
        <v>0</v>
      </c>
      <c r="J272" s="23">
        <f ca="1">J271*労務費経費単価SC!D$11</f>
        <v>0</v>
      </c>
      <c r="K272" s="22">
        <f ca="1">K271*$E271</f>
        <v>0</v>
      </c>
      <c r="L272" s="22">
        <f ca="1">L271*$E271</f>
        <v>0</v>
      </c>
      <c r="M272" s="22">
        <f t="shared" ref="M272" ca="1" si="925">M271*$E271</f>
        <v>0</v>
      </c>
      <c r="N272" s="22">
        <f t="shared" ref="N272" ca="1" si="926">N271*$E271</f>
        <v>0</v>
      </c>
      <c r="O272" s="22">
        <f t="shared" ref="O272" ca="1" si="927">O271*$E271</f>
        <v>0</v>
      </c>
      <c r="P272" s="22">
        <f t="shared" ref="P272" ca="1" si="928">P271*$E271</f>
        <v>0</v>
      </c>
      <c r="Q272" s="22">
        <f t="shared" ref="Q272" ca="1" si="929">Q271*$E271</f>
        <v>0</v>
      </c>
      <c r="R272" s="22">
        <f t="shared" ref="R272" ca="1" si="930">R271*$E271</f>
        <v>0</v>
      </c>
      <c r="S272" s="22">
        <f t="shared" ref="S272" ca="1" si="931">S271*$E271</f>
        <v>0</v>
      </c>
      <c r="U272" s="17"/>
      <c r="V272" s="18"/>
      <c r="W272" s="19"/>
      <c r="X272" s="20"/>
    </row>
    <row r="273" spans="1:24">
      <c r="A273" s="199" t="s">
        <v>342</v>
      </c>
      <c r="B273" s="199">
        <v>26</v>
      </c>
      <c r="C273" s="199" t="s">
        <v>343</v>
      </c>
      <c r="D273" s="199" t="str">
        <f>VLOOKUP(C273,'仕掛品名寄（貼付）'!B:C,2,FALSE)</f>
        <v>R</v>
      </c>
      <c r="E273" s="199">
        <f>VLOOKUP(D273,'仕掛品標準単価一覧表（貼付）'!B:G,6,FALSE)</f>
        <v>908</v>
      </c>
      <c r="F273" s="12" t="s">
        <v>246</v>
      </c>
      <c r="G273" s="13">
        <v>0</v>
      </c>
      <c r="H273" s="13">
        <f ca="1">SUMIF('1.3②原材料使用'!B:E,C273,'1.3②原材料使用'!E:E)</f>
        <v>0</v>
      </c>
      <c r="I273" s="13">
        <f ca="1">SUMIF('2.10原液別作業時間'!A:B,C273,'2.10原液別作業時間'!B:B)</f>
        <v>0</v>
      </c>
      <c r="J273" s="13">
        <f ca="1">SUM(G273:H273,K273)</f>
        <v>0</v>
      </c>
      <c r="K273" s="13">
        <f ca="1">SUMIF('2.2⑤純増減→前工程費'!B:E,C273,'2.2⑤純増減→前工程費'!E:E)</f>
        <v>0</v>
      </c>
      <c r="L273" s="13">
        <f ca="1">SUMIF('2.6完成品'!C:D,C273,'2.6完成品'!D:D)</f>
        <v>0</v>
      </c>
      <c r="M273" s="13">
        <f ca="1">SUMIF('2.3研究費'!D:E,C273,'2.3研究費'!E:E)</f>
        <v>0</v>
      </c>
      <c r="N273" s="13">
        <f ca="1">SUMIF('2.4販促費'!D:E,C273,'2.4販促費'!E:E)</f>
        <v>0</v>
      </c>
      <c r="O273" s="13">
        <f ca="1">SUMIF('2.5廃棄処分'!D:E,C273,'2.5廃棄処分'!E:E)</f>
        <v>0</v>
      </c>
      <c r="P273" s="13">
        <f ca="1">SUMIF('2.1④異種原液'!D:E,C273,'2.1④異種原液'!E:E)</f>
        <v>0</v>
      </c>
      <c r="Q273" s="14">
        <f ca="1">SUMIF('2.7製造部生産分'!D:I,C273,'2.7製造部生産分'!H:H)</f>
        <v>0</v>
      </c>
      <c r="R273" s="15">
        <f ca="1">-(G273+H273+K273-L273-M273-N273-O273-P273-Q273-S273)</f>
        <v>0</v>
      </c>
      <c r="S273" s="13">
        <f ca="1">SUMIF('2.9原液在庫'!B:H,C273,'2.9原液在庫'!H:H)</f>
        <v>0</v>
      </c>
      <c r="T273" s="16">
        <f ca="1">IFERROR(SUM(G274:K274)/(G273+H273+K273),0)</f>
        <v>0</v>
      </c>
      <c r="U273" s="17" t="str">
        <f>C273</f>
        <v>26R</v>
      </c>
      <c r="V273" s="18">
        <f ca="1">IF(ISERROR(SUM(G274:K274)/SUM(L273:Q273,S273)),0,SUM(G274:K274)/SUM(L273:Q273,S273))</f>
        <v>0</v>
      </c>
      <c r="W273" s="19">
        <f ca="1">V273</f>
        <v>0</v>
      </c>
      <c r="X273" s="20">
        <f ca="1">W273/1000</f>
        <v>0</v>
      </c>
    </row>
    <row r="274" spans="1:24">
      <c r="A274" s="199"/>
      <c r="B274" s="199"/>
      <c r="C274" s="199"/>
      <c r="D274" s="199"/>
      <c r="E274" s="199"/>
      <c r="F274" s="21" t="s">
        <v>247</v>
      </c>
      <c r="G274" s="22" t="s">
        <v>254</v>
      </c>
      <c r="H274" s="184"/>
      <c r="I274" s="23">
        <f ca="1">I273*労務費経費単価SC!D$7</f>
        <v>0</v>
      </c>
      <c r="J274" s="23">
        <f ca="1">J273*労務費経費単価SC!D$11</f>
        <v>0</v>
      </c>
      <c r="K274" s="22">
        <f ca="1">K273*$E273</f>
        <v>0</v>
      </c>
      <c r="L274" s="22">
        <f ca="1">L273*$E273</f>
        <v>0</v>
      </c>
      <c r="M274" s="22">
        <f t="shared" ref="M274" ca="1" si="932">M273*$E273</f>
        <v>0</v>
      </c>
      <c r="N274" s="22">
        <f t="shared" ref="N274" ca="1" si="933">N273*$E273</f>
        <v>0</v>
      </c>
      <c r="O274" s="22">
        <f t="shared" ref="O274" ca="1" si="934">O273*$E273</f>
        <v>0</v>
      </c>
      <c r="P274" s="22">
        <f t="shared" ref="P274" ca="1" si="935">P273*$E273</f>
        <v>0</v>
      </c>
      <c r="Q274" s="22">
        <f t="shared" ref="Q274" ca="1" si="936">Q273*$E273</f>
        <v>0</v>
      </c>
      <c r="R274" s="22">
        <f t="shared" ref="R274" ca="1" si="937">R273*$E273</f>
        <v>0</v>
      </c>
      <c r="S274" s="22">
        <f t="shared" ref="S274" ca="1" si="938">S273*$E273</f>
        <v>0</v>
      </c>
      <c r="U274" s="17"/>
      <c r="V274" s="18"/>
      <c r="W274" s="19"/>
      <c r="X274" s="20"/>
    </row>
    <row r="275" spans="1:24">
      <c r="A275" s="199"/>
      <c r="B275" s="199"/>
      <c r="C275" s="199" t="s">
        <v>344</v>
      </c>
      <c r="D275" s="199" t="str">
        <f>VLOOKUP(C275,'仕掛品名寄（貼付）'!B:C,2,FALSE)</f>
        <v>その他</v>
      </c>
      <c r="E275" s="199">
        <f>VLOOKUP(D275,'仕掛品標準単価一覧表（貼付）'!B:G,6,FALSE)</f>
        <v>1080</v>
      </c>
      <c r="F275" s="12" t="s">
        <v>246</v>
      </c>
      <c r="G275" s="24">
        <v>0</v>
      </c>
      <c r="H275" s="13">
        <f ca="1">SUMIF('1.3②原材料使用'!B:E,C275,'1.3②原材料使用'!E:E)</f>
        <v>0</v>
      </c>
      <c r="I275" s="13">
        <f ca="1">SUMIF('2.10原液別作業時間'!A:B,C275,'2.10原液別作業時間'!B:B)</f>
        <v>0</v>
      </c>
      <c r="J275" s="13">
        <f ca="1">SUM(G275:H275,K275)</f>
        <v>0</v>
      </c>
      <c r="K275" s="13">
        <f ca="1">SUMIF('2.2⑤純増減→前工程費'!B:E,C275,'2.2⑤純増減→前工程費'!E:E)</f>
        <v>0</v>
      </c>
      <c r="L275" s="13">
        <f ca="1">SUMIF('2.6完成品'!C:D,C275,'2.6完成品'!D:D)</f>
        <v>0</v>
      </c>
      <c r="M275" s="13">
        <f ca="1">SUMIF('2.3研究費'!D:E,C275,'2.3研究費'!E:E)</f>
        <v>0</v>
      </c>
      <c r="N275" s="13">
        <f ca="1">SUMIF('2.4販促費'!D:E,C275,'2.4販促費'!E:E)</f>
        <v>0</v>
      </c>
      <c r="O275" s="13">
        <f ca="1">SUMIF('2.5廃棄処分'!D:E,C275,'2.5廃棄処分'!E:E)</f>
        <v>0</v>
      </c>
      <c r="P275" s="13">
        <f ca="1">SUMIF('2.1④異種原液'!D:E,C275,'2.1④異種原液'!E:E)</f>
        <v>0</v>
      </c>
      <c r="Q275" s="14">
        <f ca="1">SUMIF('2.7製造部生産分'!D:I,C275,'2.7製造部生産分'!H:H)</f>
        <v>0</v>
      </c>
      <c r="R275" s="15">
        <f ca="1">-(G275+H275+K275-L275-M275-N275-O275-P275-Q275-S275)</f>
        <v>0</v>
      </c>
      <c r="S275" s="13">
        <f ca="1">SUMIF('2.9原液在庫'!B:H,C275,'2.9原液在庫'!H:H)</f>
        <v>0</v>
      </c>
      <c r="T275" s="16">
        <f ca="1">IFERROR(SUM(G276:K276)/(G275+H275+K275),0)</f>
        <v>0</v>
      </c>
      <c r="U275" s="17" t="str">
        <f>C275</f>
        <v>26R青ﾊﾟ</v>
      </c>
      <c r="V275" s="18">
        <f ca="1">IF(ISERROR(SUM(G276:K276)/SUM(L275:Q275,S275)),0,SUM(G276:K276)/SUM(L275:Q275,S275))</f>
        <v>0</v>
      </c>
      <c r="W275" s="19">
        <f ca="1">V275</f>
        <v>0</v>
      </c>
      <c r="X275" s="20">
        <f ca="1">W275/1000</f>
        <v>0</v>
      </c>
    </row>
    <row r="276" spans="1:24">
      <c r="A276" s="199"/>
      <c r="B276" s="199"/>
      <c r="C276" s="199"/>
      <c r="D276" s="199"/>
      <c r="E276" s="199"/>
      <c r="F276" s="21" t="s">
        <v>247</v>
      </c>
      <c r="G276" s="22" t="s">
        <v>254</v>
      </c>
      <c r="H276" s="184"/>
      <c r="I276" s="23">
        <f ca="1">I275*労務費経費単価SC!D$7</f>
        <v>0</v>
      </c>
      <c r="J276" s="23">
        <f ca="1">J275*労務費経費単価SC!D$11</f>
        <v>0</v>
      </c>
      <c r="K276" s="22">
        <f ca="1">K275*$E275</f>
        <v>0</v>
      </c>
      <c r="L276" s="22">
        <f ca="1">L275*$E275</f>
        <v>0</v>
      </c>
      <c r="M276" s="22">
        <f t="shared" ref="M276" ca="1" si="939">M275*$E275</f>
        <v>0</v>
      </c>
      <c r="N276" s="22">
        <f t="shared" ref="N276" ca="1" si="940">N275*$E275</f>
        <v>0</v>
      </c>
      <c r="O276" s="22">
        <f t="shared" ref="O276" ca="1" si="941">O275*$E275</f>
        <v>0</v>
      </c>
      <c r="P276" s="22">
        <f t="shared" ref="P276" ca="1" si="942">P275*$E275</f>
        <v>0</v>
      </c>
      <c r="Q276" s="22">
        <f t="shared" ref="Q276" ca="1" si="943">Q275*$E275</f>
        <v>0</v>
      </c>
      <c r="R276" s="22">
        <f t="shared" ref="R276" ca="1" si="944">R275*$E275</f>
        <v>0</v>
      </c>
      <c r="S276" s="22">
        <f t="shared" ref="S276" ca="1" si="945">S275*$E275</f>
        <v>0</v>
      </c>
      <c r="U276" s="17"/>
      <c r="V276" s="18"/>
      <c r="W276" s="19"/>
      <c r="X276" s="20"/>
    </row>
    <row r="277" spans="1:24">
      <c r="A277" s="199"/>
      <c r="B277" s="199"/>
      <c r="C277" s="199" t="s">
        <v>81</v>
      </c>
      <c r="D277" s="199" t="str">
        <f>VLOOKUP(C277,'仕掛品名寄（貼付）'!B:C,2,FALSE)</f>
        <v>RX</v>
      </c>
      <c r="E277" s="199">
        <f>VLOOKUP(D277,'仕掛品標準単価一覧表（貼付）'!B:G,6,FALSE)</f>
        <v>847</v>
      </c>
      <c r="F277" s="12" t="s">
        <v>246</v>
      </c>
      <c r="G277" s="13">
        <v>0</v>
      </c>
      <c r="H277" s="13">
        <f ca="1">SUMIF('1.3②原材料使用'!B:E,C277,'1.3②原材料使用'!E:E)</f>
        <v>0</v>
      </c>
      <c r="I277" s="13">
        <f ca="1">SUMIF('2.10原液別作業時間'!A:B,C277,'2.10原液別作業時間'!B:B)</f>
        <v>0</v>
      </c>
      <c r="J277" s="13">
        <f ca="1">SUM(G277:H277,K277)</f>
        <v>0</v>
      </c>
      <c r="K277" s="13">
        <f ca="1">SUMIF('2.2⑤純増減→前工程費'!B:E,C277,'2.2⑤純増減→前工程費'!E:E)</f>
        <v>0</v>
      </c>
      <c r="L277" s="13">
        <f ca="1">SUMIF('2.6完成品'!C:D,C277,'2.6完成品'!D:D)</f>
        <v>0</v>
      </c>
      <c r="M277" s="13">
        <f ca="1">SUMIF('2.3研究費'!D:E,C277,'2.3研究費'!E:E)</f>
        <v>0</v>
      </c>
      <c r="N277" s="13">
        <f ca="1">SUMIF('2.4販促費'!D:E,C277,'2.4販促費'!E:E)</f>
        <v>0</v>
      </c>
      <c r="O277" s="13">
        <f ca="1">SUMIF('2.5廃棄処分'!D:E,C277,'2.5廃棄処分'!E:E)</f>
        <v>0</v>
      </c>
      <c r="P277" s="13">
        <f ca="1">SUMIF('2.1④異種原液'!D:E,C277,'2.1④異種原液'!E:E)</f>
        <v>0</v>
      </c>
      <c r="Q277" s="14">
        <f ca="1">SUMIF('2.7製造部生産分'!D:I,C277,'2.7製造部生産分'!H:H)</f>
        <v>0</v>
      </c>
      <c r="R277" s="15">
        <f ca="1">-(G277+H277+K277-L277-M277-N277-O277-P277-Q277-S277)</f>
        <v>0</v>
      </c>
      <c r="S277" s="13">
        <f ca="1">SUMIF('2.9原液在庫'!B:H,C277,'2.9原液在庫'!H:H)</f>
        <v>0</v>
      </c>
      <c r="T277" s="16">
        <f ca="1">IFERROR(SUM(G278:K278)/(G277+H277+K277),0)</f>
        <v>0</v>
      </c>
      <c r="U277" s="17" t="str">
        <f>C277</f>
        <v>26RX</v>
      </c>
      <c r="V277" s="18">
        <f ca="1">IF(ISERROR(SUM(G278:K278)/SUM(L277:Q277,S277)),0,SUM(G278:K278)/SUM(L277:Q277,S277))</f>
        <v>0</v>
      </c>
      <c r="W277" s="19">
        <f ca="1">V277</f>
        <v>0</v>
      </c>
      <c r="X277" s="20">
        <f ca="1">W277/1000</f>
        <v>0</v>
      </c>
    </row>
    <row r="278" spans="1:24">
      <c r="A278" s="199"/>
      <c r="B278" s="199"/>
      <c r="C278" s="199"/>
      <c r="D278" s="199"/>
      <c r="E278" s="199"/>
      <c r="F278" s="21" t="s">
        <v>247</v>
      </c>
      <c r="G278" s="22" t="s">
        <v>254</v>
      </c>
      <c r="H278" s="184"/>
      <c r="I278" s="23">
        <f ca="1">I277*労務費経費単価SC!D$7</f>
        <v>0</v>
      </c>
      <c r="J278" s="23">
        <f ca="1">J277*労務費経費単価SC!D$11</f>
        <v>0</v>
      </c>
      <c r="K278" s="22">
        <f ca="1">K277*$E277</f>
        <v>0</v>
      </c>
      <c r="L278" s="22">
        <f ca="1">L277*$E277</f>
        <v>0</v>
      </c>
      <c r="M278" s="22">
        <f t="shared" ref="M278" ca="1" si="946">M277*$E277</f>
        <v>0</v>
      </c>
      <c r="N278" s="22">
        <f t="shared" ref="N278" ca="1" si="947">N277*$E277</f>
        <v>0</v>
      </c>
      <c r="O278" s="22">
        <f t="shared" ref="O278" ca="1" si="948">O277*$E277</f>
        <v>0</v>
      </c>
      <c r="P278" s="22">
        <f t="shared" ref="P278" ca="1" si="949">P277*$E277</f>
        <v>0</v>
      </c>
      <c r="Q278" s="22">
        <f t="shared" ref="Q278" ca="1" si="950">Q277*$E277</f>
        <v>0</v>
      </c>
      <c r="R278" s="22">
        <f t="shared" ref="R278" ca="1" si="951">R277*$E277</f>
        <v>0</v>
      </c>
      <c r="S278" s="22">
        <f t="shared" ref="S278" ca="1" si="952">S277*$E277</f>
        <v>0</v>
      </c>
      <c r="U278" s="17"/>
      <c r="V278" s="18"/>
      <c r="W278" s="19"/>
      <c r="X278" s="20"/>
    </row>
    <row r="279" spans="1:24">
      <c r="A279" s="199"/>
      <c r="B279" s="199"/>
      <c r="C279" s="199" t="s">
        <v>345</v>
      </c>
      <c r="D279" s="199" t="str">
        <f>VLOOKUP(C279,'仕掛品名寄（貼付）'!B:C,2,FALSE)</f>
        <v>その他</v>
      </c>
      <c r="E279" s="199">
        <f>VLOOKUP(D279,'仕掛品標準単価一覧表（貼付）'!B:G,6,FALSE)</f>
        <v>1080</v>
      </c>
      <c r="F279" s="12" t="s">
        <v>246</v>
      </c>
      <c r="G279" s="13">
        <v>0</v>
      </c>
      <c r="H279" s="13">
        <f ca="1">SUMIF('1.3②原材料使用'!B:E,C279,'1.3②原材料使用'!E:E)</f>
        <v>0</v>
      </c>
      <c r="I279" s="13">
        <f ca="1">SUMIF('2.10原液別作業時間'!A:B,C279,'2.10原液別作業時間'!B:B)</f>
        <v>0</v>
      </c>
      <c r="J279" s="13">
        <f ca="1">SUM(G279:H279,K279)</f>
        <v>0</v>
      </c>
      <c r="K279" s="13">
        <f ca="1">SUMIF('2.2⑤純増減→前工程費'!B:E,C279,'2.2⑤純増減→前工程費'!E:E)</f>
        <v>0</v>
      </c>
      <c r="L279" s="13">
        <f ca="1">SUMIF('2.6完成品'!C:D,C279,'2.6完成品'!D:D)</f>
        <v>0</v>
      </c>
      <c r="M279" s="13">
        <f ca="1">SUMIF('2.3研究費'!D:E,C279,'2.3研究費'!E:E)</f>
        <v>0</v>
      </c>
      <c r="N279" s="13">
        <f ca="1">SUMIF('2.4販促費'!D:E,C279,'2.4販促費'!E:E)</f>
        <v>0</v>
      </c>
      <c r="O279" s="13">
        <f ca="1">SUMIF('2.5廃棄処分'!D:E,C279,'2.5廃棄処分'!E:E)</f>
        <v>0</v>
      </c>
      <c r="P279" s="13">
        <f ca="1">SUMIF('2.1④異種原液'!D:E,C279,'2.1④異種原液'!E:E)</f>
        <v>0</v>
      </c>
      <c r="Q279" s="14">
        <f ca="1">SUMIF('2.7製造部生産分'!D:I,C279,'2.7製造部生産分'!H:H)</f>
        <v>0</v>
      </c>
      <c r="R279" s="15">
        <f ca="1">-(G279+H279+K279-L279-M279-N279-O279-P279-Q279-S279)</f>
        <v>0</v>
      </c>
      <c r="S279" s="13">
        <f ca="1">SUMIF('2.9原液在庫'!B:H,C279,'2.9原液在庫'!H:H)</f>
        <v>0</v>
      </c>
      <c r="T279" s="16">
        <f ca="1">IFERROR(SUM(G280:K280)/(G279+H279+K279),0)</f>
        <v>0</v>
      </c>
      <c r="U279" s="17" t="str">
        <f>C279</f>
        <v>26Rｳ</v>
      </c>
      <c r="V279" s="18">
        <f ca="1">IF(ISERROR(SUM(G280:K280)/SUM(L279:Q279,S279)),0,SUM(G280:K280)/SUM(L279:Q279,S279))</f>
        <v>0</v>
      </c>
      <c r="W279" s="19">
        <f ca="1">V279</f>
        <v>0</v>
      </c>
      <c r="X279" s="20">
        <f ca="1">W279/1000</f>
        <v>0</v>
      </c>
    </row>
    <row r="280" spans="1:24">
      <c r="A280" s="199"/>
      <c r="B280" s="199"/>
      <c r="C280" s="199"/>
      <c r="D280" s="199"/>
      <c r="E280" s="199"/>
      <c r="F280" s="21" t="s">
        <v>247</v>
      </c>
      <c r="G280" s="22" t="s">
        <v>254</v>
      </c>
      <c r="H280" s="184"/>
      <c r="I280" s="23">
        <f ca="1">I279*労務費経費単価SC!D$7</f>
        <v>0</v>
      </c>
      <c r="J280" s="23">
        <f ca="1">J279*労務費経費単価SC!D$11</f>
        <v>0</v>
      </c>
      <c r="K280" s="22">
        <f ca="1">K279*$E279</f>
        <v>0</v>
      </c>
      <c r="L280" s="22">
        <f ca="1">L279*$E279</f>
        <v>0</v>
      </c>
      <c r="M280" s="22">
        <f t="shared" ref="M280" ca="1" si="953">M279*$E279</f>
        <v>0</v>
      </c>
      <c r="N280" s="22">
        <f t="shared" ref="N280" ca="1" si="954">N279*$E279</f>
        <v>0</v>
      </c>
      <c r="O280" s="22">
        <f t="shared" ref="O280" ca="1" si="955">O279*$E279</f>
        <v>0</v>
      </c>
      <c r="P280" s="22">
        <f t="shared" ref="P280" ca="1" si="956">P279*$E279</f>
        <v>0</v>
      </c>
      <c r="Q280" s="22">
        <f t="shared" ref="Q280" ca="1" si="957">Q279*$E279</f>
        <v>0</v>
      </c>
      <c r="R280" s="22">
        <f t="shared" ref="R280" ca="1" si="958">R279*$E279</f>
        <v>0</v>
      </c>
      <c r="S280" s="22">
        <f t="shared" ref="S280" ca="1" si="959">S279*$E279</f>
        <v>0</v>
      </c>
      <c r="U280" s="17"/>
      <c r="V280" s="18"/>
      <c r="W280" s="19"/>
      <c r="X280" s="20"/>
    </row>
    <row r="281" spans="1:24">
      <c r="A281" s="199"/>
      <c r="B281" s="199"/>
      <c r="C281" s="199" t="s">
        <v>346</v>
      </c>
      <c r="D281" s="199" t="str">
        <f>VLOOKUP(C281,'仕掛品名寄（貼付）'!B:C,2,FALSE)</f>
        <v>その他</v>
      </c>
      <c r="E281" s="199">
        <f>VLOOKUP(D281,'仕掛品標準単価一覧表（貼付）'!B:G,6,FALSE)</f>
        <v>1080</v>
      </c>
      <c r="F281" s="12" t="s">
        <v>246</v>
      </c>
      <c r="G281" s="24">
        <v>533.5</v>
      </c>
      <c r="H281" s="13">
        <f ca="1">SUMIF('1.3②原材料使用'!B:E,C281,'1.3②原材料使用'!E:E)</f>
        <v>0</v>
      </c>
      <c r="I281" s="13">
        <f ca="1">SUMIF('2.10原液別作業時間'!A:B,C281,'2.10原液別作業時間'!B:B)</f>
        <v>0</v>
      </c>
      <c r="J281" s="13">
        <f ca="1">SUM(G281:H281,K281)</f>
        <v>533.5</v>
      </c>
      <c r="K281" s="13">
        <f ca="1">SUMIF('2.2⑤純増減→前工程費'!B:E,C281,'2.2⑤純増減→前工程費'!E:E)</f>
        <v>0</v>
      </c>
      <c r="L281" s="13">
        <f ca="1">SUMIF('2.6完成品'!C:D,C281,'2.6完成品'!D:D)</f>
        <v>0</v>
      </c>
      <c r="M281" s="13">
        <f ca="1">SUMIF('2.3研究費'!D:E,C281,'2.3研究費'!E:E)</f>
        <v>0</v>
      </c>
      <c r="N281" s="13">
        <f ca="1">SUMIF('2.4販促費'!D:E,C281,'2.4販促費'!E:E)</f>
        <v>0</v>
      </c>
      <c r="O281" s="13">
        <f ca="1">SUMIF('2.5廃棄処分'!D:E,C281,'2.5廃棄処分'!E:E)</f>
        <v>0</v>
      </c>
      <c r="P281" s="13">
        <f ca="1">SUMIF('2.1④異種原液'!D:E,C281,'2.1④異種原液'!E:E)</f>
        <v>0</v>
      </c>
      <c r="Q281" s="14">
        <f ca="1">SUMIF('2.7製造部生産分'!D:I,C281,'2.7製造部生産分'!H:H)</f>
        <v>0</v>
      </c>
      <c r="R281" s="15">
        <f ca="1">-(G281+H281+K281-L281-M281-N281-O281-P281-Q281-S281)</f>
        <v>0</v>
      </c>
      <c r="S281" s="13">
        <f ca="1">SUMIF('2.9原液在庫'!B:H,C281,'2.9原液在庫'!H:H)</f>
        <v>533.5</v>
      </c>
      <c r="T281" s="16">
        <f ca="1">IFERROR(SUM(G282:K282)/(G281+H281+K281),0)</f>
        <v>1112.1517032913882</v>
      </c>
      <c r="U281" s="17" t="str">
        <f>C281</f>
        <v>26Rｶ</v>
      </c>
      <c r="V281" s="18">
        <f ca="1">IF(ISERROR(SUM(G282:K282)/SUM(L281:Q281,S281)),0,SUM(G282:K282)/SUM(L281:Q281,S281))</f>
        <v>1112.1517032913882</v>
      </c>
      <c r="W281" s="19">
        <f ca="1">V281</f>
        <v>1112.1517032913882</v>
      </c>
      <c r="X281" s="20">
        <f ca="1">W281/1000</f>
        <v>1.1121517032913881</v>
      </c>
    </row>
    <row r="282" spans="1:24">
      <c r="A282" s="199"/>
      <c r="B282" s="199"/>
      <c r="C282" s="199"/>
      <c r="D282" s="199"/>
      <c r="E282" s="199"/>
      <c r="F282" s="21" t="s">
        <v>247</v>
      </c>
      <c r="G282" s="22">
        <v>577327.93370595563</v>
      </c>
      <c r="H282" s="184"/>
      <c r="I282" s="23">
        <f ca="1">I281*労務費経費単価SC!D$7</f>
        <v>0</v>
      </c>
      <c r="J282" s="23">
        <f ca="1">J281*労務費経費単価SC!D$11</f>
        <v>16005</v>
      </c>
      <c r="K282" s="22">
        <f ca="1">K281*$E281</f>
        <v>0</v>
      </c>
      <c r="L282" s="22">
        <f ca="1">L281*$E281</f>
        <v>0</v>
      </c>
      <c r="M282" s="22">
        <f t="shared" ref="M282" ca="1" si="960">M281*$E281</f>
        <v>0</v>
      </c>
      <c r="N282" s="22">
        <f t="shared" ref="N282" ca="1" si="961">N281*$E281</f>
        <v>0</v>
      </c>
      <c r="O282" s="22">
        <f t="shared" ref="O282" ca="1" si="962">O281*$E281</f>
        <v>0</v>
      </c>
      <c r="P282" s="22">
        <f t="shared" ref="P282" ca="1" si="963">P281*$E281</f>
        <v>0</v>
      </c>
      <c r="Q282" s="22">
        <f t="shared" ref="Q282" ca="1" si="964">Q281*$E281</f>
        <v>0</v>
      </c>
      <c r="R282" s="22">
        <f t="shared" ref="R282" ca="1" si="965">R281*$E281</f>
        <v>0</v>
      </c>
      <c r="S282" s="22">
        <f t="shared" ref="S282" ca="1" si="966">S281*$E281</f>
        <v>576180</v>
      </c>
      <c r="U282" s="17"/>
      <c r="V282" s="18"/>
      <c r="W282" s="19"/>
      <c r="X282" s="20"/>
    </row>
    <row r="283" spans="1:24">
      <c r="A283" s="199" t="s">
        <v>347</v>
      </c>
      <c r="B283" s="199">
        <v>27</v>
      </c>
      <c r="C283" s="199" t="s">
        <v>348</v>
      </c>
      <c r="D283" s="199" t="str">
        <f>VLOOKUP(C283,'仕掛品名寄（貼付）'!B:C,2,FALSE)</f>
        <v>R</v>
      </c>
      <c r="E283" s="199">
        <f>VLOOKUP(D283,'仕掛品標準単価一覧表（貼付）'!B:G,6,FALSE)</f>
        <v>908</v>
      </c>
      <c r="F283" s="12" t="s">
        <v>246</v>
      </c>
      <c r="G283" s="13">
        <v>40419</v>
      </c>
      <c r="H283" s="13">
        <f ca="1">SUMIF('1.3②原材料使用'!B:E,C283,'1.3②原材料使用'!E:E)</f>
        <v>0</v>
      </c>
      <c r="I283" s="13">
        <f ca="1">SUMIF('2.10原液別作業時間'!A:B,C283,'2.10原液別作業時間'!B:B)</f>
        <v>0</v>
      </c>
      <c r="J283" s="13">
        <f ca="1">SUM(G283:H283,K283)</f>
        <v>40419</v>
      </c>
      <c r="K283" s="13">
        <f ca="1">SUMIF('2.2⑤純増減→前工程費'!B:E,C283,'2.2⑤純増減→前工程費'!E:E)</f>
        <v>0</v>
      </c>
      <c r="L283" s="13">
        <f ca="1">SUMIF('2.6完成品'!C:D,C283,'2.6完成品'!D:D)</f>
        <v>0</v>
      </c>
      <c r="M283" s="13">
        <f ca="1">SUMIF('2.3研究費'!D:E,C283,'2.3研究費'!E:E)</f>
        <v>0</v>
      </c>
      <c r="N283" s="13">
        <f ca="1">SUMIF('2.4販促費'!D:E,C283,'2.4販促費'!E:E)</f>
        <v>0</v>
      </c>
      <c r="O283" s="13">
        <f ca="1">SUMIF('2.5廃棄処分'!D:E,C283,'2.5廃棄処分'!E:E)</f>
        <v>0</v>
      </c>
      <c r="P283" s="13">
        <f ca="1">SUMIF('2.1④異種原液'!D:E,C283,'2.1④異種原液'!E:E)</f>
        <v>0</v>
      </c>
      <c r="Q283" s="14">
        <f ca="1">SUMIF('2.7製造部生産分'!D:I,C283,'2.7製造部生産分'!H:H)</f>
        <v>0</v>
      </c>
      <c r="R283" s="15">
        <f ca="1">-(G283+H283+K283-L283-M283-N283-O283-P283-Q283-S283)</f>
        <v>0</v>
      </c>
      <c r="S283" s="13">
        <f ca="1">SUMIF('2.9原液在庫'!B:H,C283,'2.9原液在庫'!H:H)</f>
        <v>40419</v>
      </c>
      <c r="T283" s="16">
        <f ca="1">IFERROR(SUM(G284:K284)/(G283+H283+K283),0)</f>
        <v>1144.6567138150131</v>
      </c>
      <c r="U283" s="17" t="str">
        <f>C283</f>
        <v>27R</v>
      </c>
      <c r="V283" s="18">
        <f ca="1">IF(ISERROR(SUM(G284:K284)/SUM(L283:Q283,S283)),0,SUM(G284:K284)/SUM(L283:Q283,S283))</f>
        <v>1144.6567138150131</v>
      </c>
      <c r="W283" s="19">
        <f ca="1">V283</f>
        <v>1144.6567138150131</v>
      </c>
      <c r="X283" s="20">
        <f ca="1">W283/1000</f>
        <v>1.144656713815013</v>
      </c>
    </row>
    <row r="284" spans="1:24">
      <c r="A284" s="199"/>
      <c r="B284" s="199"/>
      <c r="C284" s="199"/>
      <c r="D284" s="199"/>
      <c r="E284" s="199"/>
      <c r="F284" s="21" t="s">
        <v>247</v>
      </c>
      <c r="G284" s="22">
        <v>45053309.715689011</v>
      </c>
      <c r="H284" s="184"/>
      <c r="I284" s="23">
        <f ca="1">I283*労務費経費単価SC!D$7</f>
        <v>0</v>
      </c>
      <c r="J284" s="23">
        <f ca="1">J283*労務費経費単価SC!D$11</f>
        <v>1212570</v>
      </c>
      <c r="K284" s="22">
        <f ca="1">K283*$E283</f>
        <v>0</v>
      </c>
      <c r="L284" s="22">
        <f ca="1">L283*$E283</f>
        <v>0</v>
      </c>
      <c r="M284" s="22">
        <f t="shared" ref="M284" ca="1" si="967">M283*$E283</f>
        <v>0</v>
      </c>
      <c r="N284" s="22">
        <f t="shared" ref="N284" ca="1" si="968">N283*$E283</f>
        <v>0</v>
      </c>
      <c r="O284" s="22">
        <f t="shared" ref="O284" ca="1" si="969">O283*$E283</f>
        <v>0</v>
      </c>
      <c r="P284" s="22">
        <f t="shared" ref="P284" ca="1" si="970">P283*$E283</f>
        <v>0</v>
      </c>
      <c r="Q284" s="22">
        <f t="shared" ref="Q284" ca="1" si="971">Q283*$E283</f>
        <v>0</v>
      </c>
      <c r="R284" s="22">
        <f t="shared" ref="R284" ca="1" si="972">R283*$E283</f>
        <v>0</v>
      </c>
      <c r="S284" s="22">
        <f t="shared" ref="S284" ca="1" si="973">S283*$E283</f>
        <v>36700452</v>
      </c>
      <c r="U284" s="17"/>
      <c r="V284" s="18"/>
      <c r="W284" s="19"/>
      <c r="X284" s="20"/>
    </row>
    <row r="285" spans="1:24">
      <c r="A285" s="199"/>
      <c r="B285" s="199"/>
      <c r="C285" s="199" t="s">
        <v>82</v>
      </c>
      <c r="D285" s="199" t="str">
        <f>VLOOKUP(C285,'仕掛品名寄（貼付）'!B:C,2,FALSE)</f>
        <v>Rシ</v>
      </c>
      <c r="E285" s="199">
        <f>VLOOKUP(D285,'仕掛品標準単価一覧表（貼付）'!B:G,6,FALSE)</f>
        <v>991</v>
      </c>
      <c r="F285" s="12" t="s">
        <v>246</v>
      </c>
      <c r="G285" s="13">
        <v>0</v>
      </c>
      <c r="H285" s="13">
        <f ca="1">SUMIF('1.3②原材料使用'!B:E,C285,'1.3②原材料使用'!E:E)</f>
        <v>0</v>
      </c>
      <c r="I285" s="13">
        <f ca="1">SUMIF('2.10原液別作業時間'!A:B,C285,'2.10原液別作業時間'!B:B)</f>
        <v>0</v>
      </c>
      <c r="J285" s="13">
        <f ca="1">SUM(G285:H285,K285)</f>
        <v>0</v>
      </c>
      <c r="K285" s="13">
        <f ca="1">SUMIF('2.2⑤純増減→前工程費'!B:E,C285,'2.2⑤純増減→前工程費'!E:E)</f>
        <v>0</v>
      </c>
      <c r="L285" s="13">
        <f ca="1">SUMIF('2.6完成品'!C:D,C285,'2.6完成品'!D:D)</f>
        <v>0</v>
      </c>
      <c r="M285" s="13">
        <f ca="1">SUMIF('2.3研究費'!D:E,C285,'2.3研究費'!E:E)</f>
        <v>0</v>
      </c>
      <c r="N285" s="13">
        <f ca="1">SUMIF('2.4販促費'!D:E,C285,'2.4販促費'!E:E)</f>
        <v>0</v>
      </c>
      <c r="O285" s="13">
        <f ca="1">SUMIF('2.5廃棄処分'!D:E,C285,'2.5廃棄処分'!E:E)</f>
        <v>0</v>
      </c>
      <c r="P285" s="13">
        <f ca="1">SUMIF('2.1④異種原液'!D:E,C285,'2.1④異種原液'!E:E)</f>
        <v>0</v>
      </c>
      <c r="Q285" s="14">
        <f ca="1">SUMIF('2.7製造部生産分'!D:I,C285,'2.7製造部生産分'!H:H)</f>
        <v>0</v>
      </c>
      <c r="R285" s="15">
        <f ca="1">-(G285+H285+K285-L285-M285-N285-O285-P285-Q285-S285)</f>
        <v>0</v>
      </c>
      <c r="S285" s="13">
        <f ca="1">SUMIF('2.9原液在庫'!B:H,C285,'2.9原液在庫'!H:H)</f>
        <v>0</v>
      </c>
      <c r="T285" s="16">
        <f ca="1">IFERROR(SUM(G286:K286)/(G285+H285+K285),0)</f>
        <v>0</v>
      </c>
      <c r="U285" s="17" t="str">
        <f>C285</f>
        <v>27Rｼ</v>
      </c>
      <c r="V285" s="18">
        <f ca="1">IF(ISERROR(SUM(G286:K286)/SUM(L285:Q285,S285)),0,SUM(G286:K286)/SUM(L285:Q285,S285))</f>
        <v>0</v>
      </c>
      <c r="W285" s="19">
        <f ca="1">V285</f>
        <v>0</v>
      </c>
      <c r="X285" s="20">
        <f ca="1">W285/1000</f>
        <v>0</v>
      </c>
    </row>
    <row r="286" spans="1:24">
      <c r="A286" s="199"/>
      <c r="B286" s="199"/>
      <c r="C286" s="199"/>
      <c r="D286" s="199"/>
      <c r="E286" s="199"/>
      <c r="F286" s="21" t="s">
        <v>247</v>
      </c>
      <c r="G286" s="22" t="s">
        <v>254</v>
      </c>
      <c r="H286" s="184"/>
      <c r="I286" s="23">
        <f ca="1">I285*労務費経費単価SC!D$7</f>
        <v>0</v>
      </c>
      <c r="J286" s="23">
        <f ca="1">J285*労務費経費単価SC!D$11</f>
        <v>0</v>
      </c>
      <c r="K286" s="22">
        <f ca="1">K285*$E285</f>
        <v>0</v>
      </c>
      <c r="L286" s="22">
        <f ca="1">L285*$E285</f>
        <v>0</v>
      </c>
      <c r="M286" s="22">
        <f t="shared" ref="M286" ca="1" si="974">M285*$E285</f>
        <v>0</v>
      </c>
      <c r="N286" s="22">
        <f t="shared" ref="N286" ca="1" si="975">N285*$E285</f>
        <v>0</v>
      </c>
      <c r="O286" s="22">
        <f t="shared" ref="O286" ca="1" si="976">O285*$E285</f>
        <v>0</v>
      </c>
      <c r="P286" s="22">
        <f t="shared" ref="P286" ca="1" si="977">P285*$E285</f>
        <v>0</v>
      </c>
      <c r="Q286" s="22">
        <f t="shared" ref="Q286" ca="1" si="978">Q285*$E285</f>
        <v>0</v>
      </c>
      <c r="R286" s="22">
        <f t="shared" ref="R286" ca="1" si="979">R285*$E285</f>
        <v>0</v>
      </c>
      <c r="S286" s="22">
        <f t="shared" ref="S286" ca="1" si="980">S285*$E285</f>
        <v>0</v>
      </c>
      <c r="U286" s="17"/>
      <c r="V286" s="18"/>
      <c r="W286" s="19"/>
      <c r="X286" s="20"/>
    </row>
    <row r="287" spans="1:24">
      <c r="A287" s="199"/>
      <c r="B287" s="199"/>
      <c r="C287" s="199" t="s">
        <v>86</v>
      </c>
      <c r="D287" s="199" t="str">
        <f>VLOOKUP(C287,'仕掛品名寄（貼付）'!B:C,2,FALSE)</f>
        <v>その他</v>
      </c>
      <c r="E287" s="199">
        <f>VLOOKUP(D287,'仕掛品標準単価一覧表（貼付）'!B:G,6,FALSE)</f>
        <v>1080</v>
      </c>
      <c r="F287" s="12" t="s">
        <v>246</v>
      </c>
      <c r="G287" s="13">
        <v>0</v>
      </c>
      <c r="H287" s="13">
        <f ca="1">SUMIF('1.3②原材料使用'!B:E,C287,'1.3②原材料使用'!E:E)</f>
        <v>0</v>
      </c>
      <c r="I287" s="13">
        <f ca="1">SUMIF('2.10原液別作業時間'!A:B,C287,'2.10原液別作業時間'!B:B)</f>
        <v>0</v>
      </c>
      <c r="J287" s="13">
        <f ca="1">SUM(G287:H287,K287)</f>
        <v>0</v>
      </c>
      <c r="K287" s="13">
        <f ca="1">SUMIF('2.2⑤純増減→前工程費'!B:E,C287,'2.2⑤純増減→前工程費'!E:E)</f>
        <v>0</v>
      </c>
      <c r="L287" s="13">
        <f ca="1">SUMIF('2.6完成品'!C:D,C287,'2.6完成品'!D:D)</f>
        <v>0</v>
      </c>
      <c r="M287" s="13">
        <f ca="1">SUMIF('2.3研究費'!D:E,C287,'2.3研究費'!E:E)</f>
        <v>0</v>
      </c>
      <c r="N287" s="13">
        <f ca="1">SUMIF('2.4販促費'!D:E,C287,'2.4販促費'!E:E)</f>
        <v>0</v>
      </c>
      <c r="O287" s="13">
        <f ca="1">SUMIF('2.5廃棄処分'!D:E,C287,'2.5廃棄処分'!E:E)</f>
        <v>0</v>
      </c>
      <c r="P287" s="13">
        <f ca="1">SUMIF('2.1④異種原液'!D:E,C287,'2.1④異種原液'!E:E)</f>
        <v>0</v>
      </c>
      <c r="Q287" s="14">
        <f ca="1">SUMIF('2.7製造部生産分'!D:I,C287,'2.7製造部生産分'!H:H)</f>
        <v>0</v>
      </c>
      <c r="R287" s="15">
        <f ca="1">-(G287+H287+K287-L287-M287-N287-O287-P287-Q287-S287)</f>
        <v>0</v>
      </c>
      <c r="S287" s="13">
        <f ca="1">SUMIF('2.9原液在庫'!B:H,C287,'2.9原液在庫'!H:H)</f>
        <v>0</v>
      </c>
      <c r="T287" s="16">
        <f ca="1">IFERROR(SUM(G288:K288)/(G287+H287+K287),0)</f>
        <v>0</v>
      </c>
      <c r="U287" s="17" t="str">
        <f>C287</f>
        <v>27RAｼ</v>
      </c>
      <c r="V287" s="18">
        <f ca="1">IF(ISERROR(SUM(G288:K288)/SUM(L287:Q287,S287)),0,SUM(G288:K288)/SUM(L287:Q287,S287))</f>
        <v>0</v>
      </c>
      <c r="W287" s="19">
        <f ca="1">V287</f>
        <v>0</v>
      </c>
      <c r="X287" s="20">
        <f ca="1">W287/1000</f>
        <v>0</v>
      </c>
    </row>
    <row r="288" spans="1:24">
      <c r="A288" s="199"/>
      <c r="B288" s="199"/>
      <c r="C288" s="199"/>
      <c r="D288" s="199"/>
      <c r="E288" s="199"/>
      <c r="F288" s="21" t="s">
        <v>247</v>
      </c>
      <c r="G288" s="22" t="s">
        <v>254</v>
      </c>
      <c r="H288" s="184"/>
      <c r="I288" s="23">
        <f ca="1">I287*労務費経費単価SC!D$7</f>
        <v>0</v>
      </c>
      <c r="J288" s="23">
        <f ca="1">J287*労務費経費単価SC!D$11</f>
        <v>0</v>
      </c>
      <c r="K288" s="22">
        <f ca="1">K287*$E287</f>
        <v>0</v>
      </c>
      <c r="L288" s="22">
        <f ca="1">L287*$E287</f>
        <v>0</v>
      </c>
      <c r="M288" s="22">
        <f t="shared" ref="M288" ca="1" si="981">M287*$E287</f>
        <v>0</v>
      </c>
      <c r="N288" s="22">
        <f t="shared" ref="N288" ca="1" si="982">N287*$E287</f>
        <v>0</v>
      </c>
      <c r="O288" s="22">
        <f t="shared" ref="O288" ca="1" si="983">O287*$E287</f>
        <v>0</v>
      </c>
      <c r="P288" s="22">
        <f t="shared" ref="P288" ca="1" si="984">P287*$E287</f>
        <v>0</v>
      </c>
      <c r="Q288" s="22">
        <f t="shared" ref="Q288" ca="1" si="985">Q287*$E287</f>
        <v>0</v>
      </c>
      <c r="R288" s="22">
        <f t="shared" ref="R288" ca="1" si="986">R287*$E287</f>
        <v>0</v>
      </c>
      <c r="S288" s="22">
        <f t="shared" ref="S288" ca="1" si="987">S287*$E287</f>
        <v>0</v>
      </c>
      <c r="U288" s="17"/>
      <c r="V288" s="18"/>
      <c r="W288" s="19"/>
      <c r="X288" s="20"/>
    </row>
    <row r="289" spans="1:24">
      <c r="A289" s="199"/>
      <c r="B289" s="199"/>
      <c r="C289" s="199" t="s">
        <v>349</v>
      </c>
      <c r="D289" s="199" t="str">
        <f>VLOOKUP(C289,'仕掛品名寄（貼付）'!B:C,2,FALSE)</f>
        <v>RX</v>
      </c>
      <c r="E289" s="199">
        <f>VLOOKUP(D289,'仕掛品標準単価一覧表（貼付）'!B:G,6,FALSE)</f>
        <v>847</v>
      </c>
      <c r="F289" s="12" t="s">
        <v>246</v>
      </c>
      <c r="G289" s="13">
        <v>0</v>
      </c>
      <c r="H289" s="13">
        <f ca="1">SUMIF('1.3②原材料使用'!B:E,C289,'1.3②原材料使用'!E:E)</f>
        <v>0</v>
      </c>
      <c r="I289" s="13">
        <f ca="1">SUMIF('2.10原液別作業時間'!A:B,C289,'2.10原液別作業時間'!B:B)</f>
        <v>0</v>
      </c>
      <c r="J289" s="13">
        <f ca="1">SUM(G289:H289,K289)</f>
        <v>0</v>
      </c>
      <c r="K289" s="13">
        <f ca="1">SUMIF('2.2⑤純増減→前工程費'!B:E,C289,'2.2⑤純増減→前工程費'!E:E)</f>
        <v>0</v>
      </c>
      <c r="L289" s="13">
        <f ca="1">SUMIF('2.6完成品'!C:D,C289,'2.6完成品'!D:D)</f>
        <v>0</v>
      </c>
      <c r="M289" s="13">
        <f ca="1">SUMIF('2.3研究費'!D:E,C289,'2.3研究費'!E:E)</f>
        <v>0</v>
      </c>
      <c r="N289" s="13">
        <f ca="1">SUMIF('2.4販促費'!D:E,C289,'2.4販促費'!E:E)</f>
        <v>0</v>
      </c>
      <c r="O289" s="13">
        <f ca="1">SUMIF('2.5廃棄処分'!D:E,C289,'2.5廃棄処分'!E:E)</f>
        <v>0</v>
      </c>
      <c r="P289" s="13">
        <f ca="1">SUMIF('2.1④異種原液'!D:E,C289,'2.1④異種原液'!E:E)</f>
        <v>0</v>
      </c>
      <c r="Q289" s="14">
        <f ca="1">SUMIF('2.7製造部生産分'!D:I,C289,'2.7製造部生産分'!H:H)</f>
        <v>0</v>
      </c>
      <c r="R289" s="15">
        <f ca="1">-(G289+H289+K289-L289-M289-N289-O289-P289-Q289-S289)</f>
        <v>0</v>
      </c>
      <c r="S289" s="13">
        <f ca="1">SUMIF('2.9原液在庫'!B:H,C289,'2.9原液在庫'!H:H)</f>
        <v>0</v>
      </c>
      <c r="T289" s="16">
        <f ca="1">IFERROR(SUM(G290:K290)/(G289+H289+K289),0)</f>
        <v>0</v>
      </c>
      <c r="U289" s="17" t="str">
        <f>C289</f>
        <v>27RX</v>
      </c>
      <c r="V289" s="18">
        <f ca="1">IF(ISERROR(SUM(G290:K290)/SUM(L289:Q289,S289)),0,SUM(G290:K290)/SUM(L289:Q289,S289))</f>
        <v>0</v>
      </c>
      <c r="W289" s="19">
        <f ca="1">V289</f>
        <v>0</v>
      </c>
      <c r="X289" s="20">
        <f ca="1">W289/1000</f>
        <v>0</v>
      </c>
    </row>
    <row r="290" spans="1:24">
      <c r="A290" s="199"/>
      <c r="B290" s="199"/>
      <c r="C290" s="199"/>
      <c r="D290" s="199"/>
      <c r="E290" s="199"/>
      <c r="F290" s="21" t="s">
        <v>247</v>
      </c>
      <c r="G290" s="22" t="s">
        <v>254</v>
      </c>
      <c r="H290" s="184"/>
      <c r="I290" s="23">
        <f ca="1">I289*労務費経費単価SC!D$7</f>
        <v>0</v>
      </c>
      <c r="J290" s="23">
        <f ca="1">J289*労務費経費単価SC!D$11</f>
        <v>0</v>
      </c>
      <c r="K290" s="22">
        <f ca="1">K289*$E289</f>
        <v>0</v>
      </c>
      <c r="L290" s="22">
        <f ca="1">L289*$E289</f>
        <v>0</v>
      </c>
      <c r="M290" s="22">
        <f t="shared" ref="M290" ca="1" si="988">M289*$E289</f>
        <v>0</v>
      </c>
      <c r="N290" s="22">
        <f t="shared" ref="N290" ca="1" si="989">N289*$E289</f>
        <v>0</v>
      </c>
      <c r="O290" s="22">
        <f t="shared" ref="O290" ca="1" si="990">O289*$E289</f>
        <v>0</v>
      </c>
      <c r="P290" s="22">
        <f t="shared" ref="P290" ca="1" si="991">P289*$E289</f>
        <v>0</v>
      </c>
      <c r="Q290" s="22">
        <f t="shared" ref="Q290" ca="1" si="992">Q289*$E289</f>
        <v>0</v>
      </c>
      <c r="R290" s="22">
        <f t="shared" ref="R290" ca="1" si="993">R289*$E289</f>
        <v>0</v>
      </c>
      <c r="S290" s="22">
        <f t="shared" ref="S290" ca="1" si="994">S289*$E289</f>
        <v>0</v>
      </c>
      <c r="U290" s="17"/>
      <c r="V290" s="18"/>
      <c r="W290" s="19"/>
      <c r="X290" s="20"/>
    </row>
    <row r="291" spans="1:24">
      <c r="A291" s="199"/>
      <c r="B291" s="199"/>
      <c r="C291" s="199" t="s">
        <v>350</v>
      </c>
      <c r="D291" s="199" t="str">
        <f>VLOOKUP(C291,'仕掛品名寄（貼付）'!B:C,2,FALSE)</f>
        <v>その他</v>
      </c>
      <c r="E291" s="199">
        <f>VLOOKUP(D291,'仕掛品標準単価一覧表（貼付）'!B:G,6,FALSE)</f>
        <v>1080</v>
      </c>
      <c r="F291" s="12" t="s">
        <v>246</v>
      </c>
      <c r="G291" s="13">
        <v>0</v>
      </c>
      <c r="H291" s="13">
        <f ca="1">SUMIF('1.3②原材料使用'!B:E,C291,'1.3②原材料使用'!E:E)</f>
        <v>0</v>
      </c>
      <c r="I291" s="13">
        <f ca="1">SUMIF('2.10原液別作業時間'!A:B,C291,'2.10原液別作業時間'!B:B)</f>
        <v>0</v>
      </c>
      <c r="J291" s="13">
        <f ca="1">SUM(G291:H291,K291)</f>
        <v>0</v>
      </c>
      <c r="K291" s="13">
        <f ca="1">SUMIF('2.2⑤純増減→前工程費'!B:E,C291,'2.2⑤純増減→前工程費'!E:E)</f>
        <v>0</v>
      </c>
      <c r="L291" s="13">
        <f ca="1">SUMIF('2.6完成品'!C:D,C291,'2.6完成品'!D:D)</f>
        <v>0</v>
      </c>
      <c r="M291" s="13">
        <f ca="1">SUMIF('2.3研究費'!D:E,C291,'2.3研究費'!E:E)</f>
        <v>0</v>
      </c>
      <c r="N291" s="13">
        <f ca="1">SUMIF('2.4販促費'!D:E,C291,'2.4販促費'!E:E)</f>
        <v>0</v>
      </c>
      <c r="O291" s="13">
        <f ca="1">SUMIF('2.5廃棄処分'!D:E,C291,'2.5廃棄処分'!E:E)</f>
        <v>0</v>
      </c>
      <c r="P291" s="13">
        <f ca="1">SUMIF('2.1④異種原液'!D:E,C291,'2.1④異種原液'!E:E)</f>
        <v>0</v>
      </c>
      <c r="Q291" s="14">
        <f ca="1">SUMIF('2.7製造部生産分'!D:I,C291,'2.7製造部生産分'!H:H)</f>
        <v>0</v>
      </c>
      <c r="R291" s="15">
        <f ca="1">-(G291+H291+K291-L291-M291-N291-O291-P291-Q291-S291)</f>
        <v>0</v>
      </c>
      <c r="S291" s="13">
        <f ca="1">SUMIF('2.9原液在庫'!B:H,C291,'2.9原液在庫'!H:H)</f>
        <v>0</v>
      </c>
      <c r="T291" s="16">
        <f ca="1">IFERROR(SUM(G292:K292)/(G291+H291+K291),0)</f>
        <v>0</v>
      </c>
      <c r="U291" s="17" t="str">
        <f>C291</f>
        <v>27Rｸ</v>
      </c>
      <c r="V291" s="18">
        <f ca="1">IF(ISERROR(SUM(G292:K292)/SUM(L291:Q291,S291)),0,SUM(G292:K292)/SUM(L291:Q291,S291))</f>
        <v>0</v>
      </c>
      <c r="W291" s="19">
        <f ca="1">V291</f>
        <v>0</v>
      </c>
      <c r="X291" s="20">
        <f ca="1">W291/1000</f>
        <v>0</v>
      </c>
    </row>
    <row r="292" spans="1:24">
      <c r="A292" s="199"/>
      <c r="B292" s="199"/>
      <c r="C292" s="199"/>
      <c r="D292" s="199"/>
      <c r="E292" s="199"/>
      <c r="F292" s="21" t="s">
        <v>247</v>
      </c>
      <c r="G292" s="22" t="s">
        <v>254</v>
      </c>
      <c r="H292" s="184"/>
      <c r="I292" s="23">
        <f ca="1">I291*労務費経費単価SC!D$7</f>
        <v>0</v>
      </c>
      <c r="J292" s="23">
        <f ca="1">J291*労務費経費単価SC!D$11</f>
        <v>0</v>
      </c>
      <c r="K292" s="22">
        <f ca="1">K291*$E291</f>
        <v>0</v>
      </c>
      <c r="L292" s="22">
        <f ca="1">L291*$E291</f>
        <v>0</v>
      </c>
      <c r="M292" s="22">
        <f t="shared" ref="M292" ca="1" si="995">M291*$E291</f>
        <v>0</v>
      </c>
      <c r="N292" s="22">
        <f t="shared" ref="N292" ca="1" si="996">N291*$E291</f>
        <v>0</v>
      </c>
      <c r="O292" s="22">
        <f t="shared" ref="O292" ca="1" si="997">O291*$E291</f>
        <v>0</v>
      </c>
      <c r="P292" s="22">
        <f t="shared" ref="P292" ca="1" si="998">P291*$E291</f>
        <v>0</v>
      </c>
      <c r="Q292" s="22">
        <f t="shared" ref="Q292" ca="1" si="999">Q291*$E291</f>
        <v>0</v>
      </c>
      <c r="R292" s="22">
        <f t="shared" ref="R292" ca="1" si="1000">R291*$E291</f>
        <v>0</v>
      </c>
      <c r="S292" s="22">
        <f t="shared" ref="S292" ca="1" si="1001">S291*$E291</f>
        <v>0</v>
      </c>
      <c r="U292" s="17"/>
      <c r="V292" s="18"/>
      <c r="W292" s="19"/>
      <c r="X292" s="20"/>
    </row>
    <row r="293" spans="1:24">
      <c r="A293" s="199"/>
      <c r="B293" s="199"/>
      <c r="C293" s="199" t="s">
        <v>351</v>
      </c>
      <c r="D293" s="199" t="str">
        <f>VLOOKUP(C293,'仕掛品名寄（貼付）'!B:C,2,FALSE)</f>
        <v>その他</v>
      </c>
      <c r="E293" s="199">
        <f>VLOOKUP(D293,'仕掛品標準単価一覧表（貼付）'!B:G,6,FALSE)</f>
        <v>1080</v>
      </c>
      <c r="F293" s="12" t="s">
        <v>246</v>
      </c>
      <c r="G293" s="24">
        <v>0</v>
      </c>
      <c r="H293" s="13">
        <f ca="1">SUMIF('1.3②原材料使用'!B:E,C293,'1.3②原材料使用'!E:E)</f>
        <v>0</v>
      </c>
      <c r="I293" s="13">
        <f ca="1">SUMIF('2.10原液別作業時間'!A:B,C293,'2.10原液別作業時間'!B:B)</f>
        <v>0</v>
      </c>
      <c r="J293" s="13">
        <f ca="1">SUM(G293:H293,K293)</f>
        <v>0</v>
      </c>
      <c r="K293" s="13">
        <f ca="1">SUMIF('2.2⑤純増減→前工程費'!B:E,C293,'2.2⑤純増減→前工程費'!E:E)</f>
        <v>0</v>
      </c>
      <c r="L293" s="13">
        <f ca="1">SUMIF('2.6完成品'!C:D,C293,'2.6完成品'!D:D)</f>
        <v>0</v>
      </c>
      <c r="M293" s="13">
        <f ca="1">SUMIF('2.3研究費'!D:E,C293,'2.3研究費'!E:E)</f>
        <v>0</v>
      </c>
      <c r="N293" s="13">
        <f ca="1">SUMIF('2.4販促費'!D:E,C293,'2.4販促費'!E:E)</f>
        <v>0</v>
      </c>
      <c r="O293" s="13">
        <f ca="1">SUMIF('2.5廃棄処分'!D:E,C293,'2.5廃棄処分'!E:E)</f>
        <v>0</v>
      </c>
      <c r="P293" s="13">
        <f ca="1">SUMIF('2.1④異種原液'!D:E,C293,'2.1④異種原液'!E:E)</f>
        <v>0</v>
      </c>
      <c r="Q293" s="14">
        <f ca="1">SUMIF('2.7製造部生産分'!D:I,C293,'2.7製造部生産分'!H:H)</f>
        <v>0</v>
      </c>
      <c r="R293" s="15">
        <f ca="1">-(G293+H293+K293-L293-M293-N293-O293-P293-Q293-S293)</f>
        <v>0</v>
      </c>
      <c r="S293" s="13">
        <f ca="1">SUMIF('2.9原液在庫'!B:H,C293,'2.9原液在庫'!H:H)</f>
        <v>0</v>
      </c>
      <c r="T293" s="16">
        <f ca="1">IFERROR(SUM(G294:K294)/(G293+H293+K293),0)</f>
        <v>0</v>
      </c>
      <c r="U293" s="17" t="str">
        <f>C293</f>
        <v>27Rｳ</v>
      </c>
      <c r="V293" s="18">
        <f ca="1">IF(ISERROR(SUM(G294:K294)/SUM(L293:Q293,S293)),0,SUM(G294:K294)/SUM(L293:Q293,S293))</f>
        <v>0</v>
      </c>
      <c r="W293" s="19">
        <f ca="1">V293</f>
        <v>0</v>
      </c>
      <c r="X293" s="20">
        <f ca="1">W293/1000</f>
        <v>0</v>
      </c>
    </row>
    <row r="294" spans="1:24">
      <c r="A294" s="199"/>
      <c r="B294" s="199"/>
      <c r="C294" s="199"/>
      <c r="D294" s="199"/>
      <c r="E294" s="199"/>
      <c r="F294" s="21" t="s">
        <v>247</v>
      </c>
      <c r="G294" s="22" t="s">
        <v>254</v>
      </c>
      <c r="H294" s="184"/>
      <c r="I294" s="23">
        <f ca="1">I293*労務費経費単価SC!D$7</f>
        <v>0</v>
      </c>
      <c r="J294" s="23">
        <f ca="1">J293*労務費経費単価SC!D$11</f>
        <v>0</v>
      </c>
      <c r="K294" s="22">
        <f ca="1">K293*$E293</f>
        <v>0</v>
      </c>
      <c r="L294" s="22">
        <f ca="1">L293*$E293</f>
        <v>0</v>
      </c>
      <c r="M294" s="22">
        <f t="shared" ref="M294" ca="1" si="1002">M293*$E293</f>
        <v>0</v>
      </c>
      <c r="N294" s="22">
        <f t="shared" ref="N294" ca="1" si="1003">N293*$E293</f>
        <v>0</v>
      </c>
      <c r="O294" s="22">
        <f t="shared" ref="O294" ca="1" si="1004">O293*$E293</f>
        <v>0</v>
      </c>
      <c r="P294" s="22">
        <f t="shared" ref="P294" ca="1" si="1005">P293*$E293</f>
        <v>0</v>
      </c>
      <c r="Q294" s="22">
        <f t="shared" ref="Q294" ca="1" si="1006">Q293*$E293</f>
        <v>0</v>
      </c>
      <c r="R294" s="22">
        <f t="shared" ref="R294" ca="1" si="1007">R293*$E293</f>
        <v>0</v>
      </c>
      <c r="S294" s="22">
        <f t="shared" ref="S294" ca="1" si="1008">S293*$E293</f>
        <v>0</v>
      </c>
      <c r="U294" s="17"/>
      <c r="V294" s="18"/>
      <c r="W294" s="19"/>
      <c r="X294" s="20"/>
    </row>
    <row r="295" spans="1:24">
      <c r="A295" s="199" t="s">
        <v>352</v>
      </c>
      <c r="B295" s="199">
        <v>28</v>
      </c>
      <c r="C295" s="199" t="s">
        <v>353</v>
      </c>
      <c r="D295" s="199" t="str">
        <f>VLOOKUP(C295,'仕掛品名寄（貼付）'!B:C,2,FALSE)</f>
        <v>R</v>
      </c>
      <c r="E295" s="199">
        <f>VLOOKUP(D295,'仕掛品標準単価一覧表（貼付）'!B:G,6,FALSE)</f>
        <v>908</v>
      </c>
      <c r="F295" s="12" t="s">
        <v>246</v>
      </c>
      <c r="G295" s="13">
        <v>0</v>
      </c>
      <c r="H295" s="13">
        <f ca="1">SUMIF('1.3②原材料使用'!B:E,C295,'1.3②原材料使用'!E:E)</f>
        <v>0</v>
      </c>
      <c r="I295" s="13">
        <f ca="1">SUMIF('2.10原液別作業時間'!A:B,C295,'2.10原液別作業時間'!B:B)</f>
        <v>0</v>
      </c>
      <c r="J295" s="13">
        <f ca="1">SUM(G295:H295,K295)</f>
        <v>0</v>
      </c>
      <c r="K295" s="13">
        <f ca="1">SUMIF('2.2⑤純増減→前工程費'!B:E,C295,'2.2⑤純増減→前工程費'!E:E)</f>
        <v>0</v>
      </c>
      <c r="L295" s="13">
        <f ca="1">SUMIF('2.6完成品'!C:D,C295,'2.6完成品'!D:D)</f>
        <v>0</v>
      </c>
      <c r="M295" s="13">
        <f ca="1">SUMIF('2.3研究費'!D:E,C295,'2.3研究費'!E:E)</f>
        <v>0</v>
      </c>
      <c r="N295" s="13">
        <f ca="1">SUMIF('2.4販促費'!D:E,C295,'2.4販促費'!E:E)</f>
        <v>0</v>
      </c>
      <c r="O295" s="13">
        <f ca="1">SUMIF('2.5廃棄処分'!D:E,C295,'2.5廃棄処分'!E:E)</f>
        <v>0</v>
      </c>
      <c r="P295" s="13">
        <f ca="1">SUMIF('2.1④異種原液'!D:E,C295,'2.1④異種原液'!E:E)</f>
        <v>0</v>
      </c>
      <c r="Q295" s="14">
        <f ca="1">SUMIF('2.7製造部生産分'!D:I,C295,'2.7製造部生産分'!H:H)</f>
        <v>0</v>
      </c>
      <c r="R295" s="15">
        <f ca="1">-(G295+H295+K295-L295-M295-N295-O295-P295-Q295-S295)</f>
        <v>0</v>
      </c>
      <c r="S295" s="13">
        <f ca="1">SUMIF('2.9原液在庫'!B:H,C295,'2.9原液在庫'!H:H)</f>
        <v>0</v>
      </c>
      <c r="T295" s="16">
        <f ca="1">IFERROR(SUM(G296:K296)/(G295+H295+K295),0)</f>
        <v>0</v>
      </c>
      <c r="U295" s="17" t="str">
        <f>C295</f>
        <v>28R</v>
      </c>
      <c r="V295" s="18">
        <f ca="1">IF(ISERROR(SUM(G296:K296)/SUM(L295:Q295,S295)),0,SUM(G296:K296)/SUM(L295:Q295,S295))</f>
        <v>0</v>
      </c>
      <c r="W295" s="19">
        <f ca="1">V295</f>
        <v>0</v>
      </c>
      <c r="X295" s="20">
        <f ca="1">W295/1000</f>
        <v>0</v>
      </c>
    </row>
    <row r="296" spans="1:24">
      <c r="A296" s="199"/>
      <c r="B296" s="199"/>
      <c r="C296" s="199"/>
      <c r="D296" s="199"/>
      <c r="E296" s="199"/>
      <c r="F296" s="21" t="s">
        <v>247</v>
      </c>
      <c r="G296" s="22" t="s">
        <v>254</v>
      </c>
      <c r="H296" s="184"/>
      <c r="I296" s="23">
        <f ca="1">I295*労務費経費単価SC!D$7</f>
        <v>0</v>
      </c>
      <c r="J296" s="23">
        <f ca="1">J295*労務費経費単価SC!D$11</f>
        <v>0</v>
      </c>
      <c r="K296" s="22">
        <f ca="1">K295*$E295</f>
        <v>0</v>
      </c>
      <c r="L296" s="22">
        <f ca="1">L295*$E295</f>
        <v>0</v>
      </c>
      <c r="M296" s="22">
        <f t="shared" ref="M296" ca="1" si="1009">M295*$E295</f>
        <v>0</v>
      </c>
      <c r="N296" s="22">
        <f t="shared" ref="N296" ca="1" si="1010">N295*$E295</f>
        <v>0</v>
      </c>
      <c r="O296" s="22">
        <f t="shared" ref="O296" ca="1" si="1011">O295*$E295</f>
        <v>0</v>
      </c>
      <c r="P296" s="22">
        <f t="shared" ref="P296" ca="1" si="1012">P295*$E295</f>
        <v>0</v>
      </c>
      <c r="Q296" s="22">
        <f t="shared" ref="Q296" ca="1" si="1013">Q295*$E295</f>
        <v>0</v>
      </c>
      <c r="R296" s="22">
        <f t="shared" ref="R296" ca="1" si="1014">R295*$E295</f>
        <v>0</v>
      </c>
      <c r="S296" s="22">
        <f t="shared" ref="S296" ca="1" si="1015">S295*$E295</f>
        <v>0</v>
      </c>
      <c r="U296" s="17"/>
      <c r="V296" s="18"/>
      <c r="W296" s="19"/>
      <c r="X296" s="20"/>
    </row>
    <row r="297" spans="1:24">
      <c r="A297" s="199"/>
      <c r="B297" s="199"/>
      <c r="C297" s="199" t="s">
        <v>354</v>
      </c>
      <c r="D297" s="199" t="str">
        <f>VLOOKUP(C297,'仕掛品名寄（貼付）'!B:C,2,FALSE)</f>
        <v>その他</v>
      </c>
      <c r="E297" s="199">
        <f>VLOOKUP(D297,'仕掛品標準単価一覧表（貼付）'!B:G,6,FALSE)</f>
        <v>1080</v>
      </c>
      <c r="F297" s="12" t="s">
        <v>246</v>
      </c>
      <c r="G297" s="24">
        <v>0</v>
      </c>
      <c r="H297" s="13">
        <f ca="1">SUMIF('1.3②原材料使用'!B:E,C297,'1.3②原材料使用'!E:E)</f>
        <v>0</v>
      </c>
      <c r="I297" s="13">
        <f ca="1">SUMIF('2.10原液別作業時間'!A:B,C297,'2.10原液別作業時間'!B:B)</f>
        <v>0</v>
      </c>
      <c r="J297" s="13">
        <f ca="1">SUM(G297:H297,K297)</f>
        <v>0</v>
      </c>
      <c r="K297" s="13">
        <f ca="1">SUMIF('2.2⑤純増減→前工程費'!B:E,C297,'2.2⑤純増減→前工程費'!E:E)</f>
        <v>0</v>
      </c>
      <c r="L297" s="13">
        <f ca="1">SUMIF('2.6完成品'!C:D,C297,'2.6完成品'!D:D)</f>
        <v>0</v>
      </c>
      <c r="M297" s="13">
        <f ca="1">SUMIF('2.3研究費'!D:E,C297,'2.3研究費'!E:E)</f>
        <v>0</v>
      </c>
      <c r="N297" s="13">
        <f ca="1">SUMIF('2.4販促費'!D:E,C297,'2.4販促費'!E:E)</f>
        <v>0</v>
      </c>
      <c r="O297" s="13">
        <f ca="1">SUMIF('2.5廃棄処分'!D:E,C297,'2.5廃棄処分'!E:E)</f>
        <v>0</v>
      </c>
      <c r="P297" s="13">
        <f ca="1">SUMIF('2.1④異種原液'!D:E,C297,'2.1④異種原液'!E:E)</f>
        <v>0</v>
      </c>
      <c r="Q297" s="14">
        <f ca="1">SUMIF('2.7製造部生産分'!D:I,C297,'2.7製造部生産分'!H:H)</f>
        <v>0</v>
      </c>
      <c r="R297" s="15">
        <f ca="1">-(G297+H297+K297-L297-M297-N297-O297-P297-Q297-S297)</f>
        <v>0</v>
      </c>
      <c r="S297" s="13">
        <f ca="1">SUMIF('2.9原液在庫'!B:H,C297,'2.9原液在庫'!H:H)</f>
        <v>0</v>
      </c>
      <c r="T297" s="16">
        <f ca="1">IFERROR(SUM(G298:K298)/(G297+H297+K297),0)</f>
        <v>0</v>
      </c>
      <c r="U297" s="17" t="str">
        <f>C297</f>
        <v>28Rｸｳ</v>
      </c>
      <c r="V297" s="18">
        <f ca="1">IF(ISERROR(SUM(G298:K298)/SUM(L297:Q297,S297)),0,SUM(G298:K298)/SUM(L297:Q297,S297))</f>
        <v>0</v>
      </c>
      <c r="W297" s="19">
        <f ca="1">V297</f>
        <v>0</v>
      </c>
      <c r="X297" s="20">
        <f ca="1">W297/1000</f>
        <v>0</v>
      </c>
    </row>
    <row r="298" spans="1:24">
      <c r="A298" s="199"/>
      <c r="B298" s="199"/>
      <c r="C298" s="199"/>
      <c r="D298" s="199"/>
      <c r="E298" s="199"/>
      <c r="F298" s="21" t="s">
        <v>247</v>
      </c>
      <c r="G298" s="22" t="s">
        <v>254</v>
      </c>
      <c r="H298" s="184"/>
      <c r="I298" s="23">
        <f ca="1">I297*労務費経費単価SC!D$7</f>
        <v>0</v>
      </c>
      <c r="J298" s="23">
        <f ca="1">J297*労務費経費単価SC!D$11</f>
        <v>0</v>
      </c>
      <c r="K298" s="22">
        <f ca="1">K297*$E297</f>
        <v>0</v>
      </c>
      <c r="L298" s="22">
        <f ca="1">L297*$E297</f>
        <v>0</v>
      </c>
      <c r="M298" s="22">
        <f t="shared" ref="M298" ca="1" si="1016">M297*$E297</f>
        <v>0</v>
      </c>
      <c r="N298" s="22">
        <f t="shared" ref="N298" ca="1" si="1017">N297*$E297</f>
        <v>0</v>
      </c>
      <c r="O298" s="22">
        <f t="shared" ref="O298" ca="1" si="1018">O297*$E297</f>
        <v>0</v>
      </c>
      <c r="P298" s="22">
        <f t="shared" ref="P298" ca="1" si="1019">P297*$E297</f>
        <v>0</v>
      </c>
      <c r="Q298" s="22">
        <f t="shared" ref="Q298" ca="1" si="1020">Q297*$E297</f>
        <v>0</v>
      </c>
      <c r="R298" s="22">
        <f t="shared" ref="R298" ca="1" si="1021">R297*$E297</f>
        <v>0</v>
      </c>
      <c r="S298" s="22">
        <f t="shared" ref="S298" ca="1" si="1022">S297*$E297</f>
        <v>0</v>
      </c>
      <c r="U298" s="17"/>
      <c r="V298" s="18"/>
      <c r="W298" s="19"/>
      <c r="X298" s="20"/>
    </row>
    <row r="299" spans="1:24">
      <c r="A299" s="199"/>
      <c r="B299" s="199"/>
      <c r="C299" s="206" t="s">
        <v>83</v>
      </c>
      <c r="D299" s="199" t="str">
        <f>VLOOKUP(C299,'仕掛品名寄（貼付）'!B:C,2,FALSE)</f>
        <v>その他</v>
      </c>
      <c r="E299" s="199">
        <f>VLOOKUP(D299,'仕掛品標準単価一覧表（貼付）'!B:G,6,FALSE)</f>
        <v>1080</v>
      </c>
      <c r="F299" s="12" t="s">
        <v>246</v>
      </c>
      <c r="G299" s="13">
        <v>0</v>
      </c>
      <c r="H299" s="13">
        <f ca="1">SUMIF('1.3②原材料使用'!B:E,C299,'1.3②原材料使用'!E:E)</f>
        <v>0</v>
      </c>
      <c r="I299" s="13">
        <f ca="1">SUMIF('2.10原液別作業時間'!A:B,C299,'2.10原液別作業時間'!B:B)</f>
        <v>0</v>
      </c>
      <c r="J299" s="13">
        <f ca="1">SUM(G299:H299,K299)</f>
        <v>0</v>
      </c>
      <c r="K299" s="13">
        <f ca="1">SUMIF('2.2⑤純増減→前工程費'!B:E,C299,'2.2⑤純増減→前工程費'!E:E)</f>
        <v>0</v>
      </c>
      <c r="L299" s="13">
        <f ca="1">SUMIF('2.6完成品'!C:D,C299,'2.6完成品'!D:D)</f>
        <v>0</v>
      </c>
      <c r="M299" s="13">
        <f ca="1">SUMIF('2.3研究費'!D:E,C299,'2.3研究費'!E:E)</f>
        <v>0</v>
      </c>
      <c r="N299" s="13">
        <f ca="1">SUMIF('2.4販促費'!D:E,C299,'2.4販促費'!E:E)</f>
        <v>0</v>
      </c>
      <c r="O299" s="13">
        <f ca="1">SUMIF('2.5廃棄処分'!D:E,C299,'2.5廃棄処分'!E:E)</f>
        <v>0</v>
      </c>
      <c r="P299" s="13">
        <f ca="1">SUMIF('2.1④異種原液'!D:E,C299,'2.1④異種原液'!E:E)</f>
        <v>0</v>
      </c>
      <c r="Q299" s="14">
        <f ca="1">SUMIF('2.7製造部生産分'!D:I,C299,'2.7製造部生産分'!H:H)</f>
        <v>0</v>
      </c>
      <c r="R299" s="15">
        <f ca="1">-(G299+H299+K299-L299-M299-N299-O299-P299-Q299-S299)</f>
        <v>0</v>
      </c>
      <c r="S299" s="13">
        <f ca="1">SUMIF('2.9原液在庫'!B:H,C299,'2.9原液在庫'!H:H)</f>
        <v>0</v>
      </c>
      <c r="T299" s="16">
        <f ca="1">IFERROR(SUM(G300:K300)/(G299+H299+K299),0)</f>
        <v>0</v>
      </c>
      <c r="U299" s="17" t="str">
        <f>C299</f>
        <v>28RA</v>
      </c>
      <c r="V299" s="18">
        <f ca="1">IF(ISERROR(SUM(G300:K300)/SUM(L299:Q299,S299)),0,SUM(G300:K300)/SUM(L299:Q299,S299))</f>
        <v>0</v>
      </c>
      <c r="W299" s="19">
        <f ca="1">V299</f>
        <v>0</v>
      </c>
      <c r="X299" s="20">
        <f ca="1">W299/1000</f>
        <v>0</v>
      </c>
    </row>
    <row r="300" spans="1:24">
      <c r="A300" s="199"/>
      <c r="B300" s="199"/>
      <c r="C300" s="199"/>
      <c r="D300" s="199"/>
      <c r="E300" s="199"/>
      <c r="F300" s="21" t="s">
        <v>247</v>
      </c>
      <c r="G300" s="22" t="s">
        <v>254</v>
      </c>
      <c r="H300" s="184"/>
      <c r="I300" s="23">
        <f ca="1">I299*労務費経費単価SC!D$7</f>
        <v>0</v>
      </c>
      <c r="J300" s="23">
        <f ca="1">J299*労務費経費単価SC!D$11</f>
        <v>0</v>
      </c>
      <c r="K300" s="22">
        <f ca="1">K299*$E299</f>
        <v>0</v>
      </c>
      <c r="L300" s="22">
        <f ca="1">L299*$E299</f>
        <v>0</v>
      </c>
      <c r="M300" s="22">
        <f t="shared" ref="M300" ca="1" si="1023">M299*$E299</f>
        <v>0</v>
      </c>
      <c r="N300" s="22">
        <f t="shared" ref="N300" ca="1" si="1024">N299*$E299</f>
        <v>0</v>
      </c>
      <c r="O300" s="22">
        <f t="shared" ref="O300" ca="1" si="1025">O299*$E299</f>
        <v>0</v>
      </c>
      <c r="P300" s="22">
        <f t="shared" ref="P300" ca="1" si="1026">P299*$E299</f>
        <v>0</v>
      </c>
      <c r="Q300" s="22">
        <f t="shared" ref="Q300" ca="1" si="1027">Q299*$E299</f>
        <v>0</v>
      </c>
      <c r="R300" s="22">
        <f t="shared" ref="R300" ca="1" si="1028">R299*$E299</f>
        <v>0</v>
      </c>
      <c r="S300" s="22">
        <f t="shared" ref="S300" ca="1" si="1029">S299*$E299</f>
        <v>0</v>
      </c>
      <c r="U300" s="17"/>
      <c r="V300" s="18"/>
      <c r="W300" s="19"/>
      <c r="X300" s="20"/>
    </row>
    <row r="301" spans="1:24">
      <c r="A301" s="199"/>
      <c r="B301" s="199"/>
      <c r="C301" s="199" t="s">
        <v>355</v>
      </c>
      <c r="D301" s="199" t="str">
        <f>VLOOKUP(C301,'仕掛品名寄（貼付）'!B:C,2,FALSE)</f>
        <v>RX</v>
      </c>
      <c r="E301" s="199">
        <f>VLOOKUP(D301,'仕掛品標準単価一覧表（貼付）'!B:G,6,FALSE)</f>
        <v>847</v>
      </c>
      <c r="F301" s="12" t="s">
        <v>246</v>
      </c>
      <c r="G301" s="13">
        <v>0</v>
      </c>
      <c r="H301" s="13">
        <f ca="1">SUMIF('1.3②原材料使用'!B:E,C301,'1.3②原材料使用'!E:E)</f>
        <v>0</v>
      </c>
      <c r="I301" s="13">
        <f ca="1">SUMIF('2.10原液別作業時間'!A:B,C301,'2.10原液別作業時間'!B:B)</f>
        <v>0</v>
      </c>
      <c r="J301" s="13">
        <f ca="1">SUM(G301:H301,K301)</f>
        <v>0</v>
      </c>
      <c r="K301" s="13">
        <f ca="1">SUMIF('2.2⑤純増減→前工程費'!B:E,C301,'2.2⑤純増減→前工程費'!E:E)</f>
        <v>0</v>
      </c>
      <c r="L301" s="13">
        <f ca="1">SUMIF('2.6完成品'!C:D,C301,'2.6完成品'!D:D)</f>
        <v>0</v>
      </c>
      <c r="M301" s="13">
        <f ca="1">SUMIF('2.3研究費'!D:E,C301,'2.3研究費'!E:E)</f>
        <v>0</v>
      </c>
      <c r="N301" s="13">
        <f ca="1">SUMIF('2.4販促費'!D:E,C301,'2.4販促費'!E:E)</f>
        <v>0</v>
      </c>
      <c r="O301" s="13">
        <f ca="1">SUMIF('2.5廃棄処分'!D:E,C301,'2.5廃棄処分'!E:E)</f>
        <v>0</v>
      </c>
      <c r="P301" s="13">
        <f ca="1">SUMIF('2.1④異種原液'!D:E,C301,'2.1④異種原液'!E:E)</f>
        <v>0</v>
      </c>
      <c r="Q301" s="14">
        <f ca="1">SUMIF('2.7製造部生産分'!D:I,C301,'2.7製造部生産分'!H:H)</f>
        <v>0</v>
      </c>
      <c r="R301" s="15">
        <f ca="1">-(G301+H301+K301-L301-M301-N301-O301-P301-Q301-S301)</f>
        <v>0</v>
      </c>
      <c r="S301" s="13">
        <f ca="1">SUMIF('2.9原液在庫'!B:H,C301,'2.9原液在庫'!H:H)</f>
        <v>0</v>
      </c>
      <c r="T301" s="16">
        <f ca="1">IFERROR(SUM(G302:K302)/(G301+H301+K301),0)</f>
        <v>0</v>
      </c>
      <c r="U301" s="17" t="str">
        <f>C301</f>
        <v>28RX</v>
      </c>
      <c r="V301" s="18">
        <f ca="1">IF(ISERROR(SUM(G302:K302)/SUM(L301:Q301,S301)),0,SUM(G302:K302)/SUM(L301:Q301,S301))</f>
        <v>0</v>
      </c>
      <c r="W301" s="19">
        <f ca="1">V301</f>
        <v>0</v>
      </c>
      <c r="X301" s="20">
        <f ca="1">W301/1000</f>
        <v>0</v>
      </c>
    </row>
    <row r="302" spans="1:24">
      <c r="A302" s="199"/>
      <c r="B302" s="199"/>
      <c r="C302" s="199"/>
      <c r="D302" s="199"/>
      <c r="E302" s="199"/>
      <c r="F302" s="21" t="s">
        <v>247</v>
      </c>
      <c r="G302" s="22" t="s">
        <v>254</v>
      </c>
      <c r="H302" s="184"/>
      <c r="I302" s="23">
        <f ca="1">I301*労務費経費単価SC!D$7</f>
        <v>0</v>
      </c>
      <c r="J302" s="23">
        <f ca="1">J301*労務費経費単価SC!D$11</f>
        <v>0</v>
      </c>
      <c r="K302" s="22">
        <f ca="1">K301*$E301</f>
        <v>0</v>
      </c>
      <c r="L302" s="22">
        <f ca="1">L301*$E301</f>
        <v>0</v>
      </c>
      <c r="M302" s="22">
        <f t="shared" ref="M302" ca="1" si="1030">M301*$E301</f>
        <v>0</v>
      </c>
      <c r="N302" s="22">
        <f t="shared" ref="N302" ca="1" si="1031">N301*$E301</f>
        <v>0</v>
      </c>
      <c r="O302" s="22">
        <f t="shared" ref="O302" ca="1" si="1032">O301*$E301</f>
        <v>0</v>
      </c>
      <c r="P302" s="22">
        <f t="shared" ref="P302" ca="1" si="1033">P301*$E301</f>
        <v>0</v>
      </c>
      <c r="Q302" s="22">
        <f t="shared" ref="Q302" ca="1" si="1034">Q301*$E301</f>
        <v>0</v>
      </c>
      <c r="R302" s="22">
        <f t="shared" ref="R302" ca="1" si="1035">R301*$E301</f>
        <v>0</v>
      </c>
      <c r="S302" s="22">
        <f t="shared" ref="S302" ca="1" si="1036">S301*$E301</f>
        <v>0</v>
      </c>
      <c r="U302" s="17"/>
      <c r="V302" s="18"/>
      <c r="W302" s="19"/>
      <c r="X302" s="20"/>
    </row>
    <row r="303" spans="1:24">
      <c r="A303" s="199" t="s">
        <v>356</v>
      </c>
      <c r="B303" s="199">
        <v>29</v>
      </c>
      <c r="C303" s="199" t="s">
        <v>84</v>
      </c>
      <c r="D303" s="199" t="str">
        <f>VLOOKUP(C303,'仕掛品名寄（貼付）'!B:C,2,FALSE)</f>
        <v>R</v>
      </c>
      <c r="E303" s="199">
        <f>VLOOKUP(D303,'仕掛品標準単価一覧表（貼付）'!B:G,6,FALSE)</f>
        <v>908</v>
      </c>
      <c r="F303" s="12" t="s">
        <v>246</v>
      </c>
      <c r="G303" s="13">
        <v>58158</v>
      </c>
      <c r="H303" s="13">
        <f ca="1">SUMIF('1.3②原材料使用'!B:E,C303,'1.3②原材料使用'!E:E)</f>
        <v>0</v>
      </c>
      <c r="I303" s="13">
        <f ca="1">SUMIF('2.10原液別作業時間'!A:B,C303,'2.10原液別作業時間'!B:B)</f>
        <v>0</v>
      </c>
      <c r="J303" s="13">
        <f ca="1">SUM(G303:H303,K303)</f>
        <v>58158</v>
      </c>
      <c r="K303" s="13">
        <f ca="1">SUMIF('2.2⑤純増減→前工程費'!B:E,C303,'2.2⑤純増減→前工程費'!E:E)</f>
        <v>0</v>
      </c>
      <c r="L303" s="13">
        <f ca="1">SUMIF('2.6完成品'!C:D,C303,'2.6完成品'!D:D)</f>
        <v>0</v>
      </c>
      <c r="M303" s="13">
        <f ca="1">SUMIF('2.3研究費'!D:E,C303,'2.3研究費'!E:E)</f>
        <v>4</v>
      </c>
      <c r="N303" s="13">
        <f ca="1">SUMIF('2.4販促費'!D:E,C303,'2.4販促費'!E:E)</f>
        <v>0</v>
      </c>
      <c r="O303" s="13">
        <f ca="1">SUMIF('2.5廃棄処分'!D:E,C303,'2.5廃棄処分'!E:E)</f>
        <v>0</v>
      </c>
      <c r="P303" s="13">
        <f ca="1">SUMIF('2.1④異種原液'!D:E,C303,'2.1④異種原液'!E:E)</f>
        <v>4273.5</v>
      </c>
      <c r="Q303" s="14">
        <f ca="1">SUMIF('2.7製造部生産分'!D:I,C303,'2.7製造部生産分'!H:H)</f>
        <v>0</v>
      </c>
      <c r="R303" s="15">
        <f ca="1">-(G303+H303+K303-L303-M303-N303-O303-P303-Q303-S303)</f>
        <v>-14</v>
      </c>
      <c r="S303" s="13">
        <f ca="1">SUMIF('2.9原液在庫'!B:H,C303,'2.9原液在庫'!H:H)</f>
        <v>53866.5</v>
      </c>
      <c r="T303" s="16">
        <f ca="1">IFERROR(SUM(G304:K304)/(G303+H303+K303),0)</f>
        <v>1151.6964240832842</v>
      </c>
      <c r="U303" s="17" t="str">
        <f>C303</f>
        <v>29R</v>
      </c>
      <c r="V303" s="18">
        <f ca="1">IF(ISERROR(SUM(G304:K304)/SUM(L303:Q303,S303)),0,SUM(G304:K304)/SUM(L303:Q303,S303))</f>
        <v>1151.9737312850102</v>
      </c>
      <c r="W303" s="19">
        <f ca="1">V303</f>
        <v>1151.9737312850102</v>
      </c>
      <c r="X303" s="20">
        <f ca="1">W303/1000</f>
        <v>1.1519737312850102</v>
      </c>
    </row>
    <row r="304" spans="1:24">
      <c r="A304" s="199"/>
      <c r="B304" s="199"/>
      <c r="C304" s="199"/>
      <c r="D304" s="199"/>
      <c r="E304" s="199"/>
      <c r="F304" s="21" t="s">
        <v>247</v>
      </c>
      <c r="G304" s="22">
        <v>65235620.631835639</v>
      </c>
      <c r="H304" s="184"/>
      <c r="I304" s="23">
        <f ca="1">I303*労務費経費単価SC!D$7</f>
        <v>0</v>
      </c>
      <c r="J304" s="23">
        <f ca="1">J303*労務費経費単価SC!D$11</f>
        <v>1744740</v>
      </c>
      <c r="K304" s="22">
        <f ca="1">K303*$E303</f>
        <v>0</v>
      </c>
      <c r="L304" s="22">
        <f ca="1">L303*$E303</f>
        <v>0</v>
      </c>
      <c r="M304" s="22">
        <f t="shared" ref="M304" ca="1" si="1037">M303*$E303</f>
        <v>3632</v>
      </c>
      <c r="N304" s="22">
        <f t="shared" ref="N304" ca="1" si="1038">N303*$E303</f>
        <v>0</v>
      </c>
      <c r="O304" s="22">
        <f t="shared" ref="O304" ca="1" si="1039">O303*$E303</f>
        <v>0</v>
      </c>
      <c r="P304" s="22">
        <f t="shared" ref="P304" ca="1" si="1040">P303*$E303</f>
        <v>3880338</v>
      </c>
      <c r="Q304" s="22">
        <f t="shared" ref="Q304" ca="1" si="1041">Q303*$E303</f>
        <v>0</v>
      </c>
      <c r="R304" s="22">
        <f t="shared" ref="R304" ca="1" si="1042">R303*$E303</f>
        <v>-12712</v>
      </c>
      <c r="S304" s="22">
        <f t="shared" ref="S304" ca="1" si="1043">S303*$E303</f>
        <v>48910782</v>
      </c>
      <c r="U304" s="17"/>
      <c r="V304" s="18"/>
      <c r="W304" s="19"/>
      <c r="X304" s="20"/>
    </row>
    <row r="305" spans="1:24">
      <c r="A305" s="199"/>
      <c r="B305" s="199"/>
      <c r="C305" s="199" t="s">
        <v>357</v>
      </c>
      <c r="D305" s="199" t="str">
        <f>VLOOKUP(C305,'仕掛品名寄（貼付）'!B:C,2,FALSE)</f>
        <v>その他</v>
      </c>
      <c r="E305" s="199">
        <f>VLOOKUP(D305,'仕掛品標準単価一覧表（貼付）'!B:G,6,FALSE)</f>
        <v>1080</v>
      </c>
      <c r="F305" s="12" t="s">
        <v>246</v>
      </c>
      <c r="G305" s="24">
        <v>0</v>
      </c>
      <c r="H305" s="13">
        <f ca="1">SUMIF('1.3②原材料使用'!B:E,C305,'1.3②原材料使用'!E:E)</f>
        <v>0</v>
      </c>
      <c r="I305" s="13">
        <f ca="1">SUMIF('2.10原液別作業時間'!A:B,C305,'2.10原液別作業時間'!B:B)</f>
        <v>0</v>
      </c>
      <c r="J305" s="13">
        <f ca="1">SUM(G305:H305,K305)</f>
        <v>0</v>
      </c>
      <c r="K305" s="13">
        <f ca="1">SUMIF('2.2⑤純増減→前工程費'!B:E,C305,'2.2⑤純増減→前工程費'!E:E)</f>
        <v>0</v>
      </c>
      <c r="L305" s="13">
        <f ca="1">SUMIF('2.6完成品'!C:D,C305,'2.6完成品'!D:D)</f>
        <v>0</v>
      </c>
      <c r="M305" s="13">
        <f ca="1">SUMIF('2.3研究費'!D:E,C305,'2.3研究費'!E:E)</f>
        <v>0</v>
      </c>
      <c r="N305" s="13">
        <f ca="1">SUMIF('2.4販促費'!D:E,C305,'2.4販促費'!E:E)</f>
        <v>0</v>
      </c>
      <c r="O305" s="13">
        <f ca="1">SUMIF('2.5廃棄処分'!D:E,C305,'2.5廃棄処分'!E:E)</f>
        <v>0</v>
      </c>
      <c r="P305" s="13">
        <f ca="1">SUMIF('2.1④異種原液'!D:E,C305,'2.1④異種原液'!E:E)</f>
        <v>0</v>
      </c>
      <c r="Q305" s="14">
        <f ca="1">SUMIF('2.7製造部生産分'!D:I,C305,'2.7製造部生産分'!H:H)</f>
        <v>0</v>
      </c>
      <c r="R305" s="15">
        <f ca="1">-(G305+H305+K305-L305-M305-N305-O305-P305-Q305-S305)</f>
        <v>0</v>
      </c>
      <c r="S305" s="13">
        <f ca="1">SUMIF('2.9原液在庫'!B:H,C305,'2.9原液在庫'!H:H)</f>
        <v>0</v>
      </c>
      <c r="T305" s="16">
        <f ca="1">IFERROR(SUM(G306:K306)/(G305+H305+K305),0)</f>
        <v>0</v>
      </c>
      <c r="U305" s="17" t="str">
        <f>C305</f>
        <v>29Rｲ</v>
      </c>
      <c r="V305" s="18">
        <f ca="1">IF(ISERROR(SUM(G306:K306)/SUM(L305:Q305,S305)),0,SUM(G306:K306)/SUM(L305:Q305,S305))</f>
        <v>0</v>
      </c>
      <c r="W305" s="19">
        <f ca="1">V305</f>
        <v>0</v>
      </c>
      <c r="X305" s="20">
        <f ca="1">W305/1000</f>
        <v>0</v>
      </c>
    </row>
    <row r="306" spans="1:24">
      <c r="A306" s="199"/>
      <c r="B306" s="199"/>
      <c r="C306" s="199"/>
      <c r="D306" s="199"/>
      <c r="E306" s="199"/>
      <c r="F306" s="21" t="s">
        <v>247</v>
      </c>
      <c r="G306" s="22" t="s">
        <v>254</v>
      </c>
      <c r="H306" s="184"/>
      <c r="I306" s="23">
        <f ca="1">I305*労務費経費単価SC!D$7</f>
        <v>0</v>
      </c>
      <c r="J306" s="23">
        <f ca="1">J305*労務費経費単価SC!D$11</f>
        <v>0</v>
      </c>
      <c r="K306" s="22">
        <f ca="1">K305*$E305</f>
        <v>0</v>
      </c>
      <c r="L306" s="22">
        <f ca="1">L305*$E305</f>
        <v>0</v>
      </c>
      <c r="M306" s="22">
        <f t="shared" ref="M306" ca="1" si="1044">M305*$E305</f>
        <v>0</v>
      </c>
      <c r="N306" s="22">
        <f t="shared" ref="N306" ca="1" si="1045">N305*$E305</f>
        <v>0</v>
      </c>
      <c r="O306" s="22">
        <f t="shared" ref="O306" ca="1" si="1046">O305*$E305</f>
        <v>0</v>
      </c>
      <c r="P306" s="22">
        <f t="shared" ref="P306" ca="1" si="1047">P305*$E305</f>
        <v>0</v>
      </c>
      <c r="Q306" s="22">
        <f t="shared" ref="Q306" ca="1" si="1048">Q305*$E305</f>
        <v>0</v>
      </c>
      <c r="R306" s="22">
        <f t="shared" ref="R306" ca="1" si="1049">R305*$E305</f>
        <v>0</v>
      </c>
      <c r="S306" s="22">
        <f t="shared" ref="S306" ca="1" si="1050">S305*$E305</f>
        <v>0</v>
      </c>
      <c r="U306" s="17"/>
      <c r="V306" s="18"/>
      <c r="W306" s="19"/>
      <c r="X306" s="20"/>
    </row>
    <row r="307" spans="1:24">
      <c r="A307" s="199"/>
      <c r="B307" s="199"/>
      <c r="C307" s="199" t="s">
        <v>358</v>
      </c>
      <c r="D307" s="199" t="str">
        <f>VLOOKUP(C307,'仕掛品名寄（貼付）'!B:C,2,FALSE)</f>
        <v>Rシ</v>
      </c>
      <c r="E307" s="199">
        <f>VLOOKUP(D307,'仕掛品標準単価一覧表（貼付）'!B:G,6,FALSE)</f>
        <v>991</v>
      </c>
      <c r="F307" s="12" t="s">
        <v>246</v>
      </c>
      <c r="G307" s="13">
        <v>0</v>
      </c>
      <c r="H307" s="13">
        <f ca="1">SUMIF('1.3②原材料使用'!B:E,C307,'1.3②原材料使用'!E:E)</f>
        <v>0</v>
      </c>
      <c r="I307" s="13">
        <f ca="1">SUMIF('2.10原液別作業時間'!A:B,C307,'2.10原液別作業時間'!B:B)</f>
        <v>0</v>
      </c>
      <c r="J307" s="13">
        <f ca="1">SUM(G307:H307,K307)</f>
        <v>0</v>
      </c>
      <c r="K307" s="13">
        <f ca="1">SUMIF('2.2⑤純増減→前工程費'!B:E,C307,'2.2⑤純増減→前工程費'!E:E)</f>
        <v>0</v>
      </c>
      <c r="L307" s="13">
        <f ca="1">SUMIF('2.6完成品'!C:D,C307,'2.6完成品'!D:D)</f>
        <v>0</v>
      </c>
      <c r="M307" s="13">
        <f ca="1">SUMIF('2.3研究費'!D:E,C307,'2.3研究費'!E:E)</f>
        <v>0</v>
      </c>
      <c r="N307" s="13">
        <f ca="1">SUMIF('2.4販促費'!D:E,C307,'2.4販促費'!E:E)</f>
        <v>0</v>
      </c>
      <c r="O307" s="13">
        <f ca="1">SUMIF('2.5廃棄処分'!D:E,C307,'2.5廃棄処分'!E:E)</f>
        <v>0</v>
      </c>
      <c r="P307" s="13">
        <f ca="1">SUMIF('2.1④異種原液'!D:E,C307,'2.1④異種原液'!E:E)</f>
        <v>0</v>
      </c>
      <c r="Q307" s="14">
        <f ca="1">SUMIF('2.7製造部生産分'!D:I,C307,'2.7製造部生産分'!H:H)</f>
        <v>0</v>
      </c>
      <c r="R307" s="15">
        <f ca="1">-(G307+H307+K307-L307-M307-N307-O307-P307-Q307-S307)</f>
        <v>0</v>
      </c>
      <c r="S307" s="13">
        <f ca="1">SUMIF('2.9原液在庫'!B:H,C307,'2.9原液在庫'!H:H)</f>
        <v>0</v>
      </c>
      <c r="T307" s="16">
        <f ca="1">IFERROR(SUM(G308:K308)/(G307+H307+K307),0)</f>
        <v>0</v>
      </c>
      <c r="U307" s="17" t="str">
        <f>C307</f>
        <v>29Rｼ</v>
      </c>
      <c r="V307" s="18">
        <f ca="1">IF(ISERROR(SUM(G308:K308)/SUM(L307:Q307,S307)),0,SUM(G308:K308)/SUM(L307:Q307,S307))</f>
        <v>0</v>
      </c>
      <c r="W307" s="19">
        <f ca="1">V307</f>
        <v>0</v>
      </c>
      <c r="X307" s="20">
        <f ca="1">W307/1000</f>
        <v>0</v>
      </c>
    </row>
    <row r="308" spans="1:24">
      <c r="A308" s="199"/>
      <c r="B308" s="199"/>
      <c r="C308" s="199"/>
      <c r="D308" s="199"/>
      <c r="E308" s="199"/>
      <c r="F308" s="21" t="s">
        <v>247</v>
      </c>
      <c r="G308" s="22" t="s">
        <v>254</v>
      </c>
      <c r="H308" s="184"/>
      <c r="I308" s="23">
        <f ca="1">I307*労務費経費単価SC!D$7</f>
        <v>0</v>
      </c>
      <c r="J308" s="23">
        <f ca="1">J307*労務費経費単価SC!D$11</f>
        <v>0</v>
      </c>
      <c r="K308" s="22">
        <f ca="1">K307*$E307</f>
        <v>0</v>
      </c>
      <c r="L308" s="22">
        <f ca="1">L307*$E307</f>
        <v>0</v>
      </c>
      <c r="M308" s="22">
        <f t="shared" ref="M308" ca="1" si="1051">M307*$E307</f>
        <v>0</v>
      </c>
      <c r="N308" s="22">
        <f t="shared" ref="N308" ca="1" si="1052">N307*$E307</f>
        <v>0</v>
      </c>
      <c r="O308" s="22">
        <f t="shared" ref="O308" ca="1" si="1053">O307*$E307</f>
        <v>0</v>
      </c>
      <c r="P308" s="22">
        <f t="shared" ref="P308" ca="1" si="1054">P307*$E307</f>
        <v>0</v>
      </c>
      <c r="Q308" s="22">
        <f t="shared" ref="Q308" ca="1" si="1055">Q307*$E307</f>
        <v>0</v>
      </c>
      <c r="R308" s="22">
        <f t="shared" ref="R308" ca="1" si="1056">R307*$E307</f>
        <v>0</v>
      </c>
      <c r="S308" s="22">
        <f t="shared" ref="S308" ca="1" si="1057">S307*$E307</f>
        <v>0</v>
      </c>
      <c r="U308" s="17"/>
      <c r="V308" s="18"/>
      <c r="W308" s="19"/>
      <c r="X308" s="20"/>
    </row>
    <row r="309" spans="1:24">
      <c r="A309" s="199"/>
      <c r="B309" s="199"/>
      <c r="C309" s="199" t="s">
        <v>359</v>
      </c>
      <c r="D309" s="199" t="str">
        <f>VLOOKUP(C309,'仕掛品名寄（貼付）'!B:C,2,FALSE)</f>
        <v>その他</v>
      </c>
      <c r="E309" s="199">
        <f>VLOOKUP(D309,'仕掛品標準単価一覧表（貼付）'!B:G,6,FALSE)</f>
        <v>1080</v>
      </c>
      <c r="F309" s="12" t="s">
        <v>246</v>
      </c>
      <c r="G309" s="13">
        <v>0</v>
      </c>
      <c r="H309" s="13">
        <f ca="1">SUMIF('1.3②原材料使用'!B:E,C309,'1.3②原材料使用'!E:E)</f>
        <v>0</v>
      </c>
      <c r="I309" s="13">
        <f ca="1">SUMIF('2.10原液別作業時間'!A:B,C309,'2.10原液別作業時間'!B:B)</f>
        <v>0</v>
      </c>
      <c r="J309" s="13">
        <f ca="1">SUM(G309:H309,K309)</f>
        <v>0</v>
      </c>
      <c r="K309" s="13">
        <f ca="1">SUMIF('2.2⑤純増減→前工程費'!B:E,C309,'2.2⑤純増減→前工程費'!E:E)</f>
        <v>0</v>
      </c>
      <c r="L309" s="13">
        <f ca="1">SUMIF('2.6完成品'!C:D,C309,'2.6完成品'!D:D)</f>
        <v>0</v>
      </c>
      <c r="M309" s="13">
        <f ca="1">SUMIF('2.3研究費'!D:E,C309,'2.3研究費'!E:E)</f>
        <v>0</v>
      </c>
      <c r="N309" s="13">
        <f ca="1">SUMIF('2.4販促費'!D:E,C309,'2.4販促費'!E:E)</f>
        <v>0</v>
      </c>
      <c r="O309" s="13">
        <f ca="1">SUMIF('2.5廃棄処分'!D:E,C309,'2.5廃棄処分'!E:E)</f>
        <v>0</v>
      </c>
      <c r="P309" s="13">
        <f ca="1">SUMIF('2.1④異種原液'!D:E,C309,'2.1④異種原液'!E:E)</f>
        <v>0</v>
      </c>
      <c r="Q309" s="14">
        <f ca="1">SUMIF('2.7製造部生産分'!D:I,C309,'2.7製造部生産分'!H:H)</f>
        <v>0</v>
      </c>
      <c r="R309" s="15">
        <f ca="1">-(G309+H309+K309-L309-M309-N309-O309-P309-Q309-S309)</f>
        <v>0</v>
      </c>
      <c r="S309" s="13">
        <f ca="1">SUMIF('2.9原液在庫'!B:H,C309,'2.9原液在庫'!H:H)</f>
        <v>0</v>
      </c>
      <c r="T309" s="16">
        <f ca="1">IFERROR(SUM(G310:K310)/(G309+H309+K309),0)</f>
        <v>0</v>
      </c>
      <c r="U309" s="17" t="str">
        <f>C309</f>
        <v>29Rﾙ</v>
      </c>
      <c r="V309" s="18">
        <f ca="1">IF(ISERROR(SUM(G310:K310)/SUM(L309:Q309,S309)),0,SUM(G310:K310)/SUM(L309:Q309,S309))</f>
        <v>0</v>
      </c>
      <c r="W309" s="19">
        <f ca="1">V309</f>
        <v>0</v>
      </c>
      <c r="X309" s="20">
        <f ca="1">W309/1000</f>
        <v>0</v>
      </c>
    </row>
    <row r="310" spans="1:24">
      <c r="A310" s="199"/>
      <c r="B310" s="199"/>
      <c r="C310" s="199"/>
      <c r="D310" s="199"/>
      <c r="E310" s="199"/>
      <c r="F310" s="21" t="s">
        <v>247</v>
      </c>
      <c r="G310" s="22" t="s">
        <v>254</v>
      </c>
      <c r="H310" s="184"/>
      <c r="I310" s="23">
        <f ca="1">I309*労務費経費単価SC!D$7</f>
        <v>0</v>
      </c>
      <c r="J310" s="23">
        <f ca="1">J309*労務費経費単価SC!D$11</f>
        <v>0</v>
      </c>
      <c r="K310" s="22">
        <f ca="1">K309*$E309</f>
        <v>0</v>
      </c>
      <c r="L310" s="22">
        <f ca="1">L309*$E309</f>
        <v>0</v>
      </c>
      <c r="M310" s="22">
        <f t="shared" ref="M310" ca="1" si="1058">M309*$E309</f>
        <v>0</v>
      </c>
      <c r="N310" s="22">
        <f t="shared" ref="N310" ca="1" si="1059">N309*$E309</f>
        <v>0</v>
      </c>
      <c r="O310" s="22">
        <f t="shared" ref="O310" ca="1" si="1060">O309*$E309</f>
        <v>0</v>
      </c>
      <c r="P310" s="22">
        <f t="shared" ref="P310" ca="1" si="1061">P309*$E309</f>
        <v>0</v>
      </c>
      <c r="Q310" s="22">
        <f t="shared" ref="Q310" ca="1" si="1062">Q309*$E309</f>
        <v>0</v>
      </c>
      <c r="R310" s="22">
        <f t="shared" ref="R310" ca="1" si="1063">R309*$E309</f>
        <v>0</v>
      </c>
      <c r="S310" s="22">
        <f t="shared" ref="S310" ca="1" si="1064">S309*$E309</f>
        <v>0</v>
      </c>
      <c r="U310" s="17"/>
      <c r="V310" s="18"/>
      <c r="W310" s="19"/>
      <c r="X310" s="20"/>
    </row>
    <row r="311" spans="1:24">
      <c r="A311" s="199"/>
      <c r="B311" s="199"/>
      <c r="C311" s="199" t="s">
        <v>360</v>
      </c>
      <c r="D311" s="199" t="str">
        <f>VLOOKUP(C311,'仕掛品名寄（貼付）'!B:C,2,FALSE)</f>
        <v>その他</v>
      </c>
      <c r="E311" s="199">
        <f>VLOOKUP(D311,'仕掛品標準単価一覧表（貼付）'!B:G,6,FALSE)</f>
        <v>1080</v>
      </c>
      <c r="F311" s="12" t="s">
        <v>246</v>
      </c>
      <c r="G311" s="13">
        <v>0</v>
      </c>
      <c r="H311" s="13">
        <f ca="1">SUMIF('1.3②原材料使用'!B:E,C311,'1.3②原材料使用'!E:E)</f>
        <v>0</v>
      </c>
      <c r="I311" s="13">
        <f ca="1">SUMIF('2.10原液別作業時間'!A:B,C311,'2.10原液別作業時間'!B:B)</f>
        <v>0</v>
      </c>
      <c r="J311" s="13">
        <f ca="1">SUM(G311:H311,K311)</f>
        <v>0</v>
      </c>
      <c r="K311" s="13">
        <f ca="1">SUMIF('2.2⑤純増減→前工程費'!B:E,C311,'2.2⑤純増減→前工程費'!E:E)</f>
        <v>0</v>
      </c>
      <c r="L311" s="13">
        <f ca="1">SUMIF('2.6完成品'!C:D,C311,'2.6完成品'!D:D)</f>
        <v>0</v>
      </c>
      <c r="M311" s="13">
        <f ca="1">SUMIF('2.3研究費'!D:E,C311,'2.3研究費'!E:E)</f>
        <v>0</v>
      </c>
      <c r="N311" s="13">
        <f ca="1">SUMIF('2.4販促費'!D:E,C311,'2.4販促費'!E:E)</f>
        <v>0</v>
      </c>
      <c r="O311" s="13">
        <f ca="1">SUMIF('2.5廃棄処分'!D:E,C311,'2.5廃棄処分'!E:E)</f>
        <v>0</v>
      </c>
      <c r="P311" s="13">
        <f ca="1">SUMIF('2.1④異種原液'!D:E,C311,'2.1④異種原液'!E:E)</f>
        <v>0</v>
      </c>
      <c r="Q311" s="14">
        <f ca="1">SUMIF('2.7製造部生産分'!D:I,C311,'2.7製造部生産分'!H:H)</f>
        <v>0</v>
      </c>
      <c r="R311" s="15">
        <f ca="1">-(G311+H311+K311-L311-M311-N311-O311-P311-Q311-S311)</f>
        <v>0</v>
      </c>
      <c r="S311" s="13">
        <f ca="1">SUMIF('2.9原液在庫'!B:H,C311,'2.9原液在庫'!H:H)</f>
        <v>0</v>
      </c>
      <c r="T311" s="16">
        <f ca="1">IFERROR(SUM(G312:K312)/(G311+H311+K311),0)</f>
        <v>0</v>
      </c>
      <c r="U311" s="17" t="str">
        <f>C311</f>
        <v>29R田</v>
      </c>
      <c r="V311" s="18">
        <f ca="1">IF(ISERROR(SUM(G312:K312)/SUM(L311:Q311,S311)),0,SUM(G312:K312)/SUM(L311:Q311,S311))</f>
        <v>0</v>
      </c>
      <c r="W311" s="19">
        <f ca="1">V311</f>
        <v>0</v>
      </c>
      <c r="X311" s="20">
        <f ca="1">W311/1000</f>
        <v>0</v>
      </c>
    </row>
    <row r="312" spans="1:24">
      <c r="A312" s="199"/>
      <c r="B312" s="199"/>
      <c r="C312" s="199"/>
      <c r="D312" s="199"/>
      <c r="E312" s="199"/>
      <c r="F312" s="21" t="s">
        <v>247</v>
      </c>
      <c r="G312" s="22" t="s">
        <v>254</v>
      </c>
      <c r="H312" s="184"/>
      <c r="I312" s="23">
        <f ca="1">I311*労務費経費単価SC!D$7</f>
        <v>0</v>
      </c>
      <c r="J312" s="23">
        <f ca="1">J311*労務費経費単価SC!D$11</f>
        <v>0</v>
      </c>
      <c r="K312" s="22">
        <f ca="1">K311*$E311</f>
        <v>0</v>
      </c>
      <c r="L312" s="22">
        <f ca="1">L311*$E311</f>
        <v>0</v>
      </c>
      <c r="M312" s="22">
        <f t="shared" ref="M312" ca="1" si="1065">M311*$E311</f>
        <v>0</v>
      </c>
      <c r="N312" s="22">
        <f t="shared" ref="N312" ca="1" si="1066">N311*$E311</f>
        <v>0</v>
      </c>
      <c r="O312" s="22">
        <f t="shared" ref="O312" ca="1" si="1067">O311*$E311</f>
        <v>0</v>
      </c>
      <c r="P312" s="22">
        <f t="shared" ref="P312" ca="1" si="1068">P311*$E311</f>
        <v>0</v>
      </c>
      <c r="Q312" s="22">
        <f t="shared" ref="Q312" ca="1" si="1069">Q311*$E311</f>
        <v>0</v>
      </c>
      <c r="R312" s="22">
        <f t="shared" ref="R312" ca="1" si="1070">R311*$E311</f>
        <v>0</v>
      </c>
      <c r="S312" s="22">
        <f t="shared" ref="S312" ca="1" si="1071">S311*$E311</f>
        <v>0</v>
      </c>
      <c r="U312" s="17"/>
      <c r="V312" s="18"/>
      <c r="W312" s="19"/>
      <c r="X312" s="20"/>
    </row>
    <row r="313" spans="1:24">
      <c r="A313" s="199"/>
      <c r="B313" s="199"/>
      <c r="C313" s="206" t="s">
        <v>85</v>
      </c>
      <c r="D313" s="199" t="str">
        <f>VLOOKUP(C313,'仕掛品名寄（貼付）'!B:C,2,FALSE)</f>
        <v>その他</v>
      </c>
      <c r="E313" s="199">
        <f>VLOOKUP(D313,'仕掛品標準単価一覧表（貼付）'!B:G,6,FALSE)</f>
        <v>1080</v>
      </c>
      <c r="F313" s="12" t="s">
        <v>246</v>
      </c>
      <c r="G313" s="13">
        <v>5368</v>
      </c>
      <c r="H313" s="13">
        <f ca="1">SUMIF('1.3②原材料使用'!B:E,C313,'1.3②原材料使用'!E:E)</f>
        <v>0</v>
      </c>
      <c r="I313" s="13">
        <f ca="1">SUMIF('2.10原液別作業時間'!A:B,C313,'2.10原液別作業時間'!B:B)</f>
        <v>0</v>
      </c>
      <c r="J313" s="13">
        <f ca="1">SUM(G313:H313,K313)</f>
        <v>5368</v>
      </c>
      <c r="K313" s="13">
        <f ca="1">SUMIF('2.2⑤純増減→前工程費'!B:E,C313,'2.2⑤純増減→前工程費'!E:E)</f>
        <v>0</v>
      </c>
      <c r="L313" s="13">
        <f ca="1">SUMIF('2.6完成品'!C:D,C313,'2.6完成品'!D:D)</f>
        <v>0</v>
      </c>
      <c r="M313" s="13">
        <f ca="1">SUMIF('2.3研究費'!D:E,C313,'2.3研究費'!E:E)</f>
        <v>0</v>
      </c>
      <c r="N313" s="13">
        <f ca="1">SUMIF('2.4販促費'!D:E,C313,'2.4販促費'!E:E)</f>
        <v>0</v>
      </c>
      <c r="O313" s="13">
        <f ca="1">SUMIF('2.5廃棄処分'!D:E,C313,'2.5廃棄処分'!E:E)</f>
        <v>0</v>
      </c>
      <c r="P313" s="13">
        <f ca="1">SUMIF('2.1④異種原液'!D:E,C313,'2.1④異種原液'!E:E)</f>
        <v>0</v>
      </c>
      <c r="Q313" s="14">
        <f ca="1">SUMIF('2.7製造部生産分'!D:I,C313,'2.7製造部生産分'!H:H)</f>
        <v>0</v>
      </c>
      <c r="R313" s="15">
        <f ca="1">-(G313+H313+K313-L313-M313-N313-O313-P313-Q313-S313)</f>
        <v>0</v>
      </c>
      <c r="S313" s="13">
        <f ca="1">SUMIF('2.9原液在庫'!B:H,C313,'2.9原液在庫'!H:H)</f>
        <v>5368</v>
      </c>
      <c r="T313" s="16">
        <f ca="1">IFERROR(SUM(G314:K314)/(G313+H313+K313),0)</f>
        <v>1188.6318394602611</v>
      </c>
      <c r="U313" s="17" t="str">
        <f>C313</f>
        <v>29RA</v>
      </c>
      <c r="V313" s="18">
        <f ca="1">IF(ISERROR(SUM(G314:K314)/SUM(L313:Q313,S313)),0,SUM(G314:K314)/SUM(L313:Q313,S313))</f>
        <v>1188.6318394602611</v>
      </c>
      <c r="W313" s="19">
        <f ca="1">V313</f>
        <v>1188.6318394602611</v>
      </c>
      <c r="X313" s="20">
        <f ca="1">W313/1000</f>
        <v>1.1886318394602611</v>
      </c>
    </row>
    <row r="314" spans="1:24">
      <c r="A314" s="199"/>
      <c r="B314" s="199"/>
      <c r="C314" s="199"/>
      <c r="D314" s="199"/>
      <c r="E314" s="199"/>
      <c r="F314" s="21" t="s">
        <v>247</v>
      </c>
      <c r="G314" s="22">
        <v>6219535.7142226808</v>
      </c>
      <c r="H314" s="184"/>
      <c r="I314" s="23">
        <f ca="1">I313*労務費経費単価SC!D$7</f>
        <v>0</v>
      </c>
      <c r="J314" s="23">
        <f ca="1">J313*労務費経費単価SC!D$11</f>
        <v>161040</v>
      </c>
      <c r="K314" s="22">
        <f ca="1">K313*$E313</f>
        <v>0</v>
      </c>
      <c r="L314" s="22">
        <f ca="1">L313*$E313</f>
        <v>0</v>
      </c>
      <c r="M314" s="22">
        <f t="shared" ref="M314" ca="1" si="1072">M313*$E313</f>
        <v>0</v>
      </c>
      <c r="N314" s="22">
        <f t="shared" ref="N314" ca="1" si="1073">N313*$E313</f>
        <v>0</v>
      </c>
      <c r="O314" s="22">
        <f t="shared" ref="O314" ca="1" si="1074">O313*$E313</f>
        <v>0</v>
      </c>
      <c r="P314" s="22">
        <f t="shared" ref="P314" ca="1" si="1075">P313*$E313</f>
        <v>0</v>
      </c>
      <c r="Q314" s="22">
        <f t="shared" ref="Q314" ca="1" si="1076">Q313*$E313</f>
        <v>0</v>
      </c>
      <c r="R314" s="22">
        <f t="shared" ref="R314" ca="1" si="1077">R313*$E313</f>
        <v>0</v>
      </c>
      <c r="S314" s="22">
        <f t="shared" ref="S314" ca="1" si="1078">S313*$E313</f>
        <v>5797440</v>
      </c>
      <c r="U314" s="17"/>
      <c r="V314" s="18"/>
      <c r="W314" s="19"/>
      <c r="X314" s="20"/>
    </row>
    <row r="315" spans="1:24">
      <c r="A315" s="199"/>
      <c r="B315" s="199"/>
      <c r="C315" s="211" t="s">
        <v>87</v>
      </c>
      <c r="D315" s="199" t="str">
        <f>VLOOKUP(C315,'仕掛品名寄（貼付）'!B:C,2,FALSE)</f>
        <v>RX</v>
      </c>
      <c r="E315" s="199">
        <f>VLOOKUP(D315,'仕掛品標準単価一覧表（貼付）'!B:G,6,FALSE)</f>
        <v>847</v>
      </c>
      <c r="F315" s="12" t="s">
        <v>246</v>
      </c>
      <c r="G315" s="13">
        <v>0</v>
      </c>
      <c r="H315" s="13">
        <f ca="1">SUMIF('1.3②原材料使用'!B:E,C315,'1.3②原材料使用'!E:E)</f>
        <v>0</v>
      </c>
      <c r="I315" s="13">
        <f ca="1">SUMIF('2.10原液別作業時間'!A:B,C315,'2.10原液別作業時間'!B:B)</f>
        <v>0</v>
      </c>
      <c r="J315" s="13">
        <f ca="1">SUM(G315:H315,K315)</f>
        <v>0</v>
      </c>
      <c r="K315" s="13">
        <f ca="1">SUMIF('2.2⑤純増減→前工程費'!B:E,C315,'2.2⑤純増減→前工程費'!E:E)</f>
        <v>0</v>
      </c>
      <c r="L315" s="13">
        <f ca="1">SUMIF('2.6完成品'!C:D,C315,'2.6完成品'!D:D)</f>
        <v>0</v>
      </c>
      <c r="M315" s="13">
        <f ca="1">SUMIF('2.3研究費'!D:E,C315,'2.3研究費'!E:E)</f>
        <v>0</v>
      </c>
      <c r="N315" s="13">
        <f ca="1">SUMIF('2.4販促費'!D:E,C315,'2.4販促費'!E:E)</f>
        <v>0</v>
      </c>
      <c r="O315" s="13">
        <f ca="1">SUMIF('2.5廃棄処分'!D:E,C315,'2.5廃棄処分'!E:E)</f>
        <v>0</v>
      </c>
      <c r="P315" s="13">
        <f ca="1">SUMIF('2.1④異種原液'!D:E,C315,'2.1④異種原液'!E:E)</f>
        <v>0</v>
      </c>
      <c r="Q315" s="14">
        <f ca="1">SUMIF('2.7製造部生産分'!D:I,C315,'2.7製造部生産分'!H:H)</f>
        <v>0</v>
      </c>
      <c r="R315" s="15">
        <f ca="1">-(G315+H315+K315-L315-M315-N315-O315-P315-Q315-S315)</f>
        <v>0</v>
      </c>
      <c r="S315" s="13">
        <f ca="1">SUMIF('2.9原液在庫'!B:H,C315,'2.9原液在庫'!H:H)</f>
        <v>0</v>
      </c>
      <c r="T315" s="16">
        <f ca="1">IFERROR(SUM(G316:K316)/(G315+H315+K315),0)</f>
        <v>0</v>
      </c>
      <c r="U315" s="17" t="str">
        <f>C315</f>
        <v>29RX</v>
      </c>
      <c r="V315" s="18">
        <f ca="1">IF(ISERROR(SUM(G316:K316)/SUM(L315:Q315,S315)),0,SUM(G316:K316)/SUM(L315:Q315,S315))</f>
        <v>0</v>
      </c>
      <c r="W315" s="19">
        <f ca="1">V315</f>
        <v>0</v>
      </c>
      <c r="X315" s="20">
        <f ca="1">W315/1000</f>
        <v>0</v>
      </c>
    </row>
    <row r="316" spans="1:24">
      <c r="A316" s="199"/>
      <c r="B316" s="199"/>
      <c r="C316" s="201"/>
      <c r="D316" s="199"/>
      <c r="E316" s="199"/>
      <c r="F316" s="21" t="s">
        <v>247</v>
      </c>
      <c r="G316" s="22" t="s">
        <v>254</v>
      </c>
      <c r="H316" s="184"/>
      <c r="I316" s="23">
        <f ca="1">I315*労務費経費単価SC!D$7</f>
        <v>0</v>
      </c>
      <c r="J316" s="23">
        <f ca="1">J315*労務費経費単価SC!D$11</f>
        <v>0</v>
      </c>
      <c r="K316" s="22">
        <f ca="1">K315*$E315</f>
        <v>0</v>
      </c>
      <c r="L316" s="22">
        <f ca="1">L315*$E315</f>
        <v>0</v>
      </c>
      <c r="M316" s="22">
        <f t="shared" ref="M316" ca="1" si="1079">M315*$E315</f>
        <v>0</v>
      </c>
      <c r="N316" s="22">
        <f t="shared" ref="N316" ca="1" si="1080">N315*$E315</f>
        <v>0</v>
      </c>
      <c r="O316" s="22">
        <f t="shared" ref="O316" ca="1" si="1081">O315*$E315</f>
        <v>0</v>
      </c>
      <c r="P316" s="22">
        <f t="shared" ref="P316" ca="1" si="1082">P315*$E315</f>
        <v>0</v>
      </c>
      <c r="Q316" s="22">
        <f t="shared" ref="Q316" ca="1" si="1083">Q315*$E315</f>
        <v>0</v>
      </c>
      <c r="R316" s="22">
        <f t="shared" ref="R316" ca="1" si="1084">R315*$E315</f>
        <v>0</v>
      </c>
      <c r="S316" s="22">
        <f t="shared" ref="S316" ca="1" si="1085">S315*$E315</f>
        <v>0</v>
      </c>
      <c r="U316" s="17"/>
      <c r="V316" s="18"/>
      <c r="W316" s="19"/>
      <c r="X316" s="20"/>
    </row>
    <row r="317" spans="1:24">
      <c r="A317" s="199"/>
      <c r="B317" s="199"/>
      <c r="C317" s="199" t="s">
        <v>361</v>
      </c>
      <c r="D317" s="199" t="str">
        <f>VLOOKUP(C317,'仕掛品名寄（貼付）'!B:C,2,FALSE)</f>
        <v>その他</v>
      </c>
      <c r="E317" s="199">
        <f>VLOOKUP(D317,'仕掛品標準単価一覧表（貼付）'!B:G,6,FALSE)</f>
        <v>1080</v>
      </c>
      <c r="F317" s="12" t="s">
        <v>246</v>
      </c>
      <c r="G317" s="13">
        <v>0</v>
      </c>
      <c r="H317" s="13">
        <f ca="1">SUMIF('1.3②原材料使用'!B:E,C317,'1.3②原材料使用'!E:E)</f>
        <v>0</v>
      </c>
      <c r="I317" s="13">
        <f ca="1">SUMIF('2.10原液別作業時間'!A:B,C317,'2.10原液別作業時間'!B:B)</f>
        <v>0</v>
      </c>
      <c r="J317" s="13">
        <f ca="1">SUM(G317:H317,K317)</f>
        <v>0</v>
      </c>
      <c r="K317" s="13">
        <f ca="1">SUMIF('2.2⑤純増減→前工程費'!B:E,C317,'2.2⑤純増減→前工程費'!E:E)</f>
        <v>0</v>
      </c>
      <c r="L317" s="13">
        <f ca="1">SUMIF('2.6完成品'!C:D,C317,'2.6完成品'!D:D)</f>
        <v>0</v>
      </c>
      <c r="M317" s="13">
        <f ca="1">SUMIF('2.3研究費'!D:E,C317,'2.3研究費'!E:E)</f>
        <v>0</v>
      </c>
      <c r="N317" s="13">
        <f ca="1">SUMIF('2.4販促費'!D:E,C317,'2.4販促費'!E:E)</f>
        <v>0</v>
      </c>
      <c r="O317" s="13">
        <f ca="1">SUMIF('2.5廃棄処分'!D:E,C317,'2.5廃棄処分'!E:E)</f>
        <v>0</v>
      </c>
      <c r="P317" s="13">
        <f ca="1">SUMIF('2.1④異種原液'!D:E,C317,'2.1④異種原液'!E:E)</f>
        <v>0</v>
      </c>
      <c r="Q317" s="14">
        <f ca="1">SUMIF('2.7製造部生産分'!D:I,C317,'2.7製造部生産分'!H:H)</f>
        <v>0</v>
      </c>
      <c r="R317" s="15">
        <f ca="1">-(G317+H317+K317-L317-M317-N317-O317-P317-Q317-S317)</f>
        <v>0</v>
      </c>
      <c r="S317" s="13">
        <f ca="1">SUMIF('2.9原液在庫'!B:H,C317,'2.9原液在庫'!H:H)</f>
        <v>0</v>
      </c>
      <c r="T317" s="16">
        <f ca="1">IFERROR(SUM(G318:K318)/(G317+H317+K317),0)</f>
        <v>0</v>
      </c>
      <c r="U317" s="17" t="str">
        <f>C317</f>
        <v>29畜</v>
      </c>
      <c r="V317" s="18">
        <f ca="1">IF(ISERROR(SUM(G318:K318)/SUM(L317:Q317,S317)),0,SUM(G318:K318)/SUM(L317:Q317,S317))</f>
        <v>0</v>
      </c>
      <c r="W317" s="19">
        <f ca="1">V317</f>
        <v>0</v>
      </c>
      <c r="X317" s="20">
        <f ca="1">W317/1000</f>
        <v>0</v>
      </c>
    </row>
    <row r="318" spans="1:24">
      <c r="A318" s="199"/>
      <c r="B318" s="199"/>
      <c r="C318" s="199"/>
      <c r="D318" s="199"/>
      <c r="E318" s="199"/>
      <c r="F318" s="21" t="s">
        <v>247</v>
      </c>
      <c r="G318" s="22" t="s">
        <v>254</v>
      </c>
      <c r="H318" s="184"/>
      <c r="I318" s="23">
        <f ca="1">I317*労務費経費単価SC!D$7</f>
        <v>0</v>
      </c>
      <c r="J318" s="23">
        <f ca="1">J317*労務費経費単価SC!D$11</f>
        <v>0</v>
      </c>
      <c r="K318" s="22">
        <f ca="1">K317*$E317</f>
        <v>0</v>
      </c>
      <c r="L318" s="22">
        <f ca="1">L317*$E317</f>
        <v>0</v>
      </c>
      <c r="M318" s="22">
        <f t="shared" ref="M318" ca="1" si="1086">M317*$E317</f>
        <v>0</v>
      </c>
      <c r="N318" s="22">
        <f t="shared" ref="N318" ca="1" si="1087">N317*$E317</f>
        <v>0</v>
      </c>
      <c r="O318" s="22">
        <f t="shared" ref="O318" ca="1" si="1088">O317*$E317</f>
        <v>0</v>
      </c>
      <c r="P318" s="22">
        <f t="shared" ref="P318" ca="1" si="1089">P317*$E317</f>
        <v>0</v>
      </c>
      <c r="Q318" s="22">
        <f t="shared" ref="Q318" ca="1" si="1090">Q317*$E317</f>
        <v>0</v>
      </c>
      <c r="R318" s="22">
        <f t="shared" ref="R318" ca="1" si="1091">R317*$E317</f>
        <v>0</v>
      </c>
      <c r="S318" s="22">
        <f t="shared" ref="S318" ca="1" si="1092">S317*$E317</f>
        <v>0</v>
      </c>
      <c r="U318" s="17"/>
      <c r="V318" s="18"/>
      <c r="W318" s="19"/>
      <c r="X318" s="20"/>
    </row>
    <row r="319" spans="1:24">
      <c r="A319" s="199" t="s">
        <v>362</v>
      </c>
      <c r="B319" s="199">
        <v>30</v>
      </c>
      <c r="C319" s="199" t="s">
        <v>363</v>
      </c>
      <c r="D319" s="199" t="str">
        <f>VLOOKUP(C319,'仕掛品名寄（貼付）'!B:C,2,FALSE)</f>
        <v>R</v>
      </c>
      <c r="E319" s="199">
        <f>VLOOKUP(D319,'仕掛品標準単価一覧表（貼付）'!B:G,6,FALSE)</f>
        <v>908</v>
      </c>
      <c r="F319" s="12" t="s">
        <v>246</v>
      </c>
      <c r="G319" s="13">
        <v>0</v>
      </c>
      <c r="H319" s="13">
        <f ca="1">SUMIF('1.3②原材料使用'!B:E,C319,'1.3②原材料使用'!E:E)</f>
        <v>0</v>
      </c>
      <c r="I319" s="13">
        <f ca="1">SUMIF('2.10原液別作業時間'!A:B,C319,'2.10原液別作業時間'!B:B)</f>
        <v>0</v>
      </c>
      <c r="J319" s="13">
        <f ca="1">SUM(G319:H319,K319)</f>
        <v>0</v>
      </c>
      <c r="K319" s="13">
        <f ca="1">SUMIF('2.2⑤純増減→前工程費'!B:E,C319,'2.2⑤純増減→前工程費'!E:E)</f>
        <v>0</v>
      </c>
      <c r="L319" s="13">
        <f ca="1">SUMIF('2.6完成品'!C:D,C319,'2.6完成品'!D:D)</f>
        <v>0</v>
      </c>
      <c r="M319" s="13">
        <f ca="1">SUMIF('2.3研究費'!D:E,C319,'2.3研究費'!E:E)</f>
        <v>0</v>
      </c>
      <c r="N319" s="13">
        <f ca="1">SUMIF('2.4販促費'!D:E,C319,'2.4販促費'!E:E)</f>
        <v>0</v>
      </c>
      <c r="O319" s="13">
        <f ca="1">SUMIF('2.5廃棄処分'!D:E,C319,'2.5廃棄処分'!E:E)</f>
        <v>0</v>
      </c>
      <c r="P319" s="13">
        <f ca="1">SUMIF('2.1④異種原液'!D:E,C319,'2.1④異種原液'!E:E)</f>
        <v>0</v>
      </c>
      <c r="Q319" s="14">
        <f ca="1">SUMIF('2.7製造部生産分'!D:I,C319,'2.7製造部生産分'!H:H)</f>
        <v>0</v>
      </c>
      <c r="R319" s="15">
        <f ca="1">-(G319+H319+K319-L319-M319-N319-O319-P319-Q319-S319)</f>
        <v>0</v>
      </c>
      <c r="S319" s="13">
        <f ca="1">SUMIF('2.9原液在庫'!B:H,C319,'2.9原液在庫'!H:H)</f>
        <v>0</v>
      </c>
      <c r="T319" s="16">
        <f ca="1">IFERROR(SUM(G320:K320)/(G319+H319+K319),0)</f>
        <v>0</v>
      </c>
      <c r="U319" s="17" t="str">
        <f>C319</f>
        <v>30R</v>
      </c>
      <c r="V319" s="18">
        <f ca="1">IF(ISERROR(SUM(G320:K320)/SUM(L319:Q319,S319)),0,SUM(G320:K320)/SUM(L319:Q319,S319))</f>
        <v>0</v>
      </c>
      <c r="W319" s="19">
        <f ca="1">V319</f>
        <v>0</v>
      </c>
      <c r="X319" s="20">
        <f ca="1">W319/1000</f>
        <v>0</v>
      </c>
    </row>
    <row r="320" spans="1:24">
      <c r="A320" s="199"/>
      <c r="B320" s="199"/>
      <c r="C320" s="199"/>
      <c r="D320" s="199"/>
      <c r="E320" s="199"/>
      <c r="F320" s="21" t="s">
        <v>247</v>
      </c>
      <c r="G320" s="22" t="s">
        <v>254</v>
      </c>
      <c r="H320" s="184"/>
      <c r="I320" s="23">
        <f ca="1">I319*労務費経費単価SC!D$7</f>
        <v>0</v>
      </c>
      <c r="J320" s="23">
        <f ca="1">J319*労務費経費単価SC!D$11</f>
        <v>0</v>
      </c>
      <c r="K320" s="22">
        <f ca="1">K319*$E319</f>
        <v>0</v>
      </c>
      <c r="L320" s="22">
        <f ca="1">L319*$E319</f>
        <v>0</v>
      </c>
      <c r="M320" s="22">
        <f t="shared" ref="M320" ca="1" si="1093">M319*$E319</f>
        <v>0</v>
      </c>
      <c r="N320" s="22">
        <f t="shared" ref="N320" ca="1" si="1094">N319*$E319</f>
        <v>0</v>
      </c>
      <c r="O320" s="22">
        <f t="shared" ref="O320" ca="1" si="1095">O319*$E319</f>
        <v>0</v>
      </c>
      <c r="P320" s="22">
        <f t="shared" ref="P320" ca="1" si="1096">P319*$E319</f>
        <v>0</v>
      </c>
      <c r="Q320" s="22">
        <f t="shared" ref="Q320" ca="1" si="1097">Q319*$E319</f>
        <v>0</v>
      </c>
      <c r="R320" s="22">
        <f t="shared" ref="R320" ca="1" si="1098">R319*$E319</f>
        <v>0</v>
      </c>
      <c r="S320" s="22">
        <f t="shared" ref="S320" ca="1" si="1099">S319*$E319</f>
        <v>0</v>
      </c>
      <c r="U320" s="17"/>
      <c r="V320" s="18"/>
      <c r="W320" s="19"/>
      <c r="X320" s="20"/>
    </row>
    <row r="321" spans="1:24">
      <c r="A321" s="211" t="s">
        <v>364</v>
      </c>
      <c r="B321" s="211">
        <v>31</v>
      </c>
      <c r="C321" s="199" t="s">
        <v>365</v>
      </c>
      <c r="D321" s="199" t="str">
        <f>VLOOKUP(C321,'仕掛品名寄（貼付）'!B:C,2,FALSE)</f>
        <v>R</v>
      </c>
      <c r="E321" s="199">
        <f>VLOOKUP(D321,'仕掛品標準単価一覧表（貼付）'!B:G,6,FALSE)</f>
        <v>908</v>
      </c>
      <c r="F321" s="12" t="s">
        <v>246</v>
      </c>
      <c r="G321" s="13">
        <v>1042</v>
      </c>
      <c r="H321" s="13">
        <f ca="1">SUMIF('1.3②原材料使用'!B:E,C321,'1.3②原材料使用'!E:E)</f>
        <v>0</v>
      </c>
      <c r="I321" s="13">
        <f ca="1">SUMIF('2.10原液別作業時間'!A:B,C321,'2.10原液別作業時間'!B:B)</f>
        <v>0</v>
      </c>
      <c r="J321" s="13">
        <f ca="1">SUM(G321:H321,K321)</f>
        <v>1042</v>
      </c>
      <c r="K321" s="13">
        <f ca="1">SUMIF('2.2⑤純増減→前工程費'!B:E,C321,'2.2⑤純増減→前工程費'!E:E)</f>
        <v>0</v>
      </c>
      <c r="L321" s="13">
        <f ca="1">SUMIF('2.6完成品'!C:D,C321,'2.6完成品'!D:D)</f>
        <v>0</v>
      </c>
      <c r="M321" s="13">
        <f ca="1">SUMIF('2.3研究費'!D:E,C321,'2.3研究費'!E:E)</f>
        <v>0</v>
      </c>
      <c r="N321" s="13">
        <f ca="1">SUMIF('2.4販促費'!D:E,C321,'2.4販促費'!E:E)</f>
        <v>0</v>
      </c>
      <c r="O321" s="13">
        <f ca="1">SUMIF('2.5廃棄処分'!D:E,C321,'2.5廃棄処分'!E:E)</f>
        <v>0</v>
      </c>
      <c r="P321" s="13">
        <f ca="1">SUMIF('2.1④異種原液'!D:E,C321,'2.1④異種原液'!E:E)</f>
        <v>0</v>
      </c>
      <c r="Q321" s="14">
        <f ca="1">SUMIF('2.7製造部生産分'!D:I,C321,'2.7製造部生産分'!H:H)</f>
        <v>0</v>
      </c>
      <c r="R321" s="15">
        <f ca="1">-(G321+H321+K321-L321-M321-N321-O321-P321-Q321-S321)</f>
        <v>0</v>
      </c>
      <c r="S321" s="13">
        <f ca="1">SUMIF('2.9原液在庫'!B:H,C321,'2.9原液在庫'!H:H)</f>
        <v>1042</v>
      </c>
      <c r="T321" s="16">
        <f ca="1">IFERROR(SUM(G322:K322)/(G321+H321+K321),0)</f>
        <v>977.53550817905739</v>
      </c>
      <c r="U321" s="17" t="str">
        <f>C321</f>
        <v>31R</v>
      </c>
      <c r="V321" s="18">
        <f ca="1">IF(ISERROR(SUM(G322:K322)/SUM(L321:Q321,S321)),0,SUM(G322:K322)/SUM(L321:Q321,S321))</f>
        <v>977.53550817905739</v>
      </c>
      <c r="W321" s="19">
        <f ca="1">V321</f>
        <v>977.53550817905739</v>
      </c>
      <c r="X321" s="20">
        <f ca="1">W321/1000</f>
        <v>0.97753550817905743</v>
      </c>
    </row>
    <row r="322" spans="1:24">
      <c r="A322" s="212"/>
      <c r="B322" s="212"/>
      <c r="C322" s="199"/>
      <c r="D322" s="199"/>
      <c r="E322" s="199"/>
      <c r="F322" s="21" t="s">
        <v>247</v>
      </c>
      <c r="G322" s="22">
        <v>987331.99952257785</v>
      </c>
      <c r="H322" s="184"/>
      <c r="I322" s="23">
        <f ca="1">I321*労務費経費単価SC!D$7</f>
        <v>0</v>
      </c>
      <c r="J322" s="23">
        <f ca="1">J321*労務費経費単価SC!D$11</f>
        <v>31260</v>
      </c>
      <c r="K322" s="22">
        <f ca="1">K321*$E321</f>
        <v>0</v>
      </c>
      <c r="L322" s="22">
        <f ca="1">L321*$E321</f>
        <v>0</v>
      </c>
      <c r="M322" s="22">
        <f t="shared" ref="M322" ca="1" si="1100">M321*$E321</f>
        <v>0</v>
      </c>
      <c r="N322" s="22">
        <f t="shared" ref="N322" ca="1" si="1101">N321*$E321</f>
        <v>0</v>
      </c>
      <c r="O322" s="22">
        <f t="shared" ref="O322" ca="1" si="1102">O321*$E321</f>
        <v>0</v>
      </c>
      <c r="P322" s="22">
        <f t="shared" ref="P322" ca="1" si="1103">P321*$E321</f>
        <v>0</v>
      </c>
      <c r="Q322" s="22">
        <f t="shared" ref="Q322" ca="1" si="1104">Q321*$E321</f>
        <v>0</v>
      </c>
      <c r="R322" s="22">
        <f t="shared" ref="R322" ca="1" si="1105">R321*$E321</f>
        <v>0</v>
      </c>
      <c r="S322" s="22">
        <f t="shared" ref="S322" ca="1" si="1106">S321*$E321</f>
        <v>946136</v>
      </c>
      <c r="U322" s="17"/>
      <c r="V322" s="18"/>
      <c r="W322" s="19"/>
      <c r="X322" s="20"/>
    </row>
    <row r="323" spans="1:24">
      <c r="A323" s="212"/>
      <c r="B323" s="212"/>
      <c r="C323" s="206" t="s">
        <v>366</v>
      </c>
      <c r="D323" s="199" t="str">
        <f>VLOOKUP(C323,'仕掛品名寄（貼付）'!B:C,2,FALSE)</f>
        <v>Rシ</v>
      </c>
      <c r="E323" s="199">
        <f>VLOOKUP(D323,'仕掛品標準単価一覧表（貼付）'!B:G,6,FALSE)</f>
        <v>991</v>
      </c>
      <c r="F323" s="12" t="s">
        <v>246</v>
      </c>
      <c r="G323" s="13">
        <v>0</v>
      </c>
      <c r="H323" s="13">
        <f ca="1">SUMIF('1.3②原材料使用'!B:E,C323,'1.3②原材料使用'!E:E)</f>
        <v>0</v>
      </c>
      <c r="I323" s="13">
        <f ca="1">SUMIF('2.10原液別作業時間'!A:B,C323,'2.10原液別作業時間'!B:B)</f>
        <v>0</v>
      </c>
      <c r="J323" s="13">
        <f ca="1">SUM(G323:H323,K323)</f>
        <v>0</v>
      </c>
      <c r="K323" s="13">
        <f ca="1">SUMIF('2.2⑤純増減→前工程費'!B:E,C323,'2.2⑤純増減→前工程費'!E:E)</f>
        <v>0</v>
      </c>
      <c r="L323" s="13">
        <f ca="1">SUMIF('2.6完成品'!C:D,C323,'2.6完成品'!D:D)</f>
        <v>0</v>
      </c>
      <c r="M323" s="13">
        <f ca="1">SUMIF('2.3研究費'!D:E,C323,'2.3研究費'!E:E)</f>
        <v>0</v>
      </c>
      <c r="N323" s="13">
        <f ca="1">SUMIF('2.4販促費'!D:E,C323,'2.4販促費'!E:E)</f>
        <v>0</v>
      </c>
      <c r="O323" s="13">
        <f ca="1">SUMIF('2.5廃棄処分'!D:E,C323,'2.5廃棄処分'!E:E)</f>
        <v>0</v>
      </c>
      <c r="P323" s="13">
        <f ca="1">SUMIF('2.1④異種原液'!D:E,C323,'2.1④異種原液'!E:E)</f>
        <v>0</v>
      </c>
      <c r="Q323" s="14">
        <f ca="1">SUMIF('2.7製造部生産分'!D:I,C323,'2.7製造部生産分'!H:H)</f>
        <v>0</v>
      </c>
      <c r="R323" s="15">
        <f ca="1">-(G323+H323+K323-L323-M323-N323-O323-P323-Q323-S323)</f>
        <v>0</v>
      </c>
      <c r="S323" s="13">
        <f ca="1">SUMIF('2.9原液在庫'!B:H,C323,'2.9原液在庫'!H:H)</f>
        <v>0</v>
      </c>
      <c r="T323" s="16">
        <f ca="1">IFERROR(SUM(G324:K324)/(G323+H323+K323),0)</f>
        <v>0</v>
      </c>
      <c r="U323" s="17" t="str">
        <f>C323</f>
        <v>31Rｼ</v>
      </c>
      <c r="V323" s="18">
        <f ca="1">IF(ISERROR(SUM(G324:K324)/SUM(L323:Q323,S323)),0,SUM(G324:K324)/SUM(L323:Q323,S323))</f>
        <v>0</v>
      </c>
      <c r="W323" s="19">
        <f ca="1">V323</f>
        <v>0</v>
      </c>
      <c r="X323" s="20">
        <f ca="1">W323/1000</f>
        <v>0</v>
      </c>
    </row>
    <row r="324" spans="1:24">
      <c r="A324" s="212"/>
      <c r="B324" s="212"/>
      <c r="C324" s="199"/>
      <c r="D324" s="199"/>
      <c r="E324" s="199"/>
      <c r="F324" s="21" t="s">
        <v>247</v>
      </c>
      <c r="G324" s="22" t="s">
        <v>254</v>
      </c>
      <c r="H324" s="184"/>
      <c r="I324" s="23">
        <f ca="1">I323*労務費経費単価SC!D$7</f>
        <v>0</v>
      </c>
      <c r="J324" s="23">
        <f ca="1">J323*労務費経費単価SC!D$11</f>
        <v>0</v>
      </c>
      <c r="K324" s="22">
        <f ca="1">K323*$E323</f>
        <v>0</v>
      </c>
      <c r="L324" s="22">
        <f ca="1">L323*$E323</f>
        <v>0</v>
      </c>
      <c r="M324" s="22">
        <f t="shared" ref="M324" ca="1" si="1107">M323*$E323</f>
        <v>0</v>
      </c>
      <c r="N324" s="22">
        <f t="shared" ref="N324" ca="1" si="1108">N323*$E323</f>
        <v>0</v>
      </c>
      <c r="O324" s="22">
        <f t="shared" ref="O324" ca="1" si="1109">O323*$E323</f>
        <v>0</v>
      </c>
      <c r="P324" s="22">
        <f t="shared" ref="P324" ca="1" si="1110">P323*$E323</f>
        <v>0</v>
      </c>
      <c r="Q324" s="22">
        <f t="shared" ref="Q324" ca="1" si="1111">Q323*$E323</f>
        <v>0</v>
      </c>
      <c r="R324" s="22">
        <f t="shared" ref="R324" ca="1" si="1112">R323*$E323</f>
        <v>0</v>
      </c>
      <c r="S324" s="22">
        <f t="shared" ref="S324" ca="1" si="1113">S323*$E323</f>
        <v>0</v>
      </c>
      <c r="U324" s="17"/>
      <c r="V324" s="18"/>
      <c r="W324" s="19"/>
      <c r="X324" s="20"/>
    </row>
    <row r="325" spans="1:24">
      <c r="A325" s="212"/>
      <c r="B325" s="212"/>
      <c r="C325" s="206" t="s">
        <v>89</v>
      </c>
      <c r="D325" s="199" t="str">
        <f>VLOOKUP(C325,'仕掛品名寄（貼付）'!B:C,2,FALSE)</f>
        <v>その他</v>
      </c>
      <c r="E325" s="199">
        <f>VLOOKUP(D325,'仕掛品標準単価一覧表（貼付）'!B:G,6,FALSE)</f>
        <v>1080</v>
      </c>
      <c r="F325" s="12" t="s">
        <v>246</v>
      </c>
      <c r="G325" s="13">
        <v>0</v>
      </c>
      <c r="H325" s="13">
        <f ca="1">SUMIF('1.3②原材料使用'!B:E,C325,'1.3②原材料使用'!E:E)</f>
        <v>0</v>
      </c>
      <c r="I325" s="13">
        <f ca="1">SUMIF('2.10原液別作業時間'!A:B,C325,'2.10原液別作業時間'!B:B)</f>
        <v>0</v>
      </c>
      <c r="J325" s="13">
        <f ca="1">SUM(G325:H325,K325)</f>
        <v>0</v>
      </c>
      <c r="K325" s="13">
        <f ca="1">SUMIF('2.2⑤純増減→前工程費'!B:E,C325,'2.2⑤純増減→前工程費'!E:E)</f>
        <v>0</v>
      </c>
      <c r="L325" s="13">
        <f ca="1">SUMIF('2.6完成品'!C:D,C325,'2.6完成品'!D:D)</f>
        <v>0</v>
      </c>
      <c r="M325" s="13">
        <f ca="1">SUMIF('2.3研究費'!D:E,C325,'2.3研究費'!E:E)</f>
        <v>0</v>
      </c>
      <c r="N325" s="13">
        <f ca="1">SUMIF('2.4販促費'!D:E,C325,'2.4販促費'!E:E)</f>
        <v>0</v>
      </c>
      <c r="O325" s="13">
        <f ca="1">SUMIF('2.5廃棄処分'!D:E,C325,'2.5廃棄処分'!E:E)</f>
        <v>0</v>
      </c>
      <c r="P325" s="13">
        <f ca="1">SUMIF('2.1④異種原液'!D:E,C325,'2.1④異種原液'!E:E)</f>
        <v>0</v>
      </c>
      <c r="Q325" s="14">
        <f ca="1">SUMIF('2.7製造部生産分'!D:I,C325,'2.7製造部生産分'!H:H)</f>
        <v>0</v>
      </c>
      <c r="R325" s="15">
        <f ca="1">-(G325+H325+K325-L325-M325-N325-O325-P325-Q325-S325)</f>
        <v>0</v>
      </c>
      <c r="S325" s="13">
        <f ca="1">SUMIF('2.9原液在庫'!B:H,C325,'2.9原液在庫'!H:H)</f>
        <v>0</v>
      </c>
      <c r="T325" s="16">
        <f ca="1">IFERROR(SUM(G326:K326)/(G325+H325+K325),0)</f>
        <v>0</v>
      </c>
      <c r="U325" s="17" t="str">
        <f>C325</f>
        <v>31RAｼ</v>
      </c>
      <c r="V325" s="18">
        <f ca="1">IF(ISERROR(SUM(G326:K326)/SUM(L325:Q325,S325)),0,SUM(G326:K326)/SUM(L325:Q325,S325))</f>
        <v>0</v>
      </c>
      <c r="W325" s="19">
        <f ca="1">V325</f>
        <v>0</v>
      </c>
      <c r="X325" s="20">
        <f ca="1">W325/1000</f>
        <v>0</v>
      </c>
    </row>
    <row r="326" spans="1:24">
      <c r="A326" s="212"/>
      <c r="B326" s="212"/>
      <c r="C326" s="199"/>
      <c r="D326" s="199"/>
      <c r="E326" s="199"/>
      <c r="F326" s="21" t="s">
        <v>247</v>
      </c>
      <c r="G326" s="22" t="s">
        <v>254</v>
      </c>
      <c r="H326" s="184"/>
      <c r="I326" s="23">
        <f ca="1">I325*労務費経費単価SC!D$7</f>
        <v>0</v>
      </c>
      <c r="J326" s="23">
        <f ca="1">J325*労務費経費単価SC!D$11</f>
        <v>0</v>
      </c>
      <c r="K326" s="22">
        <f ca="1">K325*$E325</f>
        <v>0</v>
      </c>
      <c r="L326" s="22">
        <f ca="1">L325*$E325</f>
        <v>0</v>
      </c>
      <c r="M326" s="22">
        <f t="shared" ref="M326" ca="1" si="1114">M325*$E325</f>
        <v>0</v>
      </c>
      <c r="N326" s="22">
        <f t="shared" ref="N326" ca="1" si="1115">N325*$E325</f>
        <v>0</v>
      </c>
      <c r="O326" s="22">
        <f t="shared" ref="O326" ca="1" si="1116">O325*$E325</f>
        <v>0</v>
      </c>
      <c r="P326" s="22">
        <f t="shared" ref="P326" ca="1" si="1117">P325*$E325</f>
        <v>0</v>
      </c>
      <c r="Q326" s="22">
        <f t="shared" ref="Q326" ca="1" si="1118">Q325*$E325</f>
        <v>0</v>
      </c>
      <c r="R326" s="22">
        <f t="shared" ref="R326" ca="1" si="1119">R325*$E325</f>
        <v>0</v>
      </c>
      <c r="S326" s="22">
        <f t="shared" ref="S326" ca="1" si="1120">S325*$E325</f>
        <v>0</v>
      </c>
      <c r="U326" s="17"/>
      <c r="V326" s="18"/>
      <c r="W326" s="19"/>
      <c r="X326" s="20"/>
    </row>
    <row r="327" spans="1:24">
      <c r="A327" s="212"/>
      <c r="B327" s="212"/>
      <c r="C327" s="199" t="s">
        <v>367</v>
      </c>
      <c r="D327" s="199" t="str">
        <f>VLOOKUP(C327,'仕掛品名寄（貼付）'!B:C,2,FALSE)</f>
        <v>RX</v>
      </c>
      <c r="E327" s="199">
        <f>VLOOKUP(D327,'仕掛品標準単価一覧表（貼付）'!B:G,6,FALSE)</f>
        <v>847</v>
      </c>
      <c r="F327" s="12" t="s">
        <v>246</v>
      </c>
      <c r="G327" s="13">
        <v>0</v>
      </c>
      <c r="H327" s="13">
        <f ca="1">SUMIF('1.3②原材料使用'!B:E,C327,'1.3②原材料使用'!E:E)</f>
        <v>0</v>
      </c>
      <c r="I327" s="13">
        <f ca="1">SUMIF('2.10原液別作業時間'!A:B,C327,'2.10原液別作業時間'!B:B)</f>
        <v>0</v>
      </c>
      <c r="J327" s="13">
        <f ca="1">SUM(G327:H327,K327)</f>
        <v>0</v>
      </c>
      <c r="K327" s="13">
        <f ca="1">SUMIF('2.2⑤純増減→前工程費'!B:E,C327,'2.2⑤純増減→前工程費'!E:E)</f>
        <v>0</v>
      </c>
      <c r="L327" s="13">
        <f ca="1">SUMIF('2.6完成品'!C:D,C327,'2.6完成品'!D:D)</f>
        <v>0</v>
      </c>
      <c r="M327" s="13">
        <f ca="1">SUMIF('2.3研究費'!D:E,C327,'2.3研究費'!E:E)</f>
        <v>0</v>
      </c>
      <c r="N327" s="13">
        <f ca="1">SUMIF('2.4販促費'!D:E,C327,'2.4販促費'!E:E)</f>
        <v>0</v>
      </c>
      <c r="O327" s="13">
        <f ca="1">SUMIF('2.5廃棄処分'!D:E,C327,'2.5廃棄処分'!E:E)</f>
        <v>0</v>
      </c>
      <c r="P327" s="13">
        <f ca="1">SUMIF('2.1④異種原液'!D:E,C327,'2.1④異種原液'!E:E)</f>
        <v>0</v>
      </c>
      <c r="Q327" s="14">
        <f ca="1">SUMIF('2.7製造部生産分'!D:I,C327,'2.7製造部生産分'!H:H)</f>
        <v>0</v>
      </c>
      <c r="R327" s="15">
        <f ca="1">-(G327+H327+K327-L327-M327-N327-O327-P327-Q327-S327)</f>
        <v>0</v>
      </c>
      <c r="S327" s="13">
        <f ca="1">SUMIF('2.9原液在庫'!B:H,C327,'2.9原液在庫'!H:H)</f>
        <v>0</v>
      </c>
      <c r="T327" s="16">
        <f ca="1">IFERROR(SUM(G328:K328)/(G327+H327+K327),0)</f>
        <v>0</v>
      </c>
      <c r="U327" s="17" t="str">
        <f>C327</f>
        <v>31RX</v>
      </c>
      <c r="V327" s="18">
        <f ca="1">IF(ISERROR(SUM(G328:K328)/SUM(L327:Q327,S327)),0,SUM(G328:K328)/SUM(L327:Q327,S327))</f>
        <v>0</v>
      </c>
      <c r="W327" s="19">
        <f ca="1">V327</f>
        <v>0</v>
      </c>
      <c r="X327" s="20">
        <f ca="1">W327/1000</f>
        <v>0</v>
      </c>
    </row>
    <row r="328" spans="1:24">
      <c r="A328" s="201"/>
      <c r="B328" s="201"/>
      <c r="C328" s="199"/>
      <c r="D328" s="199"/>
      <c r="E328" s="199"/>
      <c r="F328" s="21" t="s">
        <v>247</v>
      </c>
      <c r="G328" s="22" t="s">
        <v>254</v>
      </c>
      <c r="H328" s="184"/>
      <c r="I328" s="23">
        <f ca="1">I327*労務費経費単価SC!D$7</f>
        <v>0</v>
      </c>
      <c r="J328" s="23">
        <f ca="1">J327*労務費経費単価SC!D$11</f>
        <v>0</v>
      </c>
      <c r="K328" s="22">
        <f ca="1">K327*$E327</f>
        <v>0</v>
      </c>
      <c r="L328" s="22">
        <f ca="1">L327*$E327</f>
        <v>0</v>
      </c>
      <c r="M328" s="22">
        <f t="shared" ref="M328" ca="1" si="1121">M327*$E327</f>
        <v>0</v>
      </c>
      <c r="N328" s="22">
        <f t="shared" ref="N328" ca="1" si="1122">N327*$E327</f>
        <v>0</v>
      </c>
      <c r="O328" s="22">
        <f t="shared" ref="O328" ca="1" si="1123">O327*$E327</f>
        <v>0</v>
      </c>
      <c r="P328" s="22">
        <f t="shared" ref="P328" ca="1" si="1124">P327*$E327</f>
        <v>0</v>
      </c>
      <c r="Q328" s="22">
        <f t="shared" ref="Q328" ca="1" si="1125">Q327*$E327</f>
        <v>0</v>
      </c>
      <c r="R328" s="22">
        <f t="shared" ref="R328" ca="1" si="1126">R327*$E327</f>
        <v>0</v>
      </c>
      <c r="S328" s="22">
        <f t="shared" ref="S328" ca="1" si="1127">S327*$E327</f>
        <v>0</v>
      </c>
      <c r="U328" s="17"/>
      <c r="V328" s="18"/>
      <c r="W328" s="19"/>
      <c r="X328" s="20"/>
    </row>
    <row r="329" spans="1:24">
      <c r="A329" s="199" t="s">
        <v>368</v>
      </c>
      <c r="B329" s="199">
        <v>32</v>
      </c>
      <c r="C329" s="199" t="s">
        <v>369</v>
      </c>
      <c r="D329" s="199" t="str">
        <f>VLOOKUP(C329,'仕掛品名寄（貼付）'!B:C,2,FALSE)</f>
        <v>R</v>
      </c>
      <c r="E329" s="199">
        <f>VLOOKUP(D329,'仕掛品標準単価一覧表（貼付）'!B:G,6,FALSE)</f>
        <v>908</v>
      </c>
      <c r="F329" s="12" t="s">
        <v>246</v>
      </c>
      <c r="G329" s="13">
        <v>1071</v>
      </c>
      <c r="H329" s="13">
        <f ca="1">SUMIF('1.3②原材料使用'!B:E,C329,'1.3②原材料使用'!E:E)</f>
        <v>0</v>
      </c>
      <c r="I329" s="13">
        <f ca="1">SUMIF('2.10原液別作業時間'!A:B,C329,'2.10原液別作業時間'!B:B)</f>
        <v>0</v>
      </c>
      <c r="J329" s="13">
        <f ca="1">SUM(G329:H329,K329)</f>
        <v>1071</v>
      </c>
      <c r="K329" s="13">
        <f ca="1">SUMIF('2.2⑤純増減→前工程費'!B:E,C329,'2.2⑤純増減→前工程費'!E:E)</f>
        <v>0</v>
      </c>
      <c r="L329" s="13">
        <f ca="1">SUMIF('2.6完成品'!C:D,C329,'2.6完成品'!D:D)</f>
        <v>0</v>
      </c>
      <c r="M329" s="13">
        <f ca="1">SUMIF('2.3研究費'!D:E,C329,'2.3研究費'!E:E)</f>
        <v>0</v>
      </c>
      <c r="N329" s="13">
        <f ca="1">SUMIF('2.4販促費'!D:E,C329,'2.4販促費'!E:E)</f>
        <v>0</v>
      </c>
      <c r="O329" s="13">
        <f ca="1">SUMIF('2.5廃棄処分'!D:E,C329,'2.5廃棄処分'!E:E)</f>
        <v>0</v>
      </c>
      <c r="P329" s="13">
        <f ca="1">SUMIF('2.1④異種原液'!D:E,C329,'2.1④異種原液'!E:E)</f>
        <v>0</v>
      </c>
      <c r="Q329" s="14">
        <f ca="1">SUMIF('2.7製造部生産分'!D:I,C329,'2.7製造部生産分'!H:H)</f>
        <v>0</v>
      </c>
      <c r="R329" s="15">
        <f ca="1">-(G329+H329+K329-L329-M329-N329-O329-P329-Q329-S329)</f>
        <v>0</v>
      </c>
      <c r="S329" s="13">
        <f ca="1">SUMIF('2.9原液在庫'!B:H,C329,'2.9原液在庫'!H:H)</f>
        <v>1071</v>
      </c>
      <c r="T329" s="16">
        <f ca="1">IFERROR(SUM(G330:K330)/(G329+H329+K329),0)</f>
        <v>1137.8517152908166</v>
      </c>
      <c r="U329" s="17" t="str">
        <f>C329</f>
        <v>32R</v>
      </c>
      <c r="V329" s="18">
        <f ca="1">IF(ISERROR(SUM(G330:K330)/SUM(L329:Q329,S329)),0,SUM(G330:K330)/SUM(L329:Q329,S329))</f>
        <v>1137.8517152908166</v>
      </c>
      <c r="W329" s="19">
        <f ca="1">V329</f>
        <v>1137.8517152908166</v>
      </c>
      <c r="X329" s="20">
        <f ca="1">W329/1000</f>
        <v>1.1378517152908165</v>
      </c>
    </row>
    <row r="330" spans="1:24">
      <c r="A330" s="199"/>
      <c r="B330" s="199"/>
      <c r="C330" s="199"/>
      <c r="D330" s="199"/>
      <c r="E330" s="199"/>
      <c r="F330" s="21" t="s">
        <v>247</v>
      </c>
      <c r="G330" s="22">
        <v>1186509.1870764645</v>
      </c>
      <c r="H330" s="184"/>
      <c r="I330" s="23">
        <f ca="1">I329*労務費経費単価SC!D$7</f>
        <v>0</v>
      </c>
      <c r="J330" s="23">
        <f ca="1">J329*労務費経費単価SC!D$11</f>
        <v>32130</v>
      </c>
      <c r="K330" s="22">
        <f ca="1">K329*$E329</f>
        <v>0</v>
      </c>
      <c r="L330" s="22">
        <f ca="1">L329*$E329</f>
        <v>0</v>
      </c>
      <c r="M330" s="22">
        <f t="shared" ref="M330" ca="1" si="1128">M329*$E329</f>
        <v>0</v>
      </c>
      <c r="N330" s="22">
        <f t="shared" ref="N330" ca="1" si="1129">N329*$E329</f>
        <v>0</v>
      </c>
      <c r="O330" s="22">
        <f t="shared" ref="O330" ca="1" si="1130">O329*$E329</f>
        <v>0</v>
      </c>
      <c r="P330" s="22">
        <f t="shared" ref="P330" ca="1" si="1131">P329*$E329</f>
        <v>0</v>
      </c>
      <c r="Q330" s="22">
        <f t="shared" ref="Q330" ca="1" si="1132">Q329*$E329</f>
        <v>0</v>
      </c>
      <c r="R330" s="22">
        <f t="shared" ref="R330" ca="1" si="1133">R329*$E329</f>
        <v>0</v>
      </c>
      <c r="S330" s="22">
        <f t="shared" ref="S330" ca="1" si="1134">S329*$E329</f>
        <v>972468</v>
      </c>
      <c r="U330" s="17"/>
      <c r="V330" s="18"/>
      <c r="W330" s="19"/>
      <c r="X330" s="20"/>
    </row>
    <row r="331" spans="1:24">
      <c r="A331" s="199"/>
      <c r="B331" s="199"/>
      <c r="C331" s="206" t="s">
        <v>370</v>
      </c>
      <c r="D331" s="199" t="str">
        <f>VLOOKUP(C331,'仕掛品名寄（貼付）'!B:C,2,FALSE)</f>
        <v>Rシ</v>
      </c>
      <c r="E331" s="199">
        <f>VLOOKUP(D331,'仕掛品標準単価一覧表（貼付）'!B:G,6,FALSE)</f>
        <v>991</v>
      </c>
      <c r="F331" s="12" t="s">
        <v>246</v>
      </c>
      <c r="G331" s="13">
        <v>0</v>
      </c>
      <c r="H331" s="13">
        <f ca="1">SUMIF('1.3②原材料使用'!B:E,C331,'1.3②原材料使用'!E:E)</f>
        <v>0</v>
      </c>
      <c r="I331" s="13">
        <f ca="1">SUMIF('2.10原液別作業時間'!A:B,C331,'2.10原液別作業時間'!B:B)</f>
        <v>0</v>
      </c>
      <c r="J331" s="13">
        <f ca="1">SUM(G331:H331,K331)</f>
        <v>0</v>
      </c>
      <c r="K331" s="13">
        <f ca="1">SUMIF('2.2⑤純増減→前工程費'!B:E,C331,'2.2⑤純増減→前工程費'!E:E)</f>
        <v>0</v>
      </c>
      <c r="L331" s="13">
        <f ca="1">SUMIF('2.6完成品'!C:D,C331,'2.6完成品'!D:D)</f>
        <v>0</v>
      </c>
      <c r="M331" s="13">
        <f ca="1">SUMIF('2.3研究費'!D:E,C331,'2.3研究費'!E:E)</f>
        <v>0</v>
      </c>
      <c r="N331" s="13">
        <f ca="1">SUMIF('2.4販促費'!D:E,C331,'2.4販促費'!E:E)</f>
        <v>0</v>
      </c>
      <c r="O331" s="13">
        <f ca="1">SUMIF('2.5廃棄処分'!D:E,C331,'2.5廃棄処分'!E:E)</f>
        <v>0</v>
      </c>
      <c r="P331" s="13">
        <f ca="1">SUMIF('2.1④異種原液'!D:E,C331,'2.1④異種原液'!E:E)</f>
        <v>0</v>
      </c>
      <c r="Q331" s="14">
        <f ca="1">SUMIF('2.7製造部生産分'!D:I,C331,'2.7製造部生産分'!H:H)</f>
        <v>0</v>
      </c>
      <c r="R331" s="15">
        <f ca="1">-(G331+H331+K331-L331-M331-N331-O331-P331-Q331-S331)</f>
        <v>0</v>
      </c>
      <c r="S331" s="13">
        <f ca="1">SUMIF('2.9原液在庫'!B:H,C331,'2.9原液在庫'!H:H)</f>
        <v>0</v>
      </c>
      <c r="T331" s="16">
        <f ca="1">IFERROR(SUM(G332:K332)/(G331+H331+K331),0)</f>
        <v>0</v>
      </c>
      <c r="U331" s="17" t="str">
        <f>C331</f>
        <v>32Rｼ</v>
      </c>
      <c r="V331" s="18">
        <f ca="1">IF(ISERROR(SUM(G332:K332)/SUM(L331:Q331,S331)),0,SUM(G332:K332)/SUM(L331:Q331,S331))</f>
        <v>0</v>
      </c>
      <c r="W331" s="19">
        <f ca="1">V331</f>
        <v>0</v>
      </c>
      <c r="X331" s="20">
        <f ca="1">W331/1000</f>
        <v>0</v>
      </c>
    </row>
    <row r="332" spans="1:24">
      <c r="A332" s="199"/>
      <c r="B332" s="199"/>
      <c r="C332" s="199"/>
      <c r="D332" s="199"/>
      <c r="E332" s="199"/>
      <c r="F332" s="21" t="s">
        <v>247</v>
      </c>
      <c r="G332" s="22" t="s">
        <v>254</v>
      </c>
      <c r="H332" s="184"/>
      <c r="I332" s="23">
        <f ca="1">I331*労務費経費単価SC!D$7</f>
        <v>0</v>
      </c>
      <c r="J332" s="23">
        <f ca="1">J331*労務費経費単価SC!D$11</f>
        <v>0</v>
      </c>
      <c r="K332" s="22">
        <f ca="1">K331*$E331</f>
        <v>0</v>
      </c>
      <c r="L332" s="22">
        <f ca="1">L331*$E331</f>
        <v>0</v>
      </c>
      <c r="M332" s="22">
        <f t="shared" ref="M332" ca="1" si="1135">M331*$E331</f>
        <v>0</v>
      </c>
      <c r="N332" s="22">
        <f t="shared" ref="N332" ca="1" si="1136">N331*$E331</f>
        <v>0</v>
      </c>
      <c r="O332" s="22">
        <f t="shared" ref="O332" ca="1" si="1137">O331*$E331</f>
        <v>0</v>
      </c>
      <c r="P332" s="22">
        <f t="shared" ref="P332" ca="1" si="1138">P331*$E331</f>
        <v>0</v>
      </c>
      <c r="Q332" s="22">
        <f t="shared" ref="Q332" ca="1" si="1139">Q331*$E331</f>
        <v>0</v>
      </c>
      <c r="R332" s="22">
        <f t="shared" ref="R332" ca="1" si="1140">R331*$E331</f>
        <v>0</v>
      </c>
      <c r="S332" s="22">
        <f t="shared" ref="S332" ca="1" si="1141">S331*$E331</f>
        <v>0</v>
      </c>
      <c r="U332" s="17"/>
      <c r="V332" s="18"/>
      <c r="W332" s="19"/>
      <c r="X332" s="20"/>
    </row>
    <row r="333" spans="1:24">
      <c r="A333" s="199"/>
      <c r="B333" s="199"/>
      <c r="C333" s="199" t="s">
        <v>371</v>
      </c>
      <c r="D333" s="199" t="str">
        <f>VLOOKUP(C333,'仕掛品名寄（貼付）'!B:C,2,FALSE)</f>
        <v>その他</v>
      </c>
      <c r="E333" s="199">
        <f>VLOOKUP(D333,'仕掛品標準単価一覧表（貼付）'!B:G,6,FALSE)</f>
        <v>1080</v>
      </c>
      <c r="F333" s="12" t="s">
        <v>246</v>
      </c>
      <c r="G333" s="24">
        <v>0</v>
      </c>
      <c r="H333" s="13">
        <f ca="1">SUMIF('1.3②原材料使用'!B:E,C333,'1.3②原材料使用'!E:E)</f>
        <v>0</v>
      </c>
      <c r="I333" s="13">
        <f ca="1">SUMIF('2.10原液別作業時間'!A:B,C333,'2.10原液別作業時間'!B:B)</f>
        <v>0</v>
      </c>
      <c r="J333" s="13">
        <f ca="1">SUM(G333:H333,K333)</f>
        <v>0</v>
      </c>
      <c r="K333" s="13">
        <f ca="1">SUMIF('2.2⑤純増減→前工程費'!B:E,C333,'2.2⑤純増減→前工程費'!E:E)</f>
        <v>0</v>
      </c>
      <c r="L333" s="13">
        <f ca="1">SUMIF('2.6完成品'!C:D,C333,'2.6完成品'!D:D)</f>
        <v>0</v>
      </c>
      <c r="M333" s="13">
        <f ca="1">SUMIF('2.3研究費'!D:E,C333,'2.3研究費'!E:E)</f>
        <v>0</v>
      </c>
      <c r="N333" s="13">
        <f ca="1">SUMIF('2.4販促費'!D:E,C333,'2.4販促費'!E:E)</f>
        <v>0</v>
      </c>
      <c r="O333" s="13">
        <f ca="1">SUMIF('2.5廃棄処分'!D:E,C333,'2.5廃棄処分'!E:E)</f>
        <v>0</v>
      </c>
      <c r="P333" s="13">
        <f ca="1">SUMIF('2.1④異種原液'!D:E,C333,'2.1④異種原液'!E:E)</f>
        <v>0</v>
      </c>
      <c r="Q333" s="14">
        <f ca="1">SUMIF('2.7製造部生産分'!D:I,C333,'2.7製造部生産分'!H:H)</f>
        <v>0</v>
      </c>
      <c r="R333" s="15">
        <f ca="1">-(G333+H333+K333-L333-M333-N333-O333-P333-Q333-S333)</f>
        <v>0</v>
      </c>
      <c r="S333" s="13">
        <f ca="1">SUMIF('2.9原液在庫'!B:H,C333,'2.9原液在庫'!H:H)</f>
        <v>0</v>
      </c>
      <c r="T333" s="16">
        <f ca="1">IFERROR(SUM(G334:K334)/(G333+H333+K333),0)</f>
        <v>0</v>
      </c>
      <c r="U333" s="17" t="str">
        <f>C333</f>
        <v>32Rﾍﾞ</v>
      </c>
      <c r="V333" s="18">
        <f ca="1">IF(ISERROR(SUM(G334:K334)/SUM(L333:Q333,S333)),0,SUM(G334:K334)/SUM(L333:Q333,S333))</f>
        <v>0</v>
      </c>
      <c r="W333" s="19">
        <f ca="1">V333</f>
        <v>0</v>
      </c>
      <c r="X333" s="20">
        <f ca="1">W333/1000</f>
        <v>0</v>
      </c>
    </row>
    <row r="334" spans="1:24">
      <c r="A334" s="199"/>
      <c r="B334" s="199"/>
      <c r="C334" s="199"/>
      <c r="D334" s="199"/>
      <c r="E334" s="199"/>
      <c r="F334" s="21" t="s">
        <v>247</v>
      </c>
      <c r="G334" s="22" t="s">
        <v>254</v>
      </c>
      <c r="H334" s="184"/>
      <c r="I334" s="23">
        <f ca="1">I333*労務費経費単価SC!D$7</f>
        <v>0</v>
      </c>
      <c r="J334" s="23">
        <f ca="1">J333*労務費経費単価SC!D$11</f>
        <v>0</v>
      </c>
      <c r="K334" s="22">
        <f ca="1">K333*$E333</f>
        <v>0</v>
      </c>
      <c r="L334" s="22">
        <f ca="1">L333*$E333</f>
        <v>0</v>
      </c>
      <c r="M334" s="22">
        <f t="shared" ref="M334" ca="1" si="1142">M333*$E333</f>
        <v>0</v>
      </c>
      <c r="N334" s="22">
        <f t="shared" ref="N334" ca="1" si="1143">N333*$E333</f>
        <v>0</v>
      </c>
      <c r="O334" s="22">
        <f t="shared" ref="O334" ca="1" si="1144">O333*$E333</f>
        <v>0</v>
      </c>
      <c r="P334" s="22">
        <f t="shared" ref="P334" ca="1" si="1145">P333*$E333</f>
        <v>0</v>
      </c>
      <c r="Q334" s="22">
        <f t="shared" ref="Q334" ca="1" si="1146">Q333*$E333</f>
        <v>0</v>
      </c>
      <c r="R334" s="22">
        <f t="shared" ref="R334" ca="1" si="1147">R333*$E333</f>
        <v>0</v>
      </c>
      <c r="S334" s="22">
        <f t="shared" ref="S334" ca="1" si="1148">S333*$E333</f>
        <v>0</v>
      </c>
      <c r="U334" s="17"/>
      <c r="V334" s="18"/>
      <c r="W334" s="19"/>
      <c r="X334" s="20"/>
    </row>
    <row r="335" spans="1:24">
      <c r="A335" s="211" t="s">
        <v>372</v>
      </c>
      <c r="B335" s="211">
        <v>33</v>
      </c>
      <c r="C335" s="211" t="s">
        <v>373</v>
      </c>
      <c r="D335" s="199" t="str">
        <f>VLOOKUP(C335,'仕掛品名寄（貼付）'!B:C,2,FALSE)</f>
        <v>R</v>
      </c>
      <c r="E335" s="199">
        <f>VLOOKUP(D335,'仕掛品標準単価一覧表（貼付）'!B:G,6,FALSE)</f>
        <v>908</v>
      </c>
      <c r="F335" s="12" t="s">
        <v>246</v>
      </c>
      <c r="G335" s="24">
        <v>534.5</v>
      </c>
      <c r="H335" s="13">
        <f ca="1">SUMIF('1.3②原材料使用'!B:E,C335,'1.3②原材料使用'!E:E)</f>
        <v>0</v>
      </c>
      <c r="I335" s="13">
        <f ca="1">SUMIF('2.10原液別作業時間'!A:B,C335,'2.10原液別作業時間'!B:B)</f>
        <v>0</v>
      </c>
      <c r="J335" s="13">
        <f ca="1">SUM(G335:H335,K335)</f>
        <v>534.5</v>
      </c>
      <c r="K335" s="13">
        <f ca="1">SUMIF('2.2⑤純増減→前工程費'!B:E,C335,'2.2⑤純増減→前工程費'!E:E)</f>
        <v>0</v>
      </c>
      <c r="L335" s="13">
        <f ca="1">SUMIF('2.6完成品'!C:D,C335,'2.6完成品'!D:D)</f>
        <v>0</v>
      </c>
      <c r="M335" s="13">
        <f ca="1">SUMIF('2.3研究費'!D:E,C335,'2.3研究費'!E:E)</f>
        <v>0</v>
      </c>
      <c r="N335" s="13">
        <f ca="1">SUMIF('2.4販促費'!D:E,C335,'2.4販促費'!E:E)</f>
        <v>0</v>
      </c>
      <c r="O335" s="13">
        <f ca="1">SUMIF('2.5廃棄処分'!D:E,C335,'2.5廃棄処分'!E:E)</f>
        <v>0</v>
      </c>
      <c r="P335" s="13">
        <f ca="1">SUMIF('2.1④異種原液'!D:E,C335,'2.1④異種原液'!E:E)</f>
        <v>0</v>
      </c>
      <c r="Q335" s="14">
        <f ca="1">SUMIF('2.7製造部生産分'!D:I,C335,'2.7製造部生産分'!H:H)</f>
        <v>0</v>
      </c>
      <c r="R335" s="15">
        <f ca="1">-(G335+H335+K335-L335-M335-N335-O335-P335-Q335-S335)</f>
        <v>0</v>
      </c>
      <c r="S335" s="13">
        <f ca="1">SUMIF('2.9原液在庫'!B:H,C335,'2.9原液在庫'!H:H)</f>
        <v>534.5</v>
      </c>
      <c r="T335" s="16">
        <f ca="1">IFERROR(SUM(G336:K336)/(G335+H335+K335),0)</f>
        <v>1327.88988284219</v>
      </c>
      <c r="U335" s="17" t="str">
        <f>C335</f>
        <v>33R</v>
      </c>
      <c r="V335" s="18">
        <f ca="1">IF(ISERROR(SUM(G336:K336)/SUM(L335:Q335,S335)),0,SUM(G336:K336)/SUM(L335:Q335,S335))</f>
        <v>1327.88988284219</v>
      </c>
      <c r="W335" s="19">
        <f ca="1">V335</f>
        <v>1327.88988284219</v>
      </c>
      <c r="X335" s="20">
        <f ca="1">W335/1000</f>
        <v>1.3278898828421899</v>
      </c>
    </row>
    <row r="336" spans="1:24">
      <c r="A336" s="212"/>
      <c r="B336" s="212"/>
      <c r="C336" s="201"/>
      <c r="D336" s="199"/>
      <c r="E336" s="199"/>
      <c r="F336" s="21" t="s">
        <v>247</v>
      </c>
      <c r="G336" s="22">
        <v>693722.14237915061</v>
      </c>
      <c r="H336" s="184"/>
      <c r="I336" s="23">
        <f ca="1">I335*労務費経費単価SC!D$7</f>
        <v>0</v>
      </c>
      <c r="J336" s="23">
        <f ca="1">J335*労務費経費単価SC!D$11</f>
        <v>16035</v>
      </c>
      <c r="K336" s="22">
        <f ca="1">K335*$E335</f>
        <v>0</v>
      </c>
      <c r="L336" s="22">
        <f ca="1">L335*$E335</f>
        <v>0</v>
      </c>
      <c r="M336" s="22">
        <f t="shared" ref="M336" ca="1" si="1149">M335*$E335</f>
        <v>0</v>
      </c>
      <c r="N336" s="22">
        <f t="shared" ref="N336" ca="1" si="1150">N335*$E335</f>
        <v>0</v>
      </c>
      <c r="O336" s="22">
        <f t="shared" ref="O336" ca="1" si="1151">O335*$E335</f>
        <v>0</v>
      </c>
      <c r="P336" s="22">
        <f t="shared" ref="P336" ca="1" si="1152">P335*$E335</f>
        <v>0</v>
      </c>
      <c r="Q336" s="22">
        <f t="shared" ref="Q336" ca="1" si="1153">Q335*$E335</f>
        <v>0</v>
      </c>
      <c r="R336" s="22">
        <f t="shared" ref="R336" ca="1" si="1154">R335*$E335</f>
        <v>0</v>
      </c>
      <c r="S336" s="22">
        <f t="shared" ref="S336" ca="1" si="1155">S335*$E335</f>
        <v>485326</v>
      </c>
      <c r="U336" s="17"/>
      <c r="V336" s="18"/>
      <c r="W336" s="19"/>
      <c r="X336" s="20"/>
    </row>
    <row r="337" spans="1:24">
      <c r="A337" s="212"/>
      <c r="B337" s="212"/>
      <c r="C337" s="200" t="s">
        <v>374</v>
      </c>
      <c r="D337" s="199" t="str">
        <f>VLOOKUP(C337,'仕掛品名寄（貼付）'!B:C,2,FALSE)</f>
        <v>Rシ</v>
      </c>
      <c r="E337" s="199">
        <f>VLOOKUP(D337,'仕掛品標準単価一覧表（貼付）'!B:G,6,FALSE)</f>
        <v>991</v>
      </c>
      <c r="F337" s="12" t="s">
        <v>246</v>
      </c>
      <c r="G337" s="13">
        <v>0</v>
      </c>
      <c r="H337" s="13">
        <f ca="1">SUMIF('1.3②原材料使用'!B:E,C337,'1.3②原材料使用'!E:E)</f>
        <v>0</v>
      </c>
      <c r="I337" s="13">
        <f ca="1">SUMIF('2.10原液別作業時間'!A:B,C337,'2.10原液別作業時間'!B:B)</f>
        <v>0</v>
      </c>
      <c r="J337" s="13">
        <f ca="1">SUM(G337:H337,K337)</f>
        <v>0</v>
      </c>
      <c r="K337" s="13">
        <f ca="1">SUMIF('2.2⑤純増減→前工程費'!B:E,C337,'2.2⑤純増減→前工程費'!E:E)</f>
        <v>0</v>
      </c>
      <c r="L337" s="13">
        <f ca="1">SUMIF('2.6完成品'!C:D,C337,'2.6完成品'!D:D)</f>
        <v>0</v>
      </c>
      <c r="M337" s="13">
        <f ca="1">SUMIF('2.3研究費'!D:E,C337,'2.3研究費'!E:E)</f>
        <v>0</v>
      </c>
      <c r="N337" s="13">
        <f ca="1">SUMIF('2.4販促費'!D:E,C337,'2.4販促費'!E:E)</f>
        <v>0</v>
      </c>
      <c r="O337" s="13">
        <f ca="1">SUMIF('2.5廃棄処分'!D:E,C337,'2.5廃棄処分'!E:E)</f>
        <v>0</v>
      </c>
      <c r="P337" s="13">
        <f ca="1">SUMIF('2.1④異種原液'!D:E,C337,'2.1④異種原液'!E:E)</f>
        <v>0</v>
      </c>
      <c r="Q337" s="14">
        <f ca="1">SUMIF('2.7製造部生産分'!D:I,C337,'2.7製造部生産分'!H:H)</f>
        <v>0</v>
      </c>
      <c r="R337" s="15">
        <f ca="1">-(G337+H337+K337-L337-M337-N337-O337-P337-Q337-S337)</f>
        <v>0</v>
      </c>
      <c r="S337" s="13">
        <f ca="1">SUMIF('2.9原液在庫'!B:H,C337,'2.9原液在庫'!H:H)</f>
        <v>0</v>
      </c>
      <c r="T337" s="16">
        <f ca="1">IFERROR(SUM(G338:K338)/(G337+H337+K337),0)</f>
        <v>0</v>
      </c>
      <c r="U337" s="17" t="str">
        <f>C337</f>
        <v>33Rｼ</v>
      </c>
      <c r="V337" s="18">
        <f ca="1">IF(ISERROR(SUM(G338:K338)/SUM(L337:Q337,S337)),0,SUM(G338:K338)/SUM(L337:Q337,S337))</f>
        <v>0</v>
      </c>
      <c r="W337" s="19">
        <f ca="1">V337</f>
        <v>0</v>
      </c>
      <c r="X337" s="20">
        <f ca="1">W337/1000</f>
        <v>0</v>
      </c>
    </row>
    <row r="338" spans="1:24">
      <c r="A338" s="212"/>
      <c r="B338" s="212"/>
      <c r="C338" s="201"/>
      <c r="D338" s="199"/>
      <c r="E338" s="199"/>
      <c r="F338" s="21" t="s">
        <v>247</v>
      </c>
      <c r="G338" s="22" t="s">
        <v>254</v>
      </c>
      <c r="H338" s="184"/>
      <c r="I338" s="23">
        <f ca="1">I337*労務費経費単価SC!D$7</f>
        <v>0</v>
      </c>
      <c r="J338" s="23">
        <f ca="1">J337*労務費経費単価SC!D$11</f>
        <v>0</v>
      </c>
      <c r="K338" s="22">
        <f ca="1">K337*$E337</f>
        <v>0</v>
      </c>
      <c r="L338" s="22">
        <f ca="1">L337*$E337</f>
        <v>0</v>
      </c>
      <c r="M338" s="22">
        <f t="shared" ref="M338" ca="1" si="1156">M337*$E337</f>
        <v>0</v>
      </c>
      <c r="N338" s="22">
        <f t="shared" ref="N338" ca="1" si="1157">N337*$E337</f>
        <v>0</v>
      </c>
      <c r="O338" s="22">
        <f t="shared" ref="O338" ca="1" si="1158">O337*$E337</f>
        <v>0</v>
      </c>
      <c r="P338" s="22">
        <f t="shared" ref="P338" ca="1" si="1159">P337*$E337</f>
        <v>0</v>
      </c>
      <c r="Q338" s="22">
        <f t="shared" ref="Q338" ca="1" si="1160">Q337*$E337</f>
        <v>0</v>
      </c>
      <c r="R338" s="22">
        <f t="shared" ref="R338" ca="1" si="1161">R337*$E337</f>
        <v>0</v>
      </c>
      <c r="S338" s="22">
        <f t="shared" ref="S338" ca="1" si="1162">S337*$E337</f>
        <v>0</v>
      </c>
      <c r="U338" s="17"/>
      <c r="V338" s="18"/>
      <c r="W338" s="19"/>
      <c r="X338" s="20"/>
    </row>
    <row r="339" spans="1:24">
      <c r="A339" s="212"/>
      <c r="B339" s="212"/>
      <c r="C339" s="211" t="s">
        <v>91</v>
      </c>
      <c r="D339" s="199" t="str">
        <f>VLOOKUP(C339,'仕掛品名寄（貼付）'!B:C,2,FALSE)</f>
        <v>RX</v>
      </c>
      <c r="E339" s="199">
        <f>VLOOKUP(D339,'仕掛品標準単価一覧表（貼付）'!B:G,6,FALSE)</f>
        <v>847</v>
      </c>
      <c r="F339" s="12" t="s">
        <v>246</v>
      </c>
      <c r="G339" s="13">
        <v>0</v>
      </c>
      <c r="H339" s="13">
        <f ca="1">SUMIF('1.3②原材料使用'!B:E,C339,'1.3②原材料使用'!E:E)</f>
        <v>0</v>
      </c>
      <c r="I339" s="13">
        <f ca="1">SUMIF('2.10原液別作業時間'!A:B,C339,'2.10原液別作業時間'!B:B)</f>
        <v>0</v>
      </c>
      <c r="J339" s="13">
        <f ca="1">SUM(G339:H339,K339)</f>
        <v>0</v>
      </c>
      <c r="K339" s="13">
        <f ca="1">SUMIF('2.2⑤純増減→前工程費'!B:E,C339,'2.2⑤純増減→前工程費'!E:E)</f>
        <v>0</v>
      </c>
      <c r="L339" s="13">
        <f ca="1">SUMIF('2.6完成品'!C:D,C339,'2.6完成品'!D:D)</f>
        <v>0</v>
      </c>
      <c r="M339" s="13">
        <f ca="1">SUMIF('2.3研究費'!D:E,C339,'2.3研究費'!E:E)</f>
        <v>0</v>
      </c>
      <c r="N339" s="13">
        <f ca="1">SUMIF('2.4販促費'!D:E,C339,'2.4販促費'!E:E)</f>
        <v>0</v>
      </c>
      <c r="O339" s="13">
        <f ca="1">SUMIF('2.5廃棄処分'!D:E,C339,'2.5廃棄処分'!E:E)</f>
        <v>0</v>
      </c>
      <c r="P339" s="13">
        <f ca="1">SUMIF('2.1④異種原液'!D:E,C339,'2.1④異種原液'!E:E)</f>
        <v>0</v>
      </c>
      <c r="Q339" s="14">
        <f ca="1">SUMIF('2.7製造部生産分'!D:I,C339,'2.7製造部生産分'!H:H)</f>
        <v>0</v>
      </c>
      <c r="R339" s="15">
        <f ca="1">-(G339+H339+K339-L339-M339-N339-O339-P339-Q339-S339)</f>
        <v>0</v>
      </c>
      <c r="S339" s="13">
        <f ca="1">SUMIF('2.9原液在庫'!B:H,C339,'2.9原液在庫'!H:H)</f>
        <v>0</v>
      </c>
      <c r="T339" s="16">
        <f ca="1">IFERROR(SUM(G340:K340)/(G339+H339+K339),0)</f>
        <v>0</v>
      </c>
      <c r="U339" s="17" t="str">
        <f>C339</f>
        <v>33RX</v>
      </c>
      <c r="V339" s="18">
        <f ca="1">IF(ISERROR(SUM(G340:K340)/SUM(L339:Q339,S339)),0,SUM(G340:K340)/SUM(L339:Q339,S339))</f>
        <v>0</v>
      </c>
      <c r="W339" s="19">
        <f ca="1">V339</f>
        <v>0</v>
      </c>
      <c r="X339" s="20">
        <f ca="1">W339/1000</f>
        <v>0</v>
      </c>
    </row>
    <row r="340" spans="1:24">
      <c r="A340" s="201"/>
      <c r="B340" s="201"/>
      <c r="C340" s="201"/>
      <c r="D340" s="199"/>
      <c r="E340" s="199"/>
      <c r="F340" s="21" t="s">
        <v>247</v>
      </c>
      <c r="G340" s="22" t="s">
        <v>254</v>
      </c>
      <c r="H340" s="184"/>
      <c r="I340" s="23">
        <f ca="1">I339*労務費経費単価SC!D$7</f>
        <v>0</v>
      </c>
      <c r="J340" s="23">
        <f ca="1">J339*労務費経費単価SC!D$11</f>
        <v>0</v>
      </c>
      <c r="K340" s="22">
        <f ca="1">K339*$E339</f>
        <v>0</v>
      </c>
      <c r="L340" s="22">
        <f ca="1">L339*$E339</f>
        <v>0</v>
      </c>
      <c r="M340" s="22">
        <f t="shared" ref="M340" ca="1" si="1163">M339*$E339</f>
        <v>0</v>
      </c>
      <c r="N340" s="22">
        <f t="shared" ref="N340" ca="1" si="1164">N339*$E339</f>
        <v>0</v>
      </c>
      <c r="O340" s="22">
        <f t="shared" ref="O340" ca="1" si="1165">O339*$E339</f>
        <v>0</v>
      </c>
      <c r="P340" s="22">
        <f t="shared" ref="P340" ca="1" si="1166">P339*$E339</f>
        <v>0</v>
      </c>
      <c r="Q340" s="22">
        <f t="shared" ref="Q340" ca="1" si="1167">Q339*$E339</f>
        <v>0</v>
      </c>
      <c r="R340" s="22">
        <f t="shared" ref="R340" ca="1" si="1168">R339*$E339</f>
        <v>0</v>
      </c>
      <c r="S340" s="22">
        <f t="shared" ref="S340" ca="1" si="1169">S339*$E339</f>
        <v>0</v>
      </c>
      <c r="U340" s="17"/>
      <c r="V340" s="18"/>
      <c r="W340" s="19"/>
      <c r="X340" s="20"/>
    </row>
    <row r="341" spans="1:24">
      <c r="A341" s="211" t="s">
        <v>375</v>
      </c>
      <c r="B341" s="211">
        <v>34</v>
      </c>
      <c r="C341" s="211" t="s">
        <v>376</v>
      </c>
      <c r="D341" s="199" t="str">
        <f>VLOOKUP(C341,'仕掛品名寄（貼付）'!B:C,2,FALSE)</f>
        <v>R</v>
      </c>
      <c r="E341" s="199">
        <f>VLOOKUP(D341,'仕掛品標準単価一覧表（貼付）'!B:G,6,FALSE)</f>
        <v>908</v>
      </c>
      <c r="F341" s="12" t="s">
        <v>246</v>
      </c>
      <c r="G341" s="13">
        <v>1004</v>
      </c>
      <c r="H341" s="13">
        <f ca="1">SUMIF('1.3②原材料使用'!B:E,C341,'1.3②原材料使用'!E:E)</f>
        <v>0</v>
      </c>
      <c r="I341" s="13">
        <f ca="1">SUMIF('2.10原液別作業時間'!A:B,C341,'2.10原液別作業時間'!B:B)</f>
        <v>0</v>
      </c>
      <c r="J341" s="13">
        <f ca="1">SUM(G341:H341,K341)</f>
        <v>1004</v>
      </c>
      <c r="K341" s="13">
        <f ca="1">SUMIF('2.2⑤純増減→前工程費'!B:E,C341,'2.2⑤純増減→前工程費'!E:E)</f>
        <v>0</v>
      </c>
      <c r="L341" s="13">
        <f ca="1">SUMIF('2.6完成品'!C:D,C341,'2.6完成品'!D:D)</f>
        <v>0</v>
      </c>
      <c r="M341" s="13">
        <f ca="1">SUMIF('2.3研究費'!D:E,C341,'2.3研究費'!E:E)</f>
        <v>0</v>
      </c>
      <c r="N341" s="13">
        <f ca="1">SUMIF('2.4販促費'!D:E,C341,'2.4販促費'!E:E)</f>
        <v>0</v>
      </c>
      <c r="O341" s="13">
        <f ca="1">SUMIF('2.5廃棄処分'!D:E,C341,'2.5廃棄処分'!E:E)</f>
        <v>0</v>
      </c>
      <c r="P341" s="13">
        <f ca="1">SUMIF('2.1④異種原液'!D:E,C341,'2.1④異種原液'!E:E)</f>
        <v>0</v>
      </c>
      <c r="Q341" s="14">
        <f ca="1">SUMIF('2.7製造部生産分'!D:I,C341,'2.7製造部生産分'!H:H)</f>
        <v>0</v>
      </c>
      <c r="R341" s="15">
        <f ca="1">-(G341+H341+K341-L341-M341-N341-O341-P341-Q341-S341)</f>
        <v>-3</v>
      </c>
      <c r="S341" s="13">
        <f ca="1">SUMIF('2.9原液在庫'!B:H,C341,'2.9原液在庫'!H:H)</f>
        <v>1001</v>
      </c>
      <c r="T341" s="16">
        <f ca="1">IFERROR(SUM(G342:K342)/(G341+H341+K341),0)</f>
        <v>1337.6983526133399</v>
      </c>
      <c r="U341" s="17" t="str">
        <f>C341</f>
        <v>34R</v>
      </c>
      <c r="V341" s="18">
        <f ca="1">IF(ISERROR(SUM(G342:K342)/SUM(L341:Q341,S341)),0,SUM(G342:K342)/SUM(L341:Q341,S341))</f>
        <v>1341.7074385852081</v>
      </c>
      <c r="W341" s="19">
        <f ca="1">V341</f>
        <v>1341.7074385852081</v>
      </c>
      <c r="X341" s="20">
        <f ca="1">W341/1000</f>
        <v>1.3417074385852081</v>
      </c>
    </row>
    <row r="342" spans="1:24">
      <c r="A342" s="212"/>
      <c r="B342" s="212"/>
      <c r="C342" s="201"/>
      <c r="D342" s="199"/>
      <c r="E342" s="199"/>
      <c r="F342" s="21" t="s">
        <v>247</v>
      </c>
      <c r="G342" s="22">
        <v>1312929.1460237934</v>
      </c>
      <c r="H342" s="184"/>
      <c r="I342" s="23">
        <f ca="1">I341*労務費経費単価SC!D$7</f>
        <v>0</v>
      </c>
      <c r="J342" s="23">
        <f ca="1">J341*労務費経費単価SC!D$11</f>
        <v>30120</v>
      </c>
      <c r="K342" s="22">
        <f ca="1">K341*$E341</f>
        <v>0</v>
      </c>
      <c r="L342" s="22">
        <f ca="1">L341*$E341</f>
        <v>0</v>
      </c>
      <c r="M342" s="22">
        <f t="shared" ref="M342" ca="1" si="1170">M341*$E341</f>
        <v>0</v>
      </c>
      <c r="N342" s="22">
        <f t="shared" ref="N342" ca="1" si="1171">N341*$E341</f>
        <v>0</v>
      </c>
      <c r="O342" s="22">
        <f t="shared" ref="O342" ca="1" si="1172">O341*$E341</f>
        <v>0</v>
      </c>
      <c r="P342" s="22">
        <f t="shared" ref="P342" ca="1" si="1173">P341*$E341</f>
        <v>0</v>
      </c>
      <c r="Q342" s="22">
        <f t="shared" ref="Q342" ca="1" si="1174">Q341*$E341</f>
        <v>0</v>
      </c>
      <c r="R342" s="22">
        <f t="shared" ref="R342" ca="1" si="1175">R341*$E341</f>
        <v>-2724</v>
      </c>
      <c r="S342" s="22">
        <f t="shared" ref="S342" ca="1" si="1176">S341*$E341</f>
        <v>908908</v>
      </c>
      <c r="U342" s="17"/>
      <c r="V342" s="18"/>
      <c r="W342" s="19"/>
      <c r="X342" s="20"/>
    </row>
    <row r="343" spans="1:24">
      <c r="A343" s="212"/>
      <c r="B343" s="212"/>
      <c r="C343" s="200" t="s">
        <v>377</v>
      </c>
      <c r="D343" s="199" t="str">
        <f>VLOOKUP(C343,'仕掛品名寄（貼付）'!B:C,2,FALSE)</f>
        <v>Rシ</v>
      </c>
      <c r="E343" s="199">
        <f>VLOOKUP(D343,'仕掛品標準単価一覧表（貼付）'!B:G,6,FALSE)</f>
        <v>991</v>
      </c>
      <c r="F343" s="12" t="s">
        <v>246</v>
      </c>
      <c r="G343" s="24">
        <v>583.5</v>
      </c>
      <c r="H343" s="13">
        <f ca="1">SUMIF('1.3②原材料使用'!B:E,C343,'1.3②原材料使用'!E:E)</f>
        <v>0</v>
      </c>
      <c r="I343" s="13">
        <f ca="1">SUMIF('2.10原液別作業時間'!A:B,C343,'2.10原液別作業時間'!B:B)</f>
        <v>0</v>
      </c>
      <c r="J343" s="13">
        <f ca="1">SUM(G343:H343,K343)</f>
        <v>583.5</v>
      </c>
      <c r="K343" s="13">
        <f ca="1">SUMIF('2.2⑤純増減→前工程費'!B:E,C343,'2.2⑤純増減→前工程費'!E:E)</f>
        <v>0</v>
      </c>
      <c r="L343" s="13">
        <f ca="1">SUMIF('2.6完成品'!C:D,C343,'2.6完成品'!D:D)</f>
        <v>0</v>
      </c>
      <c r="M343" s="13">
        <f ca="1">SUMIF('2.3研究費'!D:E,C343,'2.3研究費'!E:E)</f>
        <v>0</v>
      </c>
      <c r="N343" s="13">
        <f ca="1">SUMIF('2.4販促費'!D:E,C343,'2.4販促費'!E:E)</f>
        <v>0</v>
      </c>
      <c r="O343" s="13">
        <f ca="1">SUMIF('2.5廃棄処分'!D:E,C343,'2.5廃棄処分'!E:E)</f>
        <v>0</v>
      </c>
      <c r="P343" s="13">
        <f ca="1">SUMIF('2.1④異種原液'!D:E,C343,'2.1④異種原液'!E:E)</f>
        <v>0</v>
      </c>
      <c r="Q343" s="14">
        <f ca="1">SUMIF('2.7製造部生産分'!D:I,C343,'2.7製造部生産分'!H:H)</f>
        <v>0</v>
      </c>
      <c r="R343" s="15">
        <f ca="1">-(G343+H343+K343-L343-M343-N343-O343-P343-Q343-S343)</f>
        <v>0</v>
      </c>
      <c r="S343" s="13">
        <f ca="1">SUMIF('2.9原液在庫'!B:H,C343,'2.9原液在庫'!H:H)</f>
        <v>583.5</v>
      </c>
      <c r="T343" s="16">
        <f ca="1">IFERROR(SUM(G344:K344)/(G343+H343+K343),0)</f>
        <v>8958.5984689680754</v>
      </c>
      <c r="U343" s="17" t="str">
        <f>C343</f>
        <v>34Rｼ</v>
      </c>
      <c r="V343" s="18">
        <f ca="1">IF(ISERROR(SUM(G344:K344)/SUM(L343:Q343,S343)),0,SUM(G344:K344)/SUM(L343:Q343,S343))</f>
        <v>8958.5984689680754</v>
      </c>
      <c r="W343" s="19">
        <f ca="1">V343</f>
        <v>8958.5984689680754</v>
      </c>
      <c r="X343" s="20">
        <f ca="1">W343/1000</f>
        <v>8.9585984689680753</v>
      </c>
    </row>
    <row r="344" spans="1:24">
      <c r="A344" s="201"/>
      <c r="B344" s="201"/>
      <c r="C344" s="201"/>
      <c r="D344" s="199"/>
      <c r="E344" s="199"/>
      <c r="F344" s="21" t="s">
        <v>247</v>
      </c>
      <c r="G344" s="22">
        <v>5209837.2066428717</v>
      </c>
      <c r="H344" s="184"/>
      <c r="I344" s="23">
        <f ca="1">I343*労務費経費単価SC!D$7</f>
        <v>0</v>
      </c>
      <c r="J344" s="23">
        <f ca="1">J343*労務費経費単価SC!D$11</f>
        <v>17505</v>
      </c>
      <c r="K344" s="22">
        <f ca="1">K343*$E343</f>
        <v>0</v>
      </c>
      <c r="L344" s="22">
        <f ca="1">L343*$E343</f>
        <v>0</v>
      </c>
      <c r="M344" s="22">
        <f t="shared" ref="M344" ca="1" si="1177">M343*$E343</f>
        <v>0</v>
      </c>
      <c r="N344" s="22">
        <f t="shared" ref="N344" ca="1" si="1178">N343*$E343</f>
        <v>0</v>
      </c>
      <c r="O344" s="22">
        <f t="shared" ref="O344" ca="1" si="1179">O343*$E343</f>
        <v>0</v>
      </c>
      <c r="P344" s="22">
        <f t="shared" ref="P344" ca="1" si="1180">P343*$E343</f>
        <v>0</v>
      </c>
      <c r="Q344" s="22">
        <f t="shared" ref="Q344" ca="1" si="1181">Q343*$E343</f>
        <v>0</v>
      </c>
      <c r="R344" s="22">
        <f t="shared" ref="R344" ca="1" si="1182">R343*$E343</f>
        <v>0</v>
      </c>
      <c r="S344" s="22">
        <f t="shared" ref="S344" ca="1" si="1183">S343*$E343</f>
        <v>578248.5</v>
      </c>
      <c r="U344" s="17"/>
      <c r="V344" s="18"/>
      <c r="W344" s="19"/>
      <c r="X344" s="20"/>
    </row>
    <row r="345" spans="1:24">
      <c r="A345" s="211" t="s">
        <v>378</v>
      </c>
      <c r="B345" s="211">
        <v>35</v>
      </c>
      <c r="C345" s="211" t="s">
        <v>379</v>
      </c>
      <c r="D345" s="199" t="str">
        <f>VLOOKUP(C345,'仕掛品名寄（貼付）'!B:C,2,FALSE)</f>
        <v>R</v>
      </c>
      <c r="E345" s="199">
        <f>VLOOKUP(D345,'仕掛品標準単価一覧表（貼付）'!B:G,6,FALSE)</f>
        <v>908</v>
      </c>
      <c r="F345" s="12" t="s">
        <v>246</v>
      </c>
      <c r="G345" s="24">
        <v>1106.5</v>
      </c>
      <c r="H345" s="13">
        <f ca="1">SUMIF('1.3②原材料使用'!B:E,C345,'1.3②原材料使用'!E:E)</f>
        <v>0</v>
      </c>
      <c r="I345" s="13">
        <f ca="1">SUMIF('2.10原液別作業時間'!A:B,C345,'2.10原液別作業時間'!B:B)</f>
        <v>0</v>
      </c>
      <c r="J345" s="13">
        <f ca="1">SUM(G345:H345,K345)</f>
        <v>1106.5</v>
      </c>
      <c r="K345" s="13">
        <f ca="1">SUMIF('2.2⑤純増減→前工程費'!B:E,C345,'2.2⑤純増減→前工程費'!E:E)</f>
        <v>0</v>
      </c>
      <c r="L345" s="13">
        <f ca="1">SUMIF('2.6完成品'!C:D,C345,'2.6完成品'!D:D)</f>
        <v>0</v>
      </c>
      <c r="M345" s="13">
        <f ca="1">SUMIF('2.3研究費'!D:E,C345,'2.3研究費'!E:E)</f>
        <v>0</v>
      </c>
      <c r="N345" s="13">
        <f ca="1">SUMIF('2.4販促費'!D:E,C345,'2.4販促費'!E:E)</f>
        <v>0</v>
      </c>
      <c r="O345" s="13">
        <f ca="1">SUMIF('2.5廃棄処分'!D:E,C345,'2.5廃棄処分'!E:E)</f>
        <v>0</v>
      </c>
      <c r="P345" s="13">
        <f ca="1">SUMIF('2.1④異種原液'!D:E,C345,'2.1④異種原液'!E:E)</f>
        <v>0</v>
      </c>
      <c r="Q345" s="14">
        <f ca="1">SUMIF('2.7製造部生産分'!D:I,C345,'2.7製造部生産分'!H:H)</f>
        <v>0</v>
      </c>
      <c r="R345" s="15">
        <f ca="1">-(G345+H345+K345-L345-M345-N345-O345-P345-Q345-S345)</f>
        <v>0</v>
      </c>
      <c r="S345" s="13">
        <f ca="1">SUMIF('2.9原液在庫'!B:H,C345,'2.9原液在庫'!H:H)</f>
        <v>1106.5</v>
      </c>
      <c r="T345" s="16">
        <f ca="1">IFERROR(SUM(G346:K346)/(G345+H345+K345),0)</f>
        <v>1166.6709073059799</v>
      </c>
      <c r="U345" s="17" t="str">
        <f>C345</f>
        <v>35R</v>
      </c>
      <c r="V345" s="18">
        <f ca="1">IF(ISERROR(SUM(G346:K346)/SUM(L345:Q345,S345)),0,SUM(G346:K346)/SUM(L345:Q345,S345))</f>
        <v>1166.6709073059799</v>
      </c>
      <c r="W345" s="19">
        <f ca="1">V345</f>
        <v>1166.6709073059799</v>
      </c>
      <c r="X345" s="20">
        <f ca="1">W345/1000</f>
        <v>1.1666709073059798</v>
      </c>
    </row>
    <row r="346" spans="1:24">
      <c r="A346" s="212"/>
      <c r="B346" s="212"/>
      <c r="C346" s="201"/>
      <c r="D346" s="199"/>
      <c r="E346" s="199"/>
      <c r="F346" s="21" t="s">
        <v>247</v>
      </c>
      <c r="G346" s="22">
        <v>1257726.3589340667</v>
      </c>
      <c r="H346" s="184"/>
      <c r="I346" s="23">
        <f ca="1">I345*労務費経費単価SC!D$7</f>
        <v>0</v>
      </c>
      <c r="J346" s="23">
        <f ca="1">J345*労務費経費単価SC!D$11</f>
        <v>33195</v>
      </c>
      <c r="K346" s="22">
        <f ca="1">K345*$E345</f>
        <v>0</v>
      </c>
      <c r="L346" s="22">
        <f ca="1">L345*$E345</f>
        <v>0</v>
      </c>
      <c r="M346" s="22">
        <f t="shared" ref="M346" ca="1" si="1184">M345*$E345</f>
        <v>0</v>
      </c>
      <c r="N346" s="22">
        <f t="shared" ref="N346" ca="1" si="1185">N345*$E345</f>
        <v>0</v>
      </c>
      <c r="O346" s="22">
        <f t="shared" ref="O346" ca="1" si="1186">O345*$E345</f>
        <v>0</v>
      </c>
      <c r="P346" s="22">
        <f t="shared" ref="P346" ca="1" si="1187">P345*$E345</f>
        <v>0</v>
      </c>
      <c r="Q346" s="22">
        <f t="shared" ref="Q346" ca="1" si="1188">Q345*$E345</f>
        <v>0</v>
      </c>
      <c r="R346" s="22">
        <f t="shared" ref="R346" ca="1" si="1189">R345*$E345</f>
        <v>0</v>
      </c>
      <c r="S346" s="22">
        <f t="shared" ref="S346" ca="1" si="1190">S345*$E345</f>
        <v>1004702</v>
      </c>
      <c r="U346" s="17"/>
      <c r="V346" s="18"/>
      <c r="W346" s="19"/>
      <c r="X346" s="20"/>
    </row>
    <row r="347" spans="1:24">
      <c r="A347" s="212"/>
      <c r="B347" s="212"/>
      <c r="C347" s="200" t="s">
        <v>380</v>
      </c>
      <c r="D347" s="199" t="str">
        <f>VLOOKUP(C347,'仕掛品名寄（貼付）'!B:C,2,FALSE)</f>
        <v>Rシ</v>
      </c>
      <c r="E347" s="199">
        <f>VLOOKUP(D347,'仕掛品標準単価一覧表（貼付）'!B:G,6,FALSE)</f>
        <v>991</v>
      </c>
      <c r="F347" s="12" t="s">
        <v>246</v>
      </c>
      <c r="G347" s="13">
        <v>0</v>
      </c>
      <c r="H347" s="13">
        <f ca="1">SUMIF('1.3②原材料使用'!B:E,C347,'1.3②原材料使用'!E:E)</f>
        <v>0</v>
      </c>
      <c r="I347" s="13">
        <f ca="1">SUMIF('2.10原液別作業時間'!A:B,C347,'2.10原液別作業時間'!B:B)</f>
        <v>0</v>
      </c>
      <c r="J347" s="13">
        <f ca="1">SUM(G347:H347,K347)</f>
        <v>0</v>
      </c>
      <c r="K347" s="13">
        <f ca="1">SUMIF('2.2⑤純増減→前工程費'!B:E,C347,'2.2⑤純増減→前工程費'!E:E)</f>
        <v>0</v>
      </c>
      <c r="L347" s="13">
        <f ca="1">SUMIF('2.6完成品'!C:D,C347,'2.6完成品'!D:D)</f>
        <v>0</v>
      </c>
      <c r="M347" s="13">
        <f ca="1">SUMIF('2.3研究費'!D:E,C347,'2.3研究費'!E:E)</f>
        <v>0</v>
      </c>
      <c r="N347" s="13">
        <f ca="1">SUMIF('2.4販促費'!D:E,C347,'2.4販促費'!E:E)</f>
        <v>0</v>
      </c>
      <c r="O347" s="13">
        <f ca="1">SUMIF('2.5廃棄処分'!D:E,C347,'2.5廃棄処分'!E:E)</f>
        <v>0</v>
      </c>
      <c r="P347" s="13">
        <f ca="1">SUMIF('2.1④異種原液'!D:E,C347,'2.1④異種原液'!E:E)</f>
        <v>0</v>
      </c>
      <c r="Q347" s="14">
        <f ca="1">SUMIF('2.7製造部生産分'!D:I,C347,'2.7製造部生産分'!H:H)</f>
        <v>0</v>
      </c>
      <c r="R347" s="15">
        <f ca="1">-(G347+H347+K347-L347-M347-N347-O347-P347-Q347-S347)</f>
        <v>0</v>
      </c>
      <c r="S347" s="13">
        <f ca="1">SUMIF('2.9原液在庫'!B:H,C347,'2.9原液在庫'!H:H)</f>
        <v>0</v>
      </c>
      <c r="T347" s="16">
        <f ca="1">IFERROR(SUM(G348:K348)/(G347+H347+K347),0)</f>
        <v>0</v>
      </c>
      <c r="U347" s="17" t="str">
        <f>C347</f>
        <v>35Rｼ</v>
      </c>
      <c r="V347" s="18">
        <f ca="1">IF(ISERROR(SUM(G348:K348)/SUM(L347:Q347,S347)),0,SUM(G348:K348)/SUM(L347:Q347,S347))</f>
        <v>0</v>
      </c>
      <c r="W347" s="19">
        <f ca="1">V347</f>
        <v>0</v>
      </c>
      <c r="X347" s="20">
        <f ca="1">W347/1000</f>
        <v>0</v>
      </c>
    </row>
    <row r="348" spans="1:24">
      <c r="A348" s="201"/>
      <c r="B348" s="201"/>
      <c r="C348" s="201"/>
      <c r="D348" s="199"/>
      <c r="E348" s="199"/>
      <c r="F348" s="21" t="s">
        <v>247</v>
      </c>
      <c r="G348" s="22" t="s">
        <v>254</v>
      </c>
      <c r="H348" s="184"/>
      <c r="I348" s="23">
        <f ca="1">I347*労務費経費単価SC!D$7</f>
        <v>0</v>
      </c>
      <c r="J348" s="23">
        <f ca="1">J347*労務費経費単価SC!D$11</f>
        <v>0</v>
      </c>
      <c r="K348" s="22">
        <f ca="1">K347*$E347</f>
        <v>0</v>
      </c>
      <c r="L348" s="22">
        <f ca="1">L347*$E347</f>
        <v>0</v>
      </c>
      <c r="M348" s="22">
        <f t="shared" ref="M348" ca="1" si="1191">M347*$E347</f>
        <v>0</v>
      </c>
      <c r="N348" s="22">
        <f t="shared" ref="N348" ca="1" si="1192">N347*$E347</f>
        <v>0</v>
      </c>
      <c r="O348" s="22">
        <f t="shared" ref="O348" ca="1" si="1193">O347*$E347</f>
        <v>0</v>
      </c>
      <c r="P348" s="22">
        <f t="shared" ref="P348" ca="1" si="1194">P347*$E347</f>
        <v>0</v>
      </c>
      <c r="Q348" s="22">
        <f t="shared" ref="Q348" ca="1" si="1195">Q347*$E347</f>
        <v>0</v>
      </c>
      <c r="R348" s="22">
        <f t="shared" ref="R348" ca="1" si="1196">R347*$E347</f>
        <v>0</v>
      </c>
      <c r="S348" s="22">
        <f t="shared" ref="S348" ca="1" si="1197">S347*$E347</f>
        <v>0</v>
      </c>
      <c r="U348" s="17"/>
      <c r="V348" s="18"/>
      <c r="W348" s="19"/>
      <c r="X348" s="20"/>
    </row>
    <row r="349" spans="1:24">
      <c r="A349" s="211" t="s">
        <v>381</v>
      </c>
      <c r="B349" s="211">
        <v>36</v>
      </c>
      <c r="C349" s="211" t="s">
        <v>382</v>
      </c>
      <c r="D349" s="199" t="str">
        <f>VLOOKUP(C349,'仕掛品名寄（貼付）'!B:C,2,FALSE)</f>
        <v>R</v>
      </c>
      <c r="E349" s="199">
        <f>VLOOKUP(D349,'仕掛品標準単価一覧表（貼付）'!B:G,6,FALSE)</f>
        <v>908</v>
      </c>
      <c r="F349" s="12" t="s">
        <v>246</v>
      </c>
      <c r="G349" s="24">
        <v>551</v>
      </c>
      <c r="H349" s="13">
        <f ca="1">SUMIF('1.3②原材料使用'!B:E,C349,'1.3②原材料使用'!E:E)</f>
        <v>0</v>
      </c>
      <c r="I349" s="13">
        <f ca="1">SUMIF('2.10原液別作業時間'!A:B,C349,'2.10原液別作業時間'!B:B)</f>
        <v>0</v>
      </c>
      <c r="J349" s="13">
        <f ca="1">SUM(G349:H349,K349)</f>
        <v>551</v>
      </c>
      <c r="K349" s="13">
        <f ca="1">SUMIF('2.2⑤純増減→前工程費'!B:E,C349,'2.2⑤純増減→前工程費'!E:E)</f>
        <v>0</v>
      </c>
      <c r="L349" s="13">
        <f ca="1">SUMIF('2.6完成品'!C:D,C349,'2.6完成品'!D:D)</f>
        <v>0</v>
      </c>
      <c r="M349" s="13">
        <f ca="1">SUMIF('2.3研究費'!D:E,C349,'2.3研究費'!E:E)</f>
        <v>0</v>
      </c>
      <c r="N349" s="13">
        <f ca="1">SUMIF('2.4販促費'!D:E,C349,'2.4販促費'!E:E)</f>
        <v>0</v>
      </c>
      <c r="O349" s="13">
        <f ca="1">SUMIF('2.5廃棄処分'!D:E,C349,'2.5廃棄処分'!E:E)</f>
        <v>0</v>
      </c>
      <c r="P349" s="13">
        <f ca="1">SUMIF('2.1④異種原液'!D:E,C349,'2.1④異種原液'!E:E)</f>
        <v>0</v>
      </c>
      <c r="Q349" s="14">
        <f ca="1">SUMIF('2.7製造部生産分'!D:I,C349,'2.7製造部生産分'!H:H)</f>
        <v>0</v>
      </c>
      <c r="R349" s="15">
        <f ca="1">-(G349+H349+K349-L349-M349-N349-O349-P349-Q349-S349)</f>
        <v>0</v>
      </c>
      <c r="S349" s="13">
        <f ca="1">SUMIF('2.9原液在庫'!B:H,C349,'2.9原液在庫'!H:H)</f>
        <v>551</v>
      </c>
      <c r="T349" s="16">
        <f ca="1">IFERROR(SUM(G350:K350)/(G349+H349+K349),0)</f>
        <v>1180.8133079674942</v>
      </c>
      <c r="U349" s="17" t="str">
        <f>C349</f>
        <v>36R</v>
      </c>
      <c r="V349" s="18">
        <f ca="1">IF(ISERROR(SUM(G350:K350)/SUM(L349:Q349,S349)),0,SUM(G350:K350)/SUM(L349:Q349,S349))</f>
        <v>1180.8133079674942</v>
      </c>
      <c r="W349" s="19">
        <f ca="1">V349</f>
        <v>1180.8133079674942</v>
      </c>
      <c r="X349" s="20">
        <f ca="1">W349/1000</f>
        <v>1.1808133079674943</v>
      </c>
    </row>
    <row r="350" spans="1:24">
      <c r="A350" s="212"/>
      <c r="B350" s="212"/>
      <c r="C350" s="201"/>
      <c r="D350" s="199"/>
      <c r="E350" s="199"/>
      <c r="F350" s="21" t="s">
        <v>247</v>
      </c>
      <c r="G350" s="22">
        <v>634098.13269008929</v>
      </c>
      <c r="H350" s="184"/>
      <c r="I350" s="23">
        <f ca="1">I349*労務費経費単価SC!D$7</f>
        <v>0</v>
      </c>
      <c r="J350" s="23">
        <f ca="1">J349*労務費経費単価SC!D$11</f>
        <v>16530</v>
      </c>
      <c r="K350" s="22">
        <f ca="1">K349*$E349</f>
        <v>0</v>
      </c>
      <c r="L350" s="22">
        <f ca="1">L349*$E349</f>
        <v>0</v>
      </c>
      <c r="M350" s="22">
        <f t="shared" ref="M350" ca="1" si="1198">M349*$E349</f>
        <v>0</v>
      </c>
      <c r="N350" s="22">
        <f t="shared" ref="N350" ca="1" si="1199">N349*$E349</f>
        <v>0</v>
      </c>
      <c r="O350" s="22">
        <f t="shared" ref="O350" ca="1" si="1200">O349*$E349</f>
        <v>0</v>
      </c>
      <c r="P350" s="22">
        <f t="shared" ref="P350" ca="1" si="1201">P349*$E349</f>
        <v>0</v>
      </c>
      <c r="Q350" s="22">
        <f t="shared" ref="Q350" ca="1" si="1202">Q349*$E349</f>
        <v>0</v>
      </c>
      <c r="R350" s="22">
        <f t="shared" ref="R350" ca="1" si="1203">R349*$E349</f>
        <v>0</v>
      </c>
      <c r="S350" s="22">
        <f t="shared" ref="S350" ca="1" si="1204">S349*$E349</f>
        <v>500308</v>
      </c>
      <c r="U350" s="17"/>
      <c r="V350" s="18"/>
      <c r="W350" s="19"/>
      <c r="X350" s="20"/>
    </row>
    <row r="351" spans="1:24">
      <c r="A351" s="212"/>
      <c r="B351" s="212"/>
      <c r="C351" s="200" t="s">
        <v>96</v>
      </c>
      <c r="D351" s="199" t="str">
        <f>VLOOKUP(C351,'仕掛品名寄（貼付）'!B:C,2,FALSE)</f>
        <v>その他</v>
      </c>
      <c r="E351" s="199">
        <f>VLOOKUP(D351,'仕掛品標準単価一覧表（貼付）'!B:G,6,FALSE)</f>
        <v>1080</v>
      </c>
      <c r="F351" s="12" t="s">
        <v>246</v>
      </c>
      <c r="G351" s="13">
        <v>0</v>
      </c>
      <c r="H351" s="13">
        <f ca="1">SUMIF('1.3②原材料使用'!B:E,C351,'1.3②原材料使用'!E:E)</f>
        <v>0</v>
      </c>
      <c r="I351" s="13">
        <f ca="1">SUMIF('2.10原液別作業時間'!A:B,C351,'2.10原液別作業時間'!B:B)</f>
        <v>0</v>
      </c>
      <c r="J351" s="13">
        <f ca="1">SUM(G351:H351,K351)</f>
        <v>0</v>
      </c>
      <c r="K351" s="13">
        <f ca="1">SUMIF('2.2⑤純増減→前工程費'!B:E,C351,'2.2⑤純増減→前工程費'!E:E)</f>
        <v>0</v>
      </c>
      <c r="L351" s="13">
        <f ca="1">SUMIF('2.6完成品'!C:D,C351,'2.6完成品'!D:D)</f>
        <v>0</v>
      </c>
      <c r="M351" s="13">
        <f ca="1">SUMIF('2.3研究費'!D:E,C351,'2.3研究費'!E:E)</f>
        <v>0</v>
      </c>
      <c r="N351" s="13">
        <f ca="1">SUMIF('2.4販促費'!D:E,C351,'2.4販促費'!E:E)</f>
        <v>0</v>
      </c>
      <c r="O351" s="13">
        <f ca="1">SUMIF('2.5廃棄処分'!D:E,C351,'2.5廃棄処分'!E:E)</f>
        <v>0</v>
      </c>
      <c r="P351" s="13">
        <f ca="1">SUMIF('2.1④異種原液'!D:E,C351,'2.1④異種原液'!E:E)</f>
        <v>0</v>
      </c>
      <c r="Q351" s="14">
        <f ca="1">SUMIF('2.7製造部生産分'!D:I,C351,'2.7製造部生産分'!H:H)</f>
        <v>0</v>
      </c>
      <c r="R351" s="15">
        <f ca="1">-(G351+H351+K351-L351-M351-N351-O351-P351-Q351-S351)</f>
        <v>0</v>
      </c>
      <c r="S351" s="13">
        <f ca="1">SUMIF('2.9原液在庫'!B:H,C351,'2.9原液在庫'!H:H)</f>
        <v>0</v>
      </c>
      <c r="T351" s="16">
        <f ca="1">IFERROR(SUM(G352:K352)/(G351+H351+K351),0)</f>
        <v>0</v>
      </c>
      <c r="U351" s="17" t="str">
        <f>C351</f>
        <v>36R海</v>
      </c>
      <c r="V351" s="18">
        <f ca="1">IF(ISERROR(SUM(G352:K352)/SUM(L351:Q351,S351)),0,SUM(G352:K352)/SUM(L351:Q351,S351))</f>
        <v>0</v>
      </c>
      <c r="W351" s="19">
        <f ca="1">V351</f>
        <v>0</v>
      </c>
      <c r="X351" s="20">
        <f ca="1">W351/1000</f>
        <v>0</v>
      </c>
    </row>
    <row r="352" spans="1:24">
      <c r="A352" s="212"/>
      <c r="B352" s="212"/>
      <c r="C352" s="201"/>
      <c r="D352" s="199"/>
      <c r="E352" s="199"/>
      <c r="F352" s="21" t="s">
        <v>247</v>
      </c>
      <c r="G352" s="22" t="s">
        <v>254</v>
      </c>
      <c r="H352" s="184"/>
      <c r="I352" s="23">
        <f ca="1">I351*労務費経費単価SC!D$7</f>
        <v>0</v>
      </c>
      <c r="J352" s="23">
        <f ca="1">J351*労務費経費単価SC!D$11</f>
        <v>0</v>
      </c>
      <c r="K352" s="22">
        <f ca="1">K351*$E351</f>
        <v>0</v>
      </c>
      <c r="L352" s="22">
        <f ca="1">L351*$E351</f>
        <v>0</v>
      </c>
      <c r="M352" s="22">
        <f t="shared" ref="M352" ca="1" si="1205">M351*$E351</f>
        <v>0</v>
      </c>
      <c r="N352" s="22">
        <f t="shared" ref="N352" ca="1" si="1206">N351*$E351</f>
        <v>0</v>
      </c>
      <c r="O352" s="22">
        <f t="shared" ref="O352" ca="1" si="1207">O351*$E351</f>
        <v>0</v>
      </c>
      <c r="P352" s="22">
        <f t="shared" ref="P352" ca="1" si="1208">P351*$E351</f>
        <v>0</v>
      </c>
      <c r="Q352" s="22">
        <f t="shared" ref="Q352" ca="1" si="1209">Q351*$E351</f>
        <v>0</v>
      </c>
      <c r="R352" s="22">
        <f t="shared" ref="R352" ca="1" si="1210">R351*$E351</f>
        <v>0</v>
      </c>
      <c r="S352" s="22">
        <f t="shared" ref="S352" ca="1" si="1211">S351*$E351</f>
        <v>0</v>
      </c>
      <c r="U352" s="17"/>
      <c r="V352" s="18"/>
      <c r="W352" s="19"/>
      <c r="X352" s="20"/>
    </row>
    <row r="353" spans="1:24">
      <c r="A353" s="212"/>
      <c r="B353" s="212"/>
      <c r="C353" s="200" t="s">
        <v>97</v>
      </c>
      <c r="D353" s="199" t="str">
        <f>VLOOKUP(C353,'仕掛品名寄（貼付）'!B:C,2,FALSE)</f>
        <v>その他</v>
      </c>
      <c r="E353" s="199">
        <f>VLOOKUP(D353,'仕掛品標準単価一覧表（貼付）'!B:G,6,FALSE)</f>
        <v>1080</v>
      </c>
      <c r="F353" s="12" t="s">
        <v>246</v>
      </c>
      <c r="G353" s="13">
        <v>0</v>
      </c>
      <c r="H353" s="13">
        <f ca="1">SUMIF('1.3②原材料使用'!B:E,C353,'1.3②原材料使用'!E:E)</f>
        <v>0</v>
      </c>
      <c r="I353" s="13">
        <f ca="1">SUMIF('2.10原液別作業時間'!A:B,C353,'2.10原液別作業時間'!B:B)</f>
        <v>0</v>
      </c>
      <c r="J353" s="13">
        <f ca="1">SUM(G353:H353,K353)</f>
        <v>0</v>
      </c>
      <c r="K353" s="13">
        <f ca="1">SUMIF('2.2⑤純増減→前工程費'!B:E,C353,'2.2⑤純増減→前工程費'!E:E)</f>
        <v>0</v>
      </c>
      <c r="L353" s="13">
        <f ca="1">SUMIF('2.6完成品'!C:D,C353,'2.6完成品'!D:D)</f>
        <v>0</v>
      </c>
      <c r="M353" s="13">
        <f ca="1">SUMIF('2.3研究費'!D:E,C353,'2.3研究費'!E:E)</f>
        <v>0</v>
      </c>
      <c r="N353" s="13">
        <f ca="1">SUMIF('2.4販促費'!D:E,C353,'2.4販促費'!E:E)</f>
        <v>0</v>
      </c>
      <c r="O353" s="13">
        <f ca="1">SUMIF('2.5廃棄処分'!D:E,C353,'2.5廃棄処分'!E:E)</f>
        <v>0</v>
      </c>
      <c r="P353" s="13">
        <f ca="1">SUMIF('2.1④異種原液'!D:E,C353,'2.1④異種原液'!E:E)</f>
        <v>0</v>
      </c>
      <c r="Q353" s="14">
        <f ca="1">SUMIF('2.7製造部生産分'!D:I,C353,'2.7製造部生産分'!H:H)</f>
        <v>0</v>
      </c>
      <c r="R353" s="15">
        <f ca="1">-(G353+H353+K353-L353-M353-N353-O353-P353-Q353-S353)</f>
        <v>0</v>
      </c>
      <c r="S353" s="13">
        <f ca="1">SUMIF('2.9原液在庫'!B:H,C353,'2.9原液在庫'!H:H)</f>
        <v>0</v>
      </c>
      <c r="T353" s="16">
        <f ca="1">IFERROR(SUM(G354:K354)/(G353+H353+K353),0)</f>
        <v>0</v>
      </c>
      <c r="U353" s="17" t="str">
        <f>C353</f>
        <v>36RB海</v>
      </c>
      <c r="V353" s="18">
        <f ca="1">IF(ISERROR(SUM(G354:K354)/SUM(L353:Q353,S353)),0,SUM(G354:K354)/SUM(L353:Q353,S353))</f>
        <v>0</v>
      </c>
      <c r="W353" s="19">
        <f ca="1">V353</f>
        <v>0</v>
      </c>
      <c r="X353" s="20">
        <f ca="1">W353/1000</f>
        <v>0</v>
      </c>
    </row>
    <row r="354" spans="1:24">
      <c r="A354" s="212"/>
      <c r="B354" s="212"/>
      <c r="C354" s="201"/>
      <c r="D354" s="199"/>
      <c r="E354" s="199"/>
      <c r="F354" s="21" t="s">
        <v>247</v>
      </c>
      <c r="G354" s="22" t="s">
        <v>254</v>
      </c>
      <c r="H354" s="184"/>
      <c r="I354" s="23">
        <f ca="1">I353*労務費経費単価SC!D$7</f>
        <v>0</v>
      </c>
      <c r="J354" s="23">
        <f ca="1">J353*労務費経費単価SC!D$11</f>
        <v>0</v>
      </c>
      <c r="K354" s="22">
        <f ca="1">K353*$E353</f>
        <v>0</v>
      </c>
      <c r="L354" s="22">
        <f ca="1">L353*$E353</f>
        <v>0</v>
      </c>
      <c r="M354" s="22">
        <f t="shared" ref="M354" ca="1" si="1212">M353*$E353</f>
        <v>0</v>
      </c>
      <c r="N354" s="22">
        <f t="shared" ref="N354" ca="1" si="1213">N353*$E353</f>
        <v>0</v>
      </c>
      <c r="O354" s="22">
        <f t="shared" ref="O354" ca="1" si="1214">O353*$E353</f>
        <v>0</v>
      </c>
      <c r="P354" s="22">
        <f t="shared" ref="P354" ca="1" si="1215">P353*$E353</f>
        <v>0</v>
      </c>
      <c r="Q354" s="22">
        <f t="shared" ref="Q354" ca="1" si="1216">Q353*$E353</f>
        <v>0</v>
      </c>
      <c r="R354" s="22">
        <f t="shared" ref="R354" ca="1" si="1217">R353*$E353</f>
        <v>0</v>
      </c>
      <c r="S354" s="22">
        <f t="shared" ref="S354" ca="1" si="1218">S353*$E353</f>
        <v>0</v>
      </c>
      <c r="U354" s="17"/>
      <c r="V354" s="18"/>
      <c r="W354" s="19"/>
      <c r="X354" s="20"/>
    </row>
    <row r="355" spans="1:24">
      <c r="A355" s="212"/>
      <c r="B355" s="212"/>
      <c r="C355" s="200" t="s">
        <v>383</v>
      </c>
      <c r="D355" s="199" t="str">
        <f>VLOOKUP(C355,'仕掛品名寄（貼付）'!B:C,2,FALSE)</f>
        <v>Rシ</v>
      </c>
      <c r="E355" s="199">
        <f>VLOOKUP(D355,'仕掛品標準単価一覧表（貼付）'!B:G,6,FALSE)</f>
        <v>991</v>
      </c>
      <c r="F355" s="12" t="s">
        <v>246</v>
      </c>
      <c r="G355" s="13">
        <v>0</v>
      </c>
      <c r="H355" s="13">
        <f ca="1">SUMIF('1.3②原材料使用'!B:E,C355,'1.3②原材料使用'!E:E)</f>
        <v>0</v>
      </c>
      <c r="I355" s="13">
        <f ca="1">SUMIF('2.10原液別作業時間'!A:B,C355,'2.10原液別作業時間'!B:B)</f>
        <v>0</v>
      </c>
      <c r="J355" s="13">
        <f ca="1">SUM(G355:H355,K355)</f>
        <v>0</v>
      </c>
      <c r="K355" s="13">
        <f ca="1">SUMIF('2.2⑤純増減→前工程費'!B:E,C355,'2.2⑤純増減→前工程費'!E:E)</f>
        <v>0</v>
      </c>
      <c r="L355" s="13">
        <f ca="1">SUMIF('2.6完成品'!C:D,C355,'2.6完成品'!D:D)</f>
        <v>0</v>
      </c>
      <c r="M355" s="13">
        <f ca="1">SUMIF('2.3研究費'!D:E,C355,'2.3研究費'!E:E)</f>
        <v>0</v>
      </c>
      <c r="N355" s="13">
        <f ca="1">SUMIF('2.4販促費'!D:E,C355,'2.4販促費'!E:E)</f>
        <v>0</v>
      </c>
      <c r="O355" s="13">
        <f ca="1">SUMIF('2.5廃棄処分'!D:E,C355,'2.5廃棄処分'!E:E)</f>
        <v>0</v>
      </c>
      <c r="P355" s="13">
        <f ca="1">SUMIF('2.1④異種原液'!D:E,C355,'2.1④異種原液'!E:E)</f>
        <v>0</v>
      </c>
      <c r="Q355" s="14">
        <f ca="1">SUMIF('2.7製造部生産分'!D:I,C355,'2.7製造部生産分'!H:H)</f>
        <v>0</v>
      </c>
      <c r="R355" s="15">
        <f ca="1">-(G355+H355+K355-L355-M355-N355-O355-P355-Q355-S355)</f>
        <v>0</v>
      </c>
      <c r="S355" s="13">
        <f ca="1">SUMIF('2.9原液在庫'!B:H,C355,'2.9原液在庫'!H:H)</f>
        <v>0</v>
      </c>
      <c r="T355" s="16">
        <f ca="1">IFERROR(SUM(G356:K356)/(G355+H355+K355),0)</f>
        <v>0</v>
      </c>
      <c r="U355" s="17" t="str">
        <f>C355</f>
        <v>36Rｼ</v>
      </c>
      <c r="V355" s="18">
        <f ca="1">IF(ISERROR(SUM(G356:K356)/SUM(L355:Q355,S355)),0,SUM(G356:K356)/SUM(L355:Q355,S355))</f>
        <v>0</v>
      </c>
      <c r="W355" s="19">
        <f ca="1">V355</f>
        <v>0</v>
      </c>
      <c r="X355" s="20">
        <f ca="1">W355/1000</f>
        <v>0</v>
      </c>
    </row>
    <row r="356" spans="1:24">
      <c r="A356" s="201"/>
      <c r="B356" s="201"/>
      <c r="C356" s="201"/>
      <c r="D356" s="199"/>
      <c r="E356" s="199"/>
      <c r="F356" s="21" t="s">
        <v>247</v>
      </c>
      <c r="G356" s="22" t="s">
        <v>254</v>
      </c>
      <c r="H356" s="184"/>
      <c r="I356" s="23">
        <f ca="1">I355*労務費経費単価SC!D$7</f>
        <v>0</v>
      </c>
      <c r="J356" s="23">
        <f ca="1">J355*労務費経費単価SC!D$11</f>
        <v>0</v>
      </c>
      <c r="K356" s="22">
        <f ca="1">K355*$E355</f>
        <v>0</v>
      </c>
      <c r="L356" s="22">
        <f ca="1">L355*$E355</f>
        <v>0</v>
      </c>
      <c r="M356" s="22">
        <f t="shared" ref="M356" ca="1" si="1219">M355*$E355</f>
        <v>0</v>
      </c>
      <c r="N356" s="22">
        <f t="shared" ref="N356" ca="1" si="1220">N355*$E355</f>
        <v>0</v>
      </c>
      <c r="O356" s="22">
        <f t="shared" ref="O356" ca="1" si="1221">O355*$E355</f>
        <v>0</v>
      </c>
      <c r="P356" s="22">
        <f t="shared" ref="P356" ca="1" si="1222">P355*$E355</f>
        <v>0</v>
      </c>
      <c r="Q356" s="22">
        <f t="shared" ref="Q356" ca="1" si="1223">Q355*$E355</f>
        <v>0</v>
      </c>
      <c r="R356" s="22">
        <f t="shared" ref="R356" ca="1" si="1224">R355*$E355</f>
        <v>0</v>
      </c>
      <c r="S356" s="22">
        <f t="shared" ref="S356" ca="1" si="1225">S355*$E355</f>
        <v>0</v>
      </c>
      <c r="U356" s="17"/>
      <c r="V356" s="18"/>
      <c r="W356" s="19"/>
      <c r="X356" s="20"/>
    </row>
    <row r="357" spans="1:24">
      <c r="A357" s="211" t="s">
        <v>384</v>
      </c>
      <c r="B357" s="211">
        <v>37</v>
      </c>
      <c r="C357" s="211" t="s">
        <v>385</v>
      </c>
      <c r="D357" s="199" t="str">
        <f>VLOOKUP(C357,'仕掛品名寄（貼付）'!B:C,2,FALSE)</f>
        <v>R</v>
      </c>
      <c r="E357" s="199">
        <f>VLOOKUP(D357,'仕掛品標準単価一覧表（貼付）'!B:G,6,FALSE)</f>
        <v>908</v>
      </c>
      <c r="F357" s="12" t="s">
        <v>246</v>
      </c>
      <c r="G357" s="13">
        <v>2170.5</v>
      </c>
      <c r="H357" s="13">
        <f ca="1">SUMIF('1.3②原材料使用'!B:E,C357,'1.3②原材料使用'!E:E)</f>
        <v>0</v>
      </c>
      <c r="I357" s="13">
        <f ca="1">SUMIF('2.10原液別作業時間'!A:B,C357,'2.10原液別作業時間'!B:B)</f>
        <v>0</v>
      </c>
      <c r="J357" s="13">
        <f ca="1">SUM(G357:H357,K357)</f>
        <v>2170.5</v>
      </c>
      <c r="K357" s="13">
        <f ca="1">SUMIF('2.2⑤純増減→前工程費'!B:E,C357,'2.2⑤純増減→前工程費'!E:E)</f>
        <v>0</v>
      </c>
      <c r="L357" s="13">
        <f ca="1">SUMIF('2.6完成品'!C:D,C357,'2.6完成品'!D:D)</f>
        <v>0</v>
      </c>
      <c r="M357" s="13">
        <f ca="1">SUMIF('2.3研究費'!D:E,C357,'2.3研究費'!E:E)</f>
        <v>0</v>
      </c>
      <c r="N357" s="13">
        <f ca="1">SUMIF('2.4販促費'!D:E,C357,'2.4販促費'!E:E)</f>
        <v>0</v>
      </c>
      <c r="O357" s="13">
        <f ca="1">SUMIF('2.5廃棄処分'!D:E,C357,'2.5廃棄処分'!E:E)</f>
        <v>0</v>
      </c>
      <c r="P357" s="13">
        <f ca="1">SUMIF('2.1④異種原液'!D:E,C357,'2.1④異種原液'!E:E)</f>
        <v>0</v>
      </c>
      <c r="Q357" s="14">
        <f ca="1">SUMIF('2.7製造部生産分'!D:I,C357,'2.7製造部生産分'!H:H)</f>
        <v>0</v>
      </c>
      <c r="R357" s="15">
        <f ca="1">-(G357+H357+K357-L357-M357-N357-O357-P357-Q357-S357)</f>
        <v>0</v>
      </c>
      <c r="S357" s="13">
        <f ca="1">SUMIF('2.9原液在庫'!B:H,C357,'2.9原液在庫'!H:H)</f>
        <v>2170.5</v>
      </c>
      <c r="T357" s="16">
        <f ca="1">IFERROR(SUM(G358:K358)/(G357+H357+K357),0)</f>
        <v>1235.4734488651961</v>
      </c>
      <c r="U357" s="17" t="str">
        <f>C357</f>
        <v>37R</v>
      </c>
      <c r="V357" s="18">
        <f ca="1">IF(ISERROR(SUM(G358:K358)/SUM(L357:Q357,S357)),0,SUM(G358:K358)/SUM(L357:Q357,S357))</f>
        <v>1235.4734488651961</v>
      </c>
      <c r="W357" s="19">
        <f ca="1">V357</f>
        <v>1235.4734488651961</v>
      </c>
      <c r="X357" s="20">
        <f ca="1">W357/1000</f>
        <v>1.2354734488651962</v>
      </c>
    </row>
    <row r="358" spans="1:24">
      <c r="A358" s="212"/>
      <c r="B358" s="212"/>
      <c r="C358" s="201"/>
      <c r="D358" s="199"/>
      <c r="E358" s="199"/>
      <c r="F358" s="21" t="s">
        <v>247</v>
      </c>
      <c r="G358" s="22">
        <v>2616480.1207619081</v>
      </c>
      <c r="H358" s="184"/>
      <c r="I358" s="23">
        <f ca="1">I357*労務費経費単価SC!D$7</f>
        <v>0</v>
      </c>
      <c r="J358" s="23">
        <f ca="1">J357*労務費経費単価SC!D$11</f>
        <v>65115</v>
      </c>
      <c r="K358" s="22">
        <f ca="1">K357*$E357</f>
        <v>0</v>
      </c>
      <c r="L358" s="22">
        <f ca="1">L357*$E357</f>
        <v>0</v>
      </c>
      <c r="M358" s="22">
        <f t="shared" ref="M358" ca="1" si="1226">M357*$E357</f>
        <v>0</v>
      </c>
      <c r="N358" s="22">
        <f t="shared" ref="N358" ca="1" si="1227">N357*$E357</f>
        <v>0</v>
      </c>
      <c r="O358" s="22">
        <f t="shared" ref="O358" ca="1" si="1228">O357*$E357</f>
        <v>0</v>
      </c>
      <c r="P358" s="22">
        <f t="shared" ref="P358" ca="1" si="1229">P357*$E357</f>
        <v>0</v>
      </c>
      <c r="Q358" s="22">
        <f t="shared" ref="Q358" ca="1" si="1230">Q357*$E357</f>
        <v>0</v>
      </c>
      <c r="R358" s="22">
        <f t="shared" ref="R358" ca="1" si="1231">R357*$E357</f>
        <v>0</v>
      </c>
      <c r="S358" s="22">
        <f t="shared" ref="S358" ca="1" si="1232">S357*$E357</f>
        <v>1970814</v>
      </c>
      <c r="U358" s="17"/>
      <c r="V358" s="18"/>
      <c r="W358" s="19"/>
      <c r="X358" s="20"/>
    </row>
    <row r="359" spans="1:24">
      <c r="A359" s="212"/>
      <c r="B359" s="212"/>
      <c r="C359" s="200" t="s">
        <v>99</v>
      </c>
      <c r="D359" s="199" t="str">
        <f>VLOOKUP(C359,'仕掛品名寄（貼付）'!B:C,2,FALSE)</f>
        <v>その他</v>
      </c>
      <c r="E359" s="199">
        <f>VLOOKUP(D359,'仕掛品標準単価一覧表（貼付）'!B:G,6,FALSE)</f>
        <v>1080</v>
      </c>
      <c r="F359" s="12" t="s">
        <v>246</v>
      </c>
      <c r="G359" s="13">
        <v>0</v>
      </c>
      <c r="H359" s="13">
        <f ca="1">SUMIF('1.3②原材料使用'!B:E,C359,'1.3②原材料使用'!E:E)</f>
        <v>0</v>
      </c>
      <c r="I359" s="13">
        <f ca="1">SUMIF('2.10原液別作業時間'!A:B,C359,'2.10原液別作業時間'!B:B)</f>
        <v>0</v>
      </c>
      <c r="J359" s="13">
        <f ca="1">SUM(G359:H359,K359)</f>
        <v>0</v>
      </c>
      <c r="K359" s="13">
        <f ca="1">SUMIF('2.2⑤純増減→前工程費'!B:E,C359,'2.2⑤純増減→前工程費'!E:E)</f>
        <v>0</v>
      </c>
      <c r="L359" s="13">
        <f ca="1">SUMIF('2.6完成品'!C:D,C359,'2.6完成品'!D:D)</f>
        <v>0</v>
      </c>
      <c r="M359" s="13">
        <f ca="1">SUMIF('2.3研究費'!D:E,C359,'2.3研究費'!E:E)</f>
        <v>0</v>
      </c>
      <c r="N359" s="13">
        <f ca="1">SUMIF('2.4販促費'!D:E,C359,'2.4販促費'!E:E)</f>
        <v>0</v>
      </c>
      <c r="O359" s="13">
        <f ca="1">SUMIF('2.5廃棄処分'!D:E,C359,'2.5廃棄処分'!E:E)</f>
        <v>0</v>
      </c>
      <c r="P359" s="13">
        <f ca="1">SUMIF('2.1④異種原液'!D:E,C359,'2.1④異種原液'!E:E)</f>
        <v>0</v>
      </c>
      <c r="Q359" s="14">
        <f ca="1">SUMIF('2.7製造部生産分'!D:I,C359,'2.7製造部生産分'!H:H)</f>
        <v>0</v>
      </c>
      <c r="R359" s="15">
        <f ca="1">-(G359+H359+K359-L359-M359-N359-O359-P359-Q359-S359)</f>
        <v>0</v>
      </c>
      <c r="S359" s="13">
        <f ca="1">SUMIF('2.9原液在庫'!B:H,C359,'2.9原液在庫'!H:H)</f>
        <v>0</v>
      </c>
      <c r="T359" s="16">
        <f ca="1">IFERROR(SUM(G360:K360)/(G359+H359+K359),0)</f>
        <v>0</v>
      </c>
      <c r="U359" s="17" t="str">
        <f>C359</f>
        <v>37R海</v>
      </c>
      <c r="V359" s="18">
        <f ca="1">IF(ISERROR(SUM(G360:K360)/SUM(L359:Q359,S359)),0,SUM(G360:K360)/SUM(L359:Q359,S359))</f>
        <v>0</v>
      </c>
      <c r="W359" s="19">
        <f ca="1">V359</f>
        <v>0</v>
      </c>
      <c r="X359" s="20">
        <f ca="1">W359/1000</f>
        <v>0</v>
      </c>
    </row>
    <row r="360" spans="1:24">
      <c r="A360" s="212"/>
      <c r="B360" s="212"/>
      <c r="C360" s="201"/>
      <c r="D360" s="199"/>
      <c r="E360" s="199"/>
      <c r="F360" s="21" t="s">
        <v>247</v>
      </c>
      <c r="G360" s="22" t="s">
        <v>254</v>
      </c>
      <c r="H360" s="184"/>
      <c r="I360" s="23">
        <f ca="1">I359*労務費経費単価SC!D$7</f>
        <v>0</v>
      </c>
      <c r="J360" s="23">
        <f ca="1">J359*労務費経費単価SC!D$11</f>
        <v>0</v>
      </c>
      <c r="K360" s="22">
        <f ca="1">K359*$E359</f>
        <v>0</v>
      </c>
      <c r="L360" s="22">
        <f ca="1">L359*$E359</f>
        <v>0</v>
      </c>
      <c r="M360" s="22">
        <f t="shared" ref="M360" ca="1" si="1233">M359*$E359</f>
        <v>0</v>
      </c>
      <c r="N360" s="22">
        <f t="shared" ref="N360" ca="1" si="1234">N359*$E359</f>
        <v>0</v>
      </c>
      <c r="O360" s="22">
        <f t="shared" ref="O360" ca="1" si="1235">O359*$E359</f>
        <v>0</v>
      </c>
      <c r="P360" s="22">
        <f t="shared" ref="P360" ca="1" si="1236">P359*$E359</f>
        <v>0</v>
      </c>
      <c r="Q360" s="22">
        <f t="shared" ref="Q360" ca="1" si="1237">Q359*$E359</f>
        <v>0</v>
      </c>
      <c r="R360" s="22">
        <f t="shared" ref="R360" ca="1" si="1238">R359*$E359</f>
        <v>0</v>
      </c>
      <c r="S360" s="22">
        <f t="shared" ref="S360" ca="1" si="1239">S359*$E359</f>
        <v>0</v>
      </c>
      <c r="U360" s="17"/>
      <c r="V360" s="18"/>
      <c r="W360" s="19"/>
      <c r="X360" s="20"/>
    </row>
    <row r="361" spans="1:24">
      <c r="A361" s="212"/>
      <c r="B361" s="212"/>
      <c r="C361" s="200" t="s">
        <v>100</v>
      </c>
      <c r="D361" s="199" t="str">
        <f>VLOOKUP(C361,'仕掛品名寄（貼付）'!B:C,2,FALSE)</f>
        <v>その他</v>
      </c>
      <c r="E361" s="199">
        <f>VLOOKUP(D361,'仕掛品標準単価一覧表（貼付）'!B:G,6,FALSE)</f>
        <v>1080</v>
      </c>
      <c r="F361" s="12" t="s">
        <v>246</v>
      </c>
      <c r="G361" s="13">
        <v>0</v>
      </c>
      <c r="H361" s="13">
        <f ca="1">SUMIF('1.3②原材料使用'!B:E,C361,'1.3②原材料使用'!E:E)</f>
        <v>0</v>
      </c>
      <c r="I361" s="13">
        <f ca="1">SUMIF('2.10原液別作業時間'!A:B,C361,'2.10原液別作業時間'!B:B)</f>
        <v>0</v>
      </c>
      <c r="J361" s="13">
        <f ca="1">SUM(G361:H361,K361)</f>
        <v>0</v>
      </c>
      <c r="K361" s="13">
        <f ca="1">SUMIF('2.2⑤純増減→前工程費'!B:E,C361,'2.2⑤純増減→前工程費'!E:E)</f>
        <v>0</v>
      </c>
      <c r="L361" s="13">
        <f ca="1">SUMIF('2.6完成品'!C:D,C361,'2.6完成品'!D:D)</f>
        <v>0</v>
      </c>
      <c r="M361" s="13">
        <f ca="1">SUMIF('2.3研究費'!D:E,C361,'2.3研究費'!E:E)</f>
        <v>0</v>
      </c>
      <c r="N361" s="13">
        <f ca="1">SUMIF('2.4販促費'!D:E,C361,'2.4販促費'!E:E)</f>
        <v>0</v>
      </c>
      <c r="O361" s="13">
        <f ca="1">SUMIF('2.5廃棄処分'!D:E,C361,'2.5廃棄処分'!E:E)</f>
        <v>0</v>
      </c>
      <c r="P361" s="13">
        <f ca="1">SUMIF('2.1④異種原液'!D:E,C361,'2.1④異種原液'!E:E)</f>
        <v>0</v>
      </c>
      <c r="Q361" s="14">
        <f ca="1">SUMIF('2.7製造部生産分'!D:I,C361,'2.7製造部生産分'!H:H)</f>
        <v>0</v>
      </c>
      <c r="R361" s="15">
        <f ca="1">-(G361+H361+K361-L361-M361-N361-O361-P361-Q361-S361)</f>
        <v>0</v>
      </c>
      <c r="S361" s="13">
        <f ca="1">SUMIF('2.9原液在庫'!B:H,C361,'2.9原液在庫'!H:H)</f>
        <v>0</v>
      </c>
      <c r="T361" s="16">
        <f ca="1">IFERROR(SUM(G362:K362)/(G361+H361+K361),0)</f>
        <v>0</v>
      </c>
      <c r="U361" s="17" t="str">
        <f>C361</f>
        <v>37RB海</v>
      </c>
      <c r="V361" s="18">
        <f ca="1">IF(ISERROR(SUM(G362:K362)/SUM(L361:Q361,S361)),0,SUM(G362:K362)/SUM(L361:Q361,S361))</f>
        <v>0</v>
      </c>
      <c r="W361" s="19">
        <f ca="1">V361</f>
        <v>0</v>
      </c>
      <c r="X361" s="20">
        <f ca="1">W361/1000</f>
        <v>0</v>
      </c>
    </row>
    <row r="362" spans="1:24">
      <c r="A362" s="212"/>
      <c r="B362" s="212"/>
      <c r="C362" s="201"/>
      <c r="D362" s="199"/>
      <c r="E362" s="199"/>
      <c r="F362" s="21" t="s">
        <v>247</v>
      </c>
      <c r="G362" s="22" t="s">
        <v>254</v>
      </c>
      <c r="H362" s="184"/>
      <c r="I362" s="23">
        <f ca="1">I361*労務費経費単価SC!D$7</f>
        <v>0</v>
      </c>
      <c r="J362" s="23">
        <f ca="1">J361*労務費経費単価SC!D$11</f>
        <v>0</v>
      </c>
      <c r="K362" s="22">
        <f ca="1">K361*$E361</f>
        <v>0</v>
      </c>
      <c r="L362" s="22">
        <f ca="1">L361*$E361</f>
        <v>0</v>
      </c>
      <c r="M362" s="22">
        <f t="shared" ref="M362" ca="1" si="1240">M361*$E361</f>
        <v>0</v>
      </c>
      <c r="N362" s="22">
        <f t="shared" ref="N362" ca="1" si="1241">N361*$E361</f>
        <v>0</v>
      </c>
      <c r="O362" s="22">
        <f t="shared" ref="O362" ca="1" si="1242">O361*$E361</f>
        <v>0</v>
      </c>
      <c r="P362" s="22">
        <f t="shared" ref="P362" ca="1" si="1243">P361*$E361</f>
        <v>0</v>
      </c>
      <c r="Q362" s="22">
        <f t="shared" ref="Q362" ca="1" si="1244">Q361*$E361</f>
        <v>0</v>
      </c>
      <c r="R362" s="22">
        <f t="shared" ref="R362" ca="1" si="1245">R361*$E361</f>
        <v>0</v>
      </c>
      <c r="S362" s="22">
        <f t="shared" ref="S362" ca="1" si="1246">S361*$E361</f>
        <v>0</v>
      </c>
      <c r="U362" s="17"/>
      <c r="V362" s="18"/>
      <c r="W362" s="19"/>
      <c r="X362" s="20"/>
    </row>
    <row r="363" spans="1:24">
      <c r="A363" s="212"/>
      <c r="B363" s="212"/>
      <c r="C363" s="200" t="s">
        <v>386</v>
      </c>
      <c r="D363" s="199" t="str">
        <f>VLOOKUP(C363,'仕掛品名寄（貼付）'!B:C,2,FALSE)</f>
        <v>Rシ</v>
      </c>
      <c r="E363" s="199">
        <f>VLOOKUP(D363,'仕掛品標準単価一覧表（貼付）'!B:G,6,FALSE)</f>
        <v>991</v>
      </c>
      <c r="F363" s="12" t="s">
        <v>246</v>
      </c>
      <c r="G363" s="13">
        <v>0</v>
      </c>
      <c r="H363" s="13">
        <f ca="1">SUMIF('1.3②原材料使用'!B:E,C363,'1.3②原材料使用'!E:E)</f>
        <v>0</v>
      </c>
      <c r="I363" s="13">
        <f ca="1">SUMIF('2.10原液別作業時間'!A:B,C363,'2.10原液別作業時間'!B:B)</f>
        <v>0</v>
      </c>
      <c r="J363" s="13">
        <f ca="1">SUM(G363:H363,K363)</f>
        <v>0</v>
      </c>
      <c r="K363" s="13">
        <f ca="1">SUMIF('2.2⑤純増減→前工程費'!B:E,C363,'2.2⑤純増減→前工程費'!E:E)</f>
        <v>0</v>
      </c>
      <c r="L363" s="13">
        <f ca="1">SUMIF('2.6完成品'!C:D,C363,'2.6完成品'!D:D)</f>
        <v>0</v>
      </c>
      <c r="M363" s="13">
        <f ca="1">SUMIF('2.3研究費'!D:E,C363,'2.3研究費'!E:E)</f>
        <v>0</v>
      </c>
      <c r="N363" s="13">
        <f ca="1">SUMIF('2.4販促費'!D:E,C363,'2.4販促費'!E:E)</f>
        <v>0</v>
      </c>
      <c r="O363" s="13">
        <f ca="1">SUMIF('2.5廃棄処分'!D:E,C363,'2.5廃棄処分'!E:E)</f>
        <v>0</v>
      </c>
      <c r="P363" s="13">
        <f ca="1">SUMIF('2.1④異種原液'!D:E,C363,'2.1④異種原液'!E:E)</f>
        <v>0</v>
      </c>
      <c r="Q363" s="14">
        <f ca="1">SUMIF('2.7製造部生産分'!D:I,C363,'2.7製造部生産分'!H:H)</f>
        <v>0</v>
      </c>
      <c r="R363" s="15">
        <f ca="1">-(G363+H363+K363-L363-M363-N363-O363-P363-Q363-S363)</f>
        <v>0</v>
      </c>
      <c r="S363" s="13">
        <f ca="1">SUMIF('2.9原液在庫'!B:H,C363,'2.9原液在庫'!H:H)</f>
        <v>0</v>
      </c>
      <c r="T363" s="16">
        <f ca="1">IFERROR(SUM(G364:K364)/(G363+H363+K363),0)</f>
        <v>0</v>
      </c>
      <c r="U363" s="17" t="str">
        <f>C363</f>
        <v>37Rｼ</v>
      </c>
      <c r="V363" s="18">
        <f ca="1">IF(ISERROR(SUM(G364:K364)/SUM(L363:Q363,S363)),0,SUM(G364:K364)/SUM(L363:Q363,S363))</f>
        <v>0</v>
      </c>
      <c r="W363" s="19">
        <f ca="1">V363</f>
        <v>0</v>
      </c>
      <c r="X363" s="20">
        <f ca="1">W363/1000</f>
        <v>0</v>
      </c>
    </row>
    <row r="364" spans="1:24">
      <c r="A364" s="201"/>
      <c r="B364" s="201"/>
      <c r="C364" s="201"/>
      <c r="D364" s="199"/>
      <c r="E364" s="199"/>
      <c r="F364" s="21" t="s">
        <v>247</v>
      </c>
      <c r="G364" s="22" t="s">
        <v>254</v>
      </c>
      <c r="H364" s="184"/>
      <c r="I364" s="23">
        <f ca="1">I363*労務費経費単価SC!D$7</f>
        <v>0</v>
      </c>
      <c r="J364" s="23">
        <f ca="1">J363*労務費経費単価SC!D$11</f>
        <v>0</v>
      </c>
      <c r="K364" s="22">
        <f ca="1">K363*$E363</f>
        <v>0</v>
      </c>
      <c r="L364" s="22">
        <f ca="1">L363*$E363</f>
        <v>0</v>
      </c>
      <c r="M364" s="22">
        <f t="shared" ref="M364" ca="1" si="1247">M363*$E363</f>
        <v>0</v>
      </c>
      <c r="N364" s="22">
        <f t="shared" ref="N364" ca="1" si="1248">N363*$E363</f>
        <v>0</v>
      </c>
      <c r="O364" s="22">
        <f t="shared" ref="O364" ca="1" si="1249">O363*$E363</f>
        <v>0</v>
      </c>
      <c r="P364" s="22">
        <f t="shared" ref="P364" ca="1" si="1250">P363*$E363</f>
        <v>0</v>
      </c>
      <c r="Q364" s="22">
        <f t="shared" ref="Q364" ca="1" si="1251">Q363*$E363</f>
        <v>0</v>
      </c>
      <c r="R364" s="22">
        <f t="shared" ref="R364" ca="1" si="1252">R363*$E363</f>
        <v>0</v>
      </c>
      <c r="S364" s="22">
        <f t="shared" ref="S364" ca="1" si="1253">S363*$E363</f>
        <v>0</v>
      </c>
      <c r="U364" s="17"/>
      <c r="V364" s="18"/>
      <c r="W364" s="19"/>
      <c r="X364" s="20"/>
    </row>
    <row r="365" spans="1:24">
      <c r="A365" s="211" t="s">
        <v>387</v>
      </c>
      <c r="B365" s="211">
        <v>38</v>
      </c>
      <c r="C365" s="211" t="s">
        <v>388</v>
      </c>
      <c r="D365" s="199" t="str">
        <f>VLOOKUP(C365,'仕掛品名寄（貼付）'!B:C,2,FALSE)</f>
        <v>R</v>
      </c>
      <c r="E365" s="199">
        <f>VLOOKUP(D365,'仕掛品標準単価一覧表（貼付）'!B:G,6,FALSE)</f>
        <v>908</v>
      </c>
      <c r="F365" s="12" t="s">
        <v>246</v>
      </c>
      <c r="G365" s="13">
        <v>74740.115000000005</v>
      </c>
      <c r="H365" s="13">
        <f ca="1">SUMIF('1.3②原材料使用'!B:E,C365,'1.3②原材料使用'!E:E)</f>
        <v>0</v>
      </c>
      <c r="I365" s="13">
        <f ca="1">SUMIF('2.10原液別作業時間'!A:B,C365,'2.10原液別作業時間'!B:B)</f>
        <v>0</v>
      </c>
      <c r="J365" s="13">
        <f ca="1">SUM(G365:H365,K365)</f>
        <v>74740.115000000005</v>
      </c>
      <c r="K365" s="13">
        <f ca="1">SUMIF('2.2⑤純増減→前工程費'!B:E,C365,'2.2⑤純増減→前工程費'!E:E)</f>
        <v>0</v>
      </c>
      <c r="L365" s="13">
        <f ca="1">SUMIF('2.6完成品'!C:D,C365,'2.6完成品'!D:D)</f>
        <v>0</v>
      </c>
      <c r="M365" s="13">
        <f ca="1">SUMIF('2.3研究費'!D:E,C365,'2.3研究費'!E:E)</f>
        <v>0</v>
      </c>
      <c r="N365" s="13">
        <f ca="1">SUMIF('2.4販促費'!D:E,C365,'2.4販促費'!E:E)</f>
        <v>0</v>
      </c>
      <c r="O365" s="13">
        <f ca="1">SUMIF('2.5廃棄処分'!D:E,C365,'2.5廃棄処分'!E:E)</f>
        <v>0</v>
      </c>
      <c r="P365" s="13">
        <f ca="1">SUMIF('2.1④異種原液'!D:E,C365,'2.1④異種原液'!E:E)</f>
        <v>0</v>
      </c>
      <c r="Q365" s="14">
        <f ca="1">SUMIF('2.7製造部生産分'!D:I,C365,'2.7製造部生産分'!H:H)</f>
        <v>0</v>
      </c>
      <c r="R365" s="15">
        <f ca="1">-(G365+H365+K365-L365-M365-N365-O365-P365-Q365-S365)</f>
        <v>0.38499999999476131</v>
      </c>
      <c r="S365" s="13">
        <f ca="1">SUMIF('2.9原液在庫'!B:H,C365,'2.9原液在庫'!H:H)</f>
        <v>74740.5</v>
      </c>
      <c r="T365" s="16">
        <f ca="1">IFERROR(SUM(G366:K366)/(G365+H365+K365),0)</f>
        <v>1078.0011252590618</v>
      </c>
      <c r="U365" s="17" t="str">
        <f>C365</f>
        <v>38R</v>
      </c>
      <c r="V365" s="18">
        <f ca="1">IF(ISERROR(SUM(G366:K366)/SUM(L365:Q365,S365)),0,SUM(G366:K366)/SUM(L365:Q365,S365))</f>
        <v>1077.9955723067374</v>
      </c>
      <c r="W365" s="19">
        <f ca="1">V365</f>
        <v>1077.9955723067374</v>
      </c>
      <c r="X365" s="20">
        <f ca="1">W365/1000</f>
        <v>1.0779955723067374</v>
      </c>
    </row>
    <row r="366" spans="1:24">
      <c r="A366" s="212"/>
      <c r="B366" s="212"/>
      <c r="C366" s="201"/>
      <c r="D366" s="199"/>
      <c r="E366" s="199"/>
      <c r="F366" s="21" t="s">
        <v>247</v>
      </c>
      <c r="G366" s="22">
        <v>78327724.621991694</v>
      </c>
      <c r="H366" s="184"/>
      <c r="I366" s="23">
        <f ca="1">I365*労務費経費単価SC!D$7</f>
        <v>0</v>
      </c>
      <c r="J366" s="23">
        <f ca="1">J365*労務費経費単価SC!D$11</f>
        <v>2242203.4500000002</v>
      </c>
      <c r="K366" s="22">
        <f ca="1">K365*$E365</f>
        <v>0</v>
      </c>
      <c r="L366" s="22">
        <f ca="1">L365*$E365</f>
        <v>0</v>
      </c>
      <c r="M366" s="22">
        <f t="shared" ref="M366" ca="1" si="1254">M365*$E365</f>
        <v>0</v>
      </c>
      <c r="N366" s="22">
        <f t="shared" ref="N366" ca="1" si="1255">N365*$E365</f>
        <v>0</v>
      </c>
      <c r="O366" s="22">
        <f t="shared" ref="O366" ca="1" si="1256">O365*$E365</f>
        <v>0</v>
      </c>
      <c r="P366" s="22">
        <f t="shared" ref="P366" ca="1" si="1257">P365*$E365</f>
        <v>0</v>
      </c>
      <c r="Q366" s="22">
        <f t="shared" ref="Q366" ca="1" si="1258">Q365*$E365</f>
        <v>0</v>
      </c>
      <c r="R366" s="22">
        <f t="shared" ref="R366" ca="1" si="1259">R365*$E365</f>
        <v>349.57999999524327</v>
      </c>
      <c r="S366" s="22">
        <f t="shared" ref="S366" ca="1" si="1260">S365*$E365</f>
        <v>67864374</v>
      </c>
      <c r="U366" s="17"/>
      <c r="V366" s="18"/>
      <c r="W366" s="19"/>
      <c r="X366" s="20"/>
    </row>
    <row r="367" spans="1:24">
      <c r="A367" s="212"/>
      <c r="B367" s="212"/>
      <c r="C367" s="200" t="s">
        <v>389</v>
      </c>
      <c r="D367" s="199" t="str">
        <f>VLOOKUP(C367,'仕掛品名寄（貼付）'!B:C,2,FALSE)</f>
        <v>Rリ</v>
      </c>
      <c r="E367" s="199">
        <f>VLOOKUP(D367,'仕掛品標準単価一覧表（貼付）'!B:G,6,FALSE)</f>
        <v>996.11839999999995</v>
      </c>
      <c r="F367" s="12" t="s">
        <v>246</v>
      </c>
      <c r="G367" s="24">
        <v>0</v>
      </c>
      <c r="H367" s="13">
        <f ca="1">SUMIF('1.3②原材料使用'!B:E,C367,'1.3②原材料使用'!E:E)</f>
        <v>0</v>
      </c>
      <c r="I367" s="13">
        <f ca="1">SUMIF('2.10原液別作業時間'!A:B,C367,'2.10原液別作業時間'!B:B)</f>
        <v>0</v>
      </c>
      <c r="J367" s="13">
        <f ca="1">SUM(G367:H367,K367)</f>
        <v>0</v>
      </c>
      <c r="K367" s="13">
        <f ca="1">SUMIF('2.2⑤純増減→前工程費'!B:E,C367,'2.2⑤純増減→前工程費'!E:E)</f>
        <v>0</v>
      </c>
      <c r="L367" s="13">
        <f ca="1">SUMIF('2.6完成品'!C:D,C367,'2.6完成品'!D:D)</f>
        <v>0</v>
      </c>
      <c r="M367" s="13">
        <f ca="1">SUMIF('2.3研究費'!D:E,C367,'2.3研究費'!E:E)</f>
        <v>0</v>
      </c>
      <c r="N367" s="13">
        <f ca="1">SUMIF('2.4販促費'!D:E,C367,'2.4販促費'!E:E)</f>
        <v>0</v>
      </c>
      <c r="O367" s="13">
        <f ca="1">SUMIF('2.5廃棄処分'!D:E,C367,'2.5廃棄処分'!E:E)</f>
        <v>0</v>
      </c>
      <c r="P367" s="13">
        <f ca="1">SUMIF('2.1④異種原液'!D:E,C367,'2.1④異種原液'!E:E)</f>
        <v>0</v>
      </c>
      <c r="Q367" s="14">
        <f ca="1">SUMIF('2.7製造部生産分'!D:I,C367,'2.7製造部生産分'!H:H)</f>
        <v>0</v>
      </c>
      <c r="R367" s="15">
        <f ca="1">-(G367+H367+K367-L367-M367-N367-O367-P367-Q367-S367)</f>
        <v>0</v>
      </c>
      <c r="S367" s="13">
        <f ca="1">SUMIF('2.9原液在庫'!B:H,C367,'2.9原液在庫'!H:H)</f>
        <v>0</v>
      </c>
      <c r="T367" s="16">
        <f ca="1">IFERROR(SUM(G368:K368)/(G367+H367+K367),0)</f>
        <v>0</v>
      </c>
      <c r="U367" s="17" t="str">
        <f>C367</f>
        <v>38Rリ</v>
      </c>
      <c r="V367" s="18">
        <f ca="1">IF(ISERROR(SUM(G368:K368)/SUM(L367:Q367,S367)),0,SUM(G368:K368)/SUM(L367:Q367,S367))</f>
        <v>0</v>
      </c>
      <c r="W367" s="19">
        <f ca="1">V367</f>
        <v>0</v>
      </c>
      <c r="X367" s="20">
        <f ca="1">W367/1000</f>
        <v>0</v>
      </c>
    </row>
    <row r="368" spans="1:24">
      <c r="A368" s="212"/>
      <c r="B368" s="212"/>
      <c r="C368" s="201"/>
      <c r="D368" s="199"/>
      <c r="E368" s="199"/>
      <c r="F368" s="21" t="s">
        <v>247</v>
      </c>
      <c r="G368" s="22" t="s">
        <v>254</v>
      </c>
      <c r="H368" s="184"/>
      <c r="I368" s="23">
        <f ca="1">I367*労務費経費単価SC!D$7</f>
        <v>0</v>
      </c>
      <c r="J368" s="23">
        <f ca="1">J367*労務費経費単価SC!D$11</f>
        <v>0</v>
      </c>
      <c r="K368" s="22">
        <f ca="1">K367*$E367</f>
        <v>0</v>
      </c>
      <c r="L368" s="22">
        <f ca="1">L367*$E367</f>
        <v>0</v>
      </c>
      <c r="M368" s="22">
        <f t="shared" ref="M368" ca="1" si="1261">M367*$E367</f>
        <v>0</v>
      </c>
      <c r="N368" s="22">
        <f t="shared" ref="N368" ca="1" si="1262">N367*$E367</f>
        <v>0</v>
      </c>
      <c r="O368" s="22">
        <f t="shared" ref="O368" ca="1" si="1263">O367*$E367</f>
        <v>0</v>
      </c>
      <c r="P368" s="22">
        <f t="shared" ref="P368" ca="1" si="1264">P367*$E367</f>
        <v>0</v>
      </c>
      <c r="Q368" s="22">
        <f t="shared" ref="Q368" ca="1" si="1265">Q367*$E367</f>
        <v>0</v>
      </c>
      <c r="R368" s="22">
        <f t="shared" ref="R368" ca="1" si="1266">R367*$E367</f>
        <v>0</v>
      </c>
      <c r="S368" s="22">
        <f t="shared" ref="S368" ca="1" si="1267">S367*$E367</f>
        <v>0</v>
      </c>
      <c r="U368" s="17"/>
      <c r="V368" s="18"/>
      <c r="W368" s="19"/>
      <c r="X368" s="20"/>
    </row>
    <row r="369" spans="1:24">
      <c r="A369" s="212"/>
      <c r="B369" s="212"/>
      <c r="C369" s="200" t="s">
        <v>390</v>
      </c>
      <c r="D369" s="199" t="str">
        <f>VLOOKUP(C369,'仕掛品名寄（貼付）'!B:C,2,FALSE)</f>
        <v>RB</v>
      </c>
      <c r="E369" s="199">
        <f>VLOOKUP(D369,'仕掛品標準単価一覧表（貼付）'!B:G,6,FALSE)</f>
        <v>1026.5183999999999</v>
      </c>
      <c r="F369" s="12" t="s">
        <v>246</v>
      </c>
      <c r="G369" s="24">
        <v>0</v>
      </c>
      <c r="H369" s="13">
        <f ca="1">SUMIF('1.3②原材料使用'!B:E,C369,'1.3②原材料使用'!E:E)</f>
        <v>0</v>
      </c>
      <c r="I369" s="13">
        <f ca="1">SUMIF('2.10原液別作業時間'!A:B,C369,'2.10原液別作業時間'!B:B)</f>
        <v>0</v>
      </c>
      <c r="J369" s="13">
        <f ca="1">SUM(G369:H369,K369)</f>
        <v>0</v>
      </c>
      <c r="K369" s="13">
        <f ca="1">SUMIF('2.2⑤純増減→前工程費'!B:E,C369,'2.2⑤純増減→前工程費'!E:E)</f>
        <v>0</v>
      </c>
      <c r="L369" s="13">
        <f ca="1">SUMIF('2.6完成品'!C:D,C369,'2.6完成品'!D:D)</f>
        <v>0</v>
      </c>
      <c r="M369" s="13">
        <f ca="1">SUMIF('2.3研究費'!D:E,C369,'2.3研究費'!E:E)</f>
        <v>0</v>
      </c>
      <c r="N369" s="13">
        <f ca="1">SUMIF('2.4販促費'!D:E,C369,'2.4販促費'!E:E)</f>
        <v>0</v>
      </c>
      <c r="O369" s="13">
        <f ca="1">SUMIF('2.5廃棄処分'!D:E,C369,'2.5廃棄処分'!E:E)</f>
        <v>0</v>
      </c>
      <c r="P369" s="13">
        <f ca="1">SUMIF('2.1④異種原液'!D:E,C369,'2.1④異種原液'!E:E)</f>
        <v>0</v>
      </c>
      <c r="Q369" s="14">
        <f ca="1">SUMIF('2.7製造部生産分'!D:I,C369,'2.7製造部生産分'!H:H)</f>
        <v>0</v>
      </c>
      <c r="R369" s="15">
        <f ca="1">-(G369+H369+K369-L369-M369-N369-O369-P369-Q369-S369)</f>
        <v>0</v>
      </c>
      <c r="S369" s="13">
        <f ca="1">SUMIF('2.9原液在庫'!B:H,C369,'2.9原液在庫'!H:H)</f>
        <v>0</v>
      </c>
      <c r="T369" s="16">
        <f ca="1">IFERROR(SUM(G370:K370)/(G369+H369+K369),0)</f>
        <v>0</v>
      </c>
      <c r="U369" s="17" t="str">
        <f>C369</f>
        <v>38RB</v>
      </c>
      <c r="V369" s="18">
        <f ca="1">IF(ISERROR(SUM(G370:K370)/SUM(L369:Q369,S369)),0,SUM(G370:K370)/SUM(L369:Q369,S369))</f>
        <v>0</v>
      </c>
      <c r="W369" s="19">
        <f ca="1">V369</f>
        <v>0</v>
      </c>
      <c r="X369" s="20">
        <f ca="1">W369/1000</f>
        <v>0</v>
      </c>
    </row>
    <row r="370" spans="1:24">
      <c r="A370" s="212"/>
      <c r="B370" s="212"/>
      <c r="C370" s="201"/>
      <c r="D370" s="199"/>
      <c r="E370" s="199"/>
      <c r="F370" s="21" t="s">
        <v>247</v>
      </c>
      <c r="G370" s="22" t="s">
        <v>254</v>
      </c>
      <c r="H370" s="184"/>
      <c r="I370" s="23">
        <f ca="1">I369*労務費経費単価SC!D$7</f>
        <v>0</v>
      </c>
      <c r="J370" s="23">
        <f ca="1">J369*労務費経費単価SC!D$11</f>
        <v>0</v>
      </c>
      <c r="K370" s="22">
        <f ca="1">K369*$E369</f>
        <v>0</v>
      </c>
      <c r="L370" s="22">
        <f ca="1">L369*$E369</f>
        <v>0</v>
      </c>
      <c r="M370" s="22">
        <f t="shared" ref="M370" ca="1" si="1268">M369*$E369</f>
        <v>0</v>
      </c>
      <c r="N370" s="22">
        <f t="shared" ref="N370" ca="1" si="1269">N369*$E369</f>
        <v>0</v>
      </c>
      <c r="O370" s="22">
        <f t="shared" ref="O370" ca="1" si="1270">O369*$E369</f>
        <v>0</v>
      </c>
      <c r="P370" s="22">
        <f t="shared" ref="P370" ca="1" si="1271">P369*$E369</f>
        <v>0</v>
      </c>
      <c r="Q370" s="22">
        <f t="shared" ref="Q370" ca="1" si="1272">Q369*$E369</f>
        <v>0</v>
      </c>
      <c r="R370" s="22">
        <f t="shared" ref="R370" ca="1" si="1273">R369*$E369</f>
        <v>0</v>
      </c>
      <c r="S370" s="22">
        <f t="shared" ref="S370" ca="1" si="1274">S369*$E369</f>
        <v>0</v>
      </c>
      <c r="U370" s="17"/>
      <c r="V370" s="18"/>
      <c r="W370" s="19"/>
      <c r="X370" s="20"/>
    </row>
    <row r="371" spans="1:24">
      <c r="A371" s="212"/>
      <c r="B371" s="212"/>
      <c r="C371" s="200" t="s">
        <v>391</v>
      </c>
      <c r="D371" s="199" t="str">
        <f>VLOOKUP(C371,'仕掛品名寄（貼付）'!B:C,2,FALSE)</f>
        <v>Rシ</v>
      </c>
      <c r="E371" s="199">
        <f>VLOOKUP(D371,'仕掛品標準単価一覧表（貼付）'!B:G,6,FALSE)</f>
        <v>991</v>
      </c>
      <c r="F371" s="12" t="s">
        <v>246</v>
      </c>
      <c r="G371" s="24">
        <v>1.4210854715202004E-14</v>
      </c>
      <c r="H371" s="13">
        <f ca="1">SUMIF('1.3②原材料使用'!B:E,C371,'1.3②原材料使用'!E:E)</f>
        <v>0</v>
      </c>
      <c r="I371" s="13">
        <f ca="1">SUMIF('2.10原液別作業時間'!A:B,C371,'2.10原液別作業時間'!B:B)</f>
        <v>0</v>
      </c>
      <c r="J371" s="13">
        <f ca="1">SUM(G371:H371,K371)</f>
        <v>1.4210854715202004E-14</v>
      </c>
      <c r="K371" s="13">
        <f ca="1">SUMIF('2.2⑤純増減→前工程費'!B:E,C371,'2.2⑤純増減→前工程費'!E:E)</f>
        <v>0</v>
      </c>
      <c r="L371" s="13">
        <f ca="1">SUMIF('2.6完成品'!C:D,C371,'2.6完成品'!D:D)</f>
        <v>0</v>
      </c>
      <c r="M371" s="13">
        <f ca="1">SUMIF('2.3研究費'!D:E,C371,'2.3研究費'!E:E)</f>
        <v>0</v>
      </c>
      <c r="N371" s="13">
        <f ca="1">SUMIF('2.4販促費'!D:E,C371,'2.4販促費'!E:E)</f>
        <v>0</v>
      </c>
      <c r="O371" s="13">
        <f ca="1">SUMIF('2.5廃棄処分'!D:E,C371,'2.5廃棄処分'!E:E)</f>
        <v>0</v>
      </c>
      <c r="P371" s="13">
        <f ca="1">SUMIF('2.1④異種原液'!D:E,C371,'2.1④異種原液'!E:E)</f>
        <v>0</v>
      </c>
      <c r="Q371" s="14">
        <f ca="1">SUMIF('2.7製造部生産分'!D:I,C371,'2.7製造部生産分'!H:H)</f>
        <v>0</v>
      </c>
      <c r="R371" s="15">
        <f ca="1">-(G371+H371+K371-L371-M371-N371-O371-P371-Q371-S371)</f>
        <v>0</v>
      </c>
      <c r="S371" s="13">
        <f ca="1">SUMIF('2.9原液在庫'!B:H,C371,'2.9原液在庫'!H:H)</f>
        <v>1.4210854715202004E-14</v>
      </c>
      <c r="T371" s="16">
        <f ca="1">IFERROR(SUM(G372:K372)/(G371+H371+K371),0)</f>
        <v>1113.5507275004459</v>
      </c>
      <c r="U371" s="17" t="str">
        <f>C371</f>
        <v>38Rｼ</v>
      </c>
      <c r="V371" s="18">
        <f ca="1">IF(ISERROR(SUM(G372:K372)/SUM(L371:Q371,S371)),0,SUM(G372:K372)/SUM(L371:Q371,S371))</f>
        <v>1113.5507275004459</v>
      </c>
      <c r="W371" s="19">
        <f ca="1">V371</f>
        <v>1113.5507275004459</v>
      </c>
      <c r="X371" s="20">
        <f ca="1">W371/1000</f>
        <v>1.1135507275004459</v>
      </c>
    </row>
    <row r="372" spans="1:24">
      <c r="A372" s="212"/>
      <c r="B372" s="212"/>
      <c r="C372" s="201"/>
      <c r="D372" s="199"/>
      <c r="E372" s="199"/>
      <c r="F372" s="21" t="s">
        <v>247</v>
      </c>
      <c r="G372" s="22">
        <v>1.5398181965060273E-11</v>
      </c>
      <c r="H372" s="184"/>
      <c r="I372" s="23">
        <f ca="1">I371*労務費経費単価SC!D$7</f>
        <v>0</v>
      </c>
      <c r="J372" s="23">
        <f ca="1">J371*労務費経費単価SC!D$11</f>
        <v>4.2632564145606011E-13</v>
      </c>
      <c r="K372" s="22">
        <f ca="1">K371*$E371</f>
        <v>0</v>
      </c>
      <c r="L372" s="22">
        <f ca="1">L371*$E371</f>
        <v>0</v>
      </c>
      <c r="M372" s="22">
        <f t="shared" ref="M372" ca="1" si="1275">M371*$E371</f>
        <v>0</v>
      </c>
      <c r="N372" s="22">
        <f t="shared" ref="N372" ca="1" si="1276">N371*$E371</f>
        <v>0</v>
      </c>
      <c r="O372" s="22">
        <f t="shared" ref="O372" ca="1" si="1277">O371*$E371</f>
        <v>0</v>
      </c>
      <c r="P372" s="22">
        <f t="shared" ref="P372" ca="1" si="1278">P371*$E371</f>
        <v>0</v>
      </c>
      <c r="Q372" s="22">
        <f t="shared" ref="Q372" ca="1" si="1279">Q371*$E371</f>
        <v>0</v>
      </c>
      <c r="R372" s="22">
        <f t="shared" ref="R372" ca="1" si="1280">R371*$E371</f>
        <v>0</v>
      </c>
      <c r="S372" s="22">
        <f t="shared" ref="S372" ca="1" si="1281">S371*$E371</f>
        <v>1.4082957022765186E-11</v>
      </c>
      <c r="U372" s="17"/>
      <c r="V372" s="18"/>
      <c r="W372" s="19"/>
      <c r="X372" s="20"/>
    </row>
    <row r="373" spans="1:24">
      <c r="A373" s="212"/>
      <c r="B373" s="212"/>
      <c r="C373" s="200" t="s">
        <v>101</v>
      </c>
      <c r="D373" s="199" t="str">
        <f>VLOOKUP(C373,'仕掛品名寄（貼付）'!B:C,2,FALSE)</f>
        <v>B</v>
      </c>
      <c r="E373" s="199">
        <f>VLOOKUP(D373,'仕掛品標準単価一覧表（貼付）'!B:G,6,FALSE)</f>
        <v>1455</v>
      </c>
      <c r="F373" s="12" t="s">
        <v>246</v>
      </c>
      <c r="G373" s="24">
        <v>575.5</v>
      </c>
      <c r="H373" s="13">
        <f ca="1">SUMIF('1.3②原材料使用'!B:E,C373,'1.3②原材料使用'!E:E)</f>
        <v>0</v>
      </c>
      <c r="I373" s="13">
        <f ca="1">SUMIF('2.10原液別作業時間'!A:B,C373,'2.10原液別作業時間'!B:B)</f>
        <v>0</v>
      </c>
      <c r="J373" s="13">
        <f ca="1">SUM(G373:H373,K373)</f>
        <v>575.5</v>
      </c>
      <c r="K373" s="13">
        <f ca="1">SUMIF('2.2⑤純増減→前工程費'!B:E,C373,'2.2⑤純増減→前工程費'!E:E)</f>
        <v>0</v>
      </c>
      <c r="L373" s="13">
        <f ca="1">SUMIF('2.6完成品'!C:D,C373,'2.6完成品'!D:D)</f>
        <v>0</v>
      </c>
      <c r="M373" s="13">
        <f ca="1">SUMIF('2.3研究費'!D:E,C373,'2.3研究費'!E:E)</f>
        <v>0</v>
      </c>
      <c r="N373" s="13">
        <f ca="1">SUMIF('2.4販促費'!D:E,C373,'2.4販促費'!E:E)</f>
        <v>0</v>
      </c>
      <c r="O373" s="13">
        <f ca="1">SUMIF('2.5廃棄処分'!D:E,C373,'2.5廃棄処分'!E:E)</f>
        <v>0</v>
      </c>
      <c r="P373" s="13">
        <f ca="1">SUMIF('2.1④異種原液'!D:E,C373,'2.1④異種原液'!E:E)</f>
        <v>0</v>
      </c>
      <c r="Q373" s="14">
        <f ca="1">SUMIF('2.7製造部生産分'!D:I,C373,'2.7製造部生産分'!H:H)</f>
        <v>0</v>
      </c>
      <c r="R373" s="15">
        <f ca="1">-(G373+H373+K373-L373-M373-N373-O373-P373-Q373-S373)</f>
        <v>0</v>
      </c>
      <c r="S373" s="13">
        <f ca="1">SUMIF('2.9原液在庫'!B:H,C373,'2.9原液在庫'!H:H)</f>
        <v>575.5</v>
      </c>
      <c r="T373" s="16">
        <f ca="1">IFERROR(SUM(G374:K374)/(G373+H373+K373),0)</f>
        <v>1311.6763155323517</v>
      </c>
      <c r="U373" s="17" t="str">
        <f>C373</f>
        <v>38B</v>
      </c>
      <c r="V373" s="18">
        <f ca="1">IF(ISERROR(SUM(G374:K374)/SUM(L373:Q373,S373)),0,SUM(G374:K374)/SUM(L373:Q373,S373))</f>
        <v>1311.6763155323517</v>
      </c>
      <c r="W373" s="19">
        <f ca="1">V373</f>
        <v>1311.6763155323517</v>
      </c>
      <c r="X373" s="20">
        <f ca="1">W373/1000</f>
        <v>1.3116763155323516</v>
      </c>
    </row>
    <row r="374" spans="1:24">
      <c r="A374" s="212"/>
      <c r="B374" s="212"/>
      <c r="C374" s="207"/>
      <c r="D374" s="199"/>
      <c r="E374" s="199"/>
      <c r="F374" s="21" t="s">
        <v>247</v>
      </c>
      <c r="G374" s="22">
        <v>737604.71958886844</v>
      </c>
      <c r="H374" s="184"/>
      <c r="I374" s="23">
        <f ca="1">I373*労務費経費単価SC!D$7</f>
        <v>0</v>
      </c>
      <c r="J374" s="23">
        <f ca="1">J373*労務費経費単価SC!D$11</f>
        <v>17265</v>
      </c>
      <c r="K374" s="22">
        <f ca="1">K373*$E373</f>
        <v>0</v>
      </c>
      <c r="L374" s="22">
        <f ca="1">L373*$E373</f>
        <v>0</v>
      </c>
      <c r="M374" s="22">
        <f t="shared" ref="M374" ca="1" si="1282">M373*$E373</f>
        <v>0</v>
      </c>
      <c r="N374" s="22">
        <f t="shared" ref="N374" ca="1" si="1283">N373*$E373</f>
        <v>0</v>
      </c>
      <c r="O374" s="22">
        <f t="shared" ref="O374" ca="1" si="1284">O373*$E373</f>
        <v>0</v>
      </c>
      <c r="P374" s="22">
        <f t="shared" ref="P374" ca="1" si="1285">P373*$E373</f>
        <v>0</v>
      </c>
      <c r="Q374" s="22">
        <f t="shared" ref="Q374" ca="1" si="1286">Q373*$E373</f>
        <v>0</v>
      </c>
      <c r="R374" s="22">
        <f t="shared" ref="R374" ca="1" si="1287">R373*$E373</f>
        <v>0</v>
      </c>
      <c r="S374" s="22">
        <f t="shared" ref="S374" ca="1" si="1288">S373*$E373</f>
        <v>837352.5</v>
      </c>
      <c r="U374" s="17"/>
      <c r="V374" s="18"/>
      <c r="W374" s="19"/>
      <c r="X374" s="20"/>
    </row>
    <row r="375" spans="1:24">
      <c r="A375" s="212"/>
      <c r="B375" s="212"/>
      <c r="C375" s="200" t="s">
        <v>102</v>
      </c>
      <c r="D375" s="199" t="str">
        <f>VLOOKUP(C375,'仕掛品名寄（貼付）'!B:C,2,FALSE)</f>
        <v>O</v>
      </c>
      <c r="E375" s="199">
        <f>VLOOKUP(D375,'仕掛品標準単価一覧表（貼付）'!B:G,6,FALSE)</f>
        <v>2544.7183999999997</v>
      </c>
      <c r="F375" s="12" t="s">
        <v>246</v>
      </c>
      <c r="G375" s="24">
        <v>585</v>
      </c>
      <c r="H375" s="13">
        <f ca="1">SUMIF('1.3②原材料使用'!B:E,C375,'1.3②原材料使用'!E:E)</f>
        <v>0</v>
      </c>
      <c r="I375" s="13">
        <f ca="1">SUMIF('2.10原液別作業時間'!A:B,C375,'2.10原液別作業時間'!B:B)</f>
        <v>0</v>
      </c>
      <c r="J375" s="13">
        <f ca="1">SUM(G375:H375,K375)</f>
        <v>585</v>
      </c>
      <c r="K375" s="13">
        <f ca="1">SUMIF('2.2⑤純増減→前工程費'!B:E,C375,'2.2⑤純増減→前工程費'!E:E)</f>
        <v>0</v>
      </c>
      <c r="L375" s="13">
        <f ca="1">SUMIF('2.6完成品'!C:D,C375,'2.6完成品'!D:D)</f>
        <v>0</v>
      </c>
      <c r="M375" s="13">
        <f ca="1">SUMIF('2.3研究費'!D:E,C375,'2.3研究費'!E:E)</f>
        <v>0</v>
      </c>
      <c r="N375" s="13">
        <f ca="1">SUMIF('2.4販促費'!D:E,C375,'2.4販促費'!E:E)</f>
        <v>0</v>
      </c>
      <c r="O375" s="13">
        <f ca="1">SUMIF('2.5廃棄処分'!D:E,C375,'2.5廃棄処分'!E:E)</f>
        <v>0</v>
      </c>
      <c r="P375" s="13">
        <f ca="1">SUMIF('2.1④異種原液'!D:E,C375,'2.1④異種原液'!E:E)</f>
        <v>0</v>
      </c>
      <c r="Q375" s="14">
        <f ca="1">SUMIF('2.7製造部生産分'!D:I,C375,'2.7製造部生産分'!H:H)</f>
        <v>0</v>
      </c>
      <c r="R375" s="15">
        <f ca="1">-(G375+H375+K375-L375-M375-N375-O375-P375-Q375-S375)</f>
        <v>0</v>
      </c>
      <c r="S375" s="13">
        <f ca="1">SUMIF('2.9原液在庫'!B:H,C375,'2.9原液在庫'!H:H)</f>
        <v>585</v>
      </c>
      <c r="T375" s="16">
        <f ca="1">IFERROR(SUM(G376:K376)/(G375+H375+K375),0)</f>
        <v>1328.8676471866006</v>
      </c>
      <c r="U375" s="17" t="str">
        <f>C375</f>
        <v>38O</v>
      </c>
      <c r="V375" s="18">
        <f ca="1">IF(ISERROR(SUM(G376:K376)/SUM(L375:Q375,S375)),0,SUM(G376:K376)/SUM(L375:Q375,S375))</f>
        <v>1328.8676471866006</v>
      </c>
      <c r="W375" s="19">
        <f ca="1">V375</f>
        <v>1328.8676471866006</v>
      </c>
      <c r="X375" s="20">
        <f ca="1">W375/1000</f>
        <v>1.3288676471866006</v>
      </c>
    </row>
    <row r="376" spans="1:24">
      <c r="A376" s="212"/>
      <c r="B376" s="212"/>
      <c r="C376" s="201"/>
      <c r="D376" s="199"/>
      <c r="E376" s="199"/>
      <c r="F376" s="21" t="s">
        <v>247</v>
      </c>
      <c r="G376" s="22">
        <v>759837.57360416139</v>
      </c>
      <c r="H376" s="184"/>
      <c r="I376" s="23">
        <f ca="1">I375*労務費経費単価SC!D$7</f>
        <v>0</v>
      </c>
      <c r="J376" s="23">
        <f ca="1">J375*労務費経費単価SC!D$11</f>
        <v>17550</v>
      </c>
      <c r="K376" s="22">
        <f ca="1">K375*$E375</f>
        <v>0</v>
      </c>
      <c r="L376" s="22">
        <f ca="1">L375*$E375</f>
        <v>0</v>
      </c>
      <c r="M376" s="22">
        <f t="shared" ref="M376" ca="1" si="1289">M375*$E375</f>
        <v>0</v>
      </c>
      <c r="N376" s="22">
        <f t="shared" ref="N376" ca="1" si="1290">N375*$E375</f>
        <v>0</v>
      </c>
      <c r="O376" s="22">
        <f t="shared" ref="O376" ca="1" si="1291">O375*$E375</f>
        <v>0</v>
      </c>
      <c r="P376" s="22">
        <f t="shared" ref="P376" ca="1" si="1292">P375*$E375</f>
        <v>0</v>
      </c>
      <c r="Q376" s="22">
        <f t="shared" ref="Q376" ca="1" si="1293">Q375*$E375</f>
        <v>0</v>
      </c>
      <c r="R376" s="22">
        <f t="shared" ref="R376" ca="1" si="1294">R375*$E375</f>
        <v>0</v>
      </c>
      <c r="S376" s="22">
        <f t="shared" ref="S376" ca="1" si="1295">S375*$E375</f>
        <v>1488660.264</v>
      </c>
      <c r="U376" s="17"/>
      <c r="V376" s="18"/>
      <c r="W376" s="19"/>
      <c r="X376" s="20"/>
    </row>
    <row r="377" spans="1:24">
      <c r="A377" s="212"/>
      <c r="B377" s="212"/>
      <c r="C377" s="200" t="s">
        <v>392</v>
      </c>
      <c r="D377" s="199" t="str">
        <f>VLOOKUP(C377,'仕掛品名寄（貼付）'!B:C,2,FALSE)</f>
        <v>HI</v>
      </c>
      <c r="E377" s="199">
        <f>VLOOKUP(D377,'仕掛品標準単価一覧表（貼付）'!B:G,6,FALSE)</f>
        <v>1176</v>
      </c>
      <c r="F377" s="12" t="s">
        <v>246</v>
      </c>
      <c r="G377" s="24">
        <v>0</v>
      </c>
      <c r="H377" s="13">
        <f ca="1">SUMIF('1.3②原材料使用'!B:E,C377,'1.3②原材料使用'!E:E)</f>
        <v>0</v>
      </c>
      <c r="I377" s="13">
        <f ca="1">SUMIF('2.10原液別作業時間'!A:B,C377,'2.10原液別作業時間'!B:B)</f>
        <v>0</v>
      </c>
      <c r="J377" s="13">
        <f ca="1">SUM(G377:H377,K377)</f>
        <v>0</v>
      </c>
      <c r="K377" s="13">
        <f ca="1">SUMIF('2.2⑤純増減→前工程費'!B:E,C377,'2.2⑤純増減→前工程費'!E:E)</f>
        <v>0</v>
      </c>
      <c r="L377" s="13">
        <f ca="1">SUMIF('2.6完成品'!C:D,C377,'2.6完成品'!D:D)</f>
        <v>0</v>
      </c>
      <c r="M377" s="13">
        <f ca="1">SUMIF('2.3研究費'!D:E,C377,'2.3研究費'!E:E)</f>
        <v>0</v>
      </c>
      <c r="N377" s="13">
        <f ca="1">SUMIF('2.4販促費'!D:E,C377,'2.4販促費'!E:E)</f>
        <v>0</v>
      </c>
      <c r="O377" s="13">
        <f ca="1">SUMIF('2.5廃棄処分'!D:E,C377,'2.5廃棄処分'!E:E)</f>
        <v>0</v>
      </c>
      <c r="P377" s="13">
        <f ca="1">SUMIF('2.1④異種原液'!D:E,C377,'2.1④異種原液'!E:E)</f>
        <v>0</v>
      </c>
      <c r="Q377" s="14">
        <f ca="1">SUMIF('2.7製造部生産分'!D:I,C377,'2.7製造部生産分'!H:H)</f>
        <v>0</v>
      </c>
      <c r="R377" s="15">
        <f ca="1">-(G377+H377+K377-L377-M377-N377-O377-P377-Q377-S377)</f>
        <v>0</v>
      </c>
      <c r="S377" s="13">
        <f ca="1">SUMIF('2.9原液在庫'!B:H,C377,'2.9原液在庫'!H:H)</f>
        <v>0</v>
      </c>
      <c r="T377" s="16">
        <f ca="1">IFERROR(SUM(G378:K378)/(G377+H377+K377),0)</f>
        <v>0</v>
      </c>
      <c r="U377" s="17" t="str">
        <f>C377</f>
        <v>38HI</v>
      </c>
      <c r="V377" s="18">
        <f ca="1">IF(ISERROR(SUM(G378:K378)/SUM(L377:Q377,S377)),0,SUM(G378:K378)/SUM(L377:Q377,S377))</f>
        <v>0</v>
      </c>
      <c r="W377" s="19">
        <f ca="1">V377</f>
        <v>0</v>
      </c>
      <c r="X377" s="20">
        <f ca="1">W377/1000</f>
        <v>0</v>
      </c>
    </row>
    <row r="378" spans="1:24">
      <c r="A378" s="212"/>
      <c r="B378" s="212"/>
      <c r="C378" s="201"/>
      <c r="D378" s="199"/>
      <c r="E378" s="199"/>
      <c r="F378" s="21" t="s">
        <v>247</v>
      </c>
      <c r="G378" s="22" t="s">
        <v>254</v>
      </c>
      <c r="H378" s="184"/>
      <c r="I378" s="23">
        <f ca="1">I377*労務費経費単価SC!D$7</f>
        <v>0</v>
      </c>
      <c r="J378" s="23">
        <f ca="1">J377*労務費経費単価SC!D$11</f>
        <v>0</v>
      </c>
      <c r="K378" s="22">
        <f ca="1">K377*$E377</f>
        <v>0</v>
      </c>
      <c r="L378" s="22">
        <f ca="1">L377*$E377</f>
        <v>0</v>
      </c>
      <c r="M378" s="22">
        <f t="shared" ref="M378" ca="1" si="1296">M377*$E377</f>
        <v>0</v>
      </c>
      <c r="N378" s="22">
        <f t="shared" ref="N378" ca="1" si="1297">N377*$E377</f>
        <v>0</v>
      </c>
      <c r="O378" s="22">
        <f t="shared" ref="O378" ca="1" si="1298">O377*$E377</f>
        <v>0</v>
      </c>
      <c r="P378" s="22">
        <f t="shared" ref="P378" ca="1" si="1299">P377*$E377</f>
        <v>0</v>
      </c>
      <c r="Q378" s="22">
        <f t="shared" ref="Q378" ca="1" si="1300">Q377*$E377</f>
        <v>0</v>
      </c>
      <c r="R378" s="22">
        <f t="shared" ref="R378" ca="1" si="1301">R377*$E377</f>
        <v>0</v>
      </c>
      <c r="S378" s="22">
        <f t="shared" ref="S378" ca="1" si="1302">S377*$E377</f>
        <v>0</v>
      </c>
      <c r="U378" s="17"/>
      <c r="V378" s="18"/>
      <c r="W378" s="19"/>
      <c r="X378" s="20"/>
    </row>
    <row r="379" spans="1:24">
      <c r="A379" s="212"/>
      <c r="B379" s="212"/>
      <c r="C379" s="200" t="s">
        <v>393</v>
      </c>
      <c r="D379" s="199" t="str">
        <f>VLOOKUP(C379,'仕掛品名寄（貼付）'!B:C,2,FALSE)</f>
        <v>G</v>
      </c>
      <c r="E379" s="199">
        <f>VLOOKUP(D379,'仕掛品標準単価一覧表（貼付）'!B:G,6,FALSE)</f>
        <v>2344.7183999999997</v>
      </c>
      <c r="F379" s="12" t="s">
        <v>246</v>
      </c>
      <c r="G379" s="24">
        <v>0</v>
      </c>
      <c r="H379" s="13">
        <f ca="1">SUMIF('1.3②原材料使用'!B:E,C379,'1.3②原材料使用'!E:E)</f>
        <v>0</v>
      </c>
      <c r="I379" s="13">
        <f ca="1">SUMIF('2.10原液別作業時間'!A:B,C379,'2.10原液別作業時間'!B:B)</f>
        <v>0</v>
      </c>
      <c r="J379" s="13">
        <f ca="1">SUM(G379:H379,K379)</f>
        <v>0</v>
      </c>
      <c r="K379" s="13">
        <f ca="1">SUMIF('2.2⑤純増減→前工程費'!B:E,C379,'2.2⑤純増減→前工程費'!E:E)</f>
        <v>0</v>
      </c>
      <c r="L379" s="13">
        <f ca="1">SUMIF('2.6完成品'!C:D,C379,'2.6完成品'!D:D)</f>
        <v>0</v>
      </c>
      <c r="M379" s="13">
        <f ca="1">SUMIF('2.3研究費'!D:E,C379,'2.3研究費'!E:E)</f>
        <v>0</v>
      </c>
      <c r="N379" s="13">
        <f ca="1">SUMIF('2.4販促費'!D:E,C379,'2.4販促費'!E:E)</f>
        <v>0</v>
      </c>
      <c r="O379" s="13">
        <f ca="1">SUMIF('2.5廃棄処分'!D:E,C379,'2.5廃棄処分'!E:E)</f>
        <v>0</v>
      </c>
      <c r="P379" s="13">
        <f ca="1">SUMIF('2.1④異種原液'!D:E,C379,'2.1④異種原液'!E:E)</f>
        <v>0</v>
      </c>
      <c r="Q379" s="14">
        <f ca="1">SUMIF('2.7製造部生産分'!D:I,C379,'2.7製造部生産分'!H:H)</f>
        <v>0</v>
      </c>
      <c r="R379" s="15">
        <f ca="1">-(G379+H379+K379-L379-M379-N379-O379-P379-Q379-S379)</f>
        <v>0</v>
      </c>
      <c r="S379" s="13">
        <f ca="1">SUMIF('2.9原液在庫'!B:H,C379,'2.9原液在庫'!H:H)</f>
        <v>0</v>
      </c>
      <c r="T379" s="16">
        <f ca="1">IFERROR(SUM(G380:K380)/(G379+H379+K379),0)</f>
        <v>0</v>
      </c>
      <c r="U379" s="17" t="str">
        <f>C379</f>
        <v>38G</v>
      </c>
      <c r="V379" s="18">
        <f ca="1">IF(ISERROR(SUM(G380:K380)/SUM(L379:Q379,S379)),0,SUM(G380:K380)/SUM(L379:Q379,S379))</f>
        <v>0</v>
      </c>
      <c r="W379" s="19">
        <f ca="1">V379</f>
        <v>0</v>
      </c>
      <c r="X379" s="20">
        <f ca="1">W379/1000</f>
        <v>0</v>
      </c>
    </row>
    <row r="380" spans="1:24">
      <c r="A380" s="212"/>
      <c r="B380" s="212"/>
      <c r="C380" s="201"/>
      <c r="D380" s="199"/>
      <c r="E380" s="199"/>
      <c r="F380" s="21" t="s">
        <v>247</v>
      </c>
      <c r="G380" s="22" t="s">
        <v>254</v>
      </c>
      <c r="H380" s="184"/>
      <c r="I380" s="23">
        <f ca="1">I379*労務費経費単価SC!D$7</f>
        <v>0</v>
      </c>
      <c r="J380" s="23">
        <f ca="1">J379*労務費経費単価SC!D$11</f>
        <v>0</v>
      </c>
      <c r="K380" s="22">
        <f ca="1">K379*$E379</f>
        <v>0</v>
      </c>
      <c r="L380" s="22">
        <f ca="1">L379*$E379</f>
        <v>0</v>
      </c>
      <c r="M380" s="22">
        <f t="shared" ref="M380" ca="1" si="1303">M379*$E379</f>
        <v>0</v>
      </c>
      <c r="N380" s="22">
        <f t="shared" ref="N380" ca="1" si="1304">N379*$E379</f>
        <v>0</v>
      </c>
      <c r="O380" s="22">
        <f t="shared" ref="O380" ca="1" si="1305">O379*$E379</f>
        <v>0</v>
      </c>
      <c r="P380" s="22">
        <f t="shared" ref="P380" ca="1" si="1306">P379*$E379</f>
        <v>0</v>
      </c>
      <c r="Q380" s="22">
        <f t="shared" ref="Q380" ca="1" si="1307">Q379*$E379</f>
        <v>0</v>
      </c>
      <c r="R380" s="22">
        <f t="shared" ref="R380" ca="1" si="1308">R379*$E379</f>
        <v>0</v>
      </c>
      <c r="S380" s="22">
        <f t="shared" ref="S380" ca="1" si="1309">S379*$E379</f>
        <v>0</v>
      </c>
      <c r="U380" s="17"/>
      <c r="V380" s="18"/>
      <c r="W380" s="19"/>
      <c r="X380" s="20"/>
    </row>
    <row r="381" spans="1:24">
      <c r="A381" s="212"/>
      <c r="B381" s="212"/>
      <c r="C381" s="200" t="s">
        <v>105</v>
      </c>
      <c r="D381" s="199" t="str">
        <f>VLOOKUP(C381,'仕掛品名寄（貼付）'!B:C,2,FALSE)</f>
        <v>その他</v>
      </c>
      <c r="E381" s="199">
        <f>VLOOKUP(D381,'仕掛品標準単価一覧表（貼付）'!B:G,6,FALSE)</f>
        <v>1080</v>
      </c>
      <c r="F381" s="12" t="s">
        <v>246</v>
      </c>
      <c r="G381" s="13">
        <v>0</v>
      </c>
      <c r="H381" s="13">
        <f ca="1">SUMIF('1.3②原材料使用'!B:E,C381,'1.3②原材料使用'!E:E)</f>
        <v>0</v>
      </c>
      <c r="I381" s="13">
        <f ca="1">SUMIF('2.10原液別作業時間'!A:B,C381,'2.10原液別作業時間'!B:B)</f>
        <v>0</v>
      </c>
      <c r="J381" s="13">
        <f ca="1">SUM(G381:H381,K381)</f>
        <v>0</v>
      </c>
      <c r="K381" s="13">
        <f ca="1">SUMIF('2.2⑤純増減→前工程費'!B:E,C381,'2.2⑤純増減→前工程費'!E:E)</f>
        <v>0</v>
      </c>
      <c r="L381" s="13">
        <f ca="1">SUMIF('2.6完成品'!C:D,C381,'2.6完成品'!D:D)</f>
        <v>0</v>
      </c>
      <c r="M381" s="13">
        <f ca="1">SUMIF('2.3研究費'!D:E,C381,'2.3研究費'!E:E)</f>
        <v>0</v>
      </c>
      <c r="N381" s="13">
        <f ca="1">SUMIF('2.4販促費'!D:E,C381,'2.4販促費'!E:E)</f>
        <v>0</v>
      </c>
      <c r="O381" s="13">
        <f ca="1">SUMIF('2.5廃棄処分'!D:E,C381,'2.5廃棄処分'!E:E)</f>
        <v>0</v>
      </c>
      <c r="P381" s="13">
        <f ca="1">SUMIF('2.1④異種原液'!D:E,C381,'2.1④異種原液'!E:E)</f>
        <v>0</v>
      </c>
      <c r="Q381" s="14">
        <f ca="1">SUMIF('2.7製造部生産分'!D:I,C381,'2.7製造部生産分'!H:H)</f>
        <v>0</v>
      </c>
      <c r="R381" s="15">
        <f ca="1">-(G381+H381+K381-L381-M381-N381-O381-P381-Q381-S381)</f>
        <v>0</v>
      </c>
      <c r="S381" s="13">
        <f ca="1">SUMIF('2.9原液在庫'!B:H,C381,'2.9原液在庫'!H:H)</f>
        <v>0</v>
      </c>
      <c r="T381" s="16">
        <f ca="1">IFERROR(SUM(G382:K382)/(G381+H381+K381),0)</f>
        <v>0</v>
      </c>
      <c r="U381" s="17" t="str">
        <f>C381</f>
        <v>38R畜</v>
      </c>
      <c r="V381" s="18">
        <f ca="1">IF(ISERROR(SUM(G382:K382)/SUM(L381:Q381,S381)),0,SUM(G382:K382)/SUM(L381:Q381,S381))</f>
        <v>0</v>
      </c>
      <c r="W381" s="19">
        <f ca="1">V381</f>
        <v>0</v>
      </c>
      <c r="X381" s="20">
        <f ca="1">W381/1000</f>
        <v>0</v>
      </c>
    </row>
    <row r="382" spans="1:24">
      <c r="A382" s="201"/>
      <c r="B382" s="201"/>
      <c r="C382" s="201"/>
      <c r="D382" s="199"/>
      <c r="E382" s="199"/>
      <c r="F382" s="21" t="s">
        <v>247</v>
      </c>
      <c r="G382" s="22" t="s">
        <v>254</v>
      </c>
      <c r="H382" s="184"/>
      <c r="I382" s="23">
        <f ca="1">I381*労務費経費単価SC!D$7</f>
        <v>0</v>
      </c>
      <c r="J382" s="23">
        <f ca="1">J381*労務費経費単価SC!D$11</f>
        <v>0</v>
      </c>
      <c r="K382" s="22">
        <f ca="1">K381*$E381</f>
        <v>0</v>
      </c>
      <c r="L382" s="22">
        <f ca="1">L381*$E381</f>
        <v>0</v>
      </c>
      <c r="M382" s="22">
        <f t="shared" ref="M382" ca="1" si="1310">M381*$E381</f>
        <v>0</v>
      </c>
      <c r="N382" s="22">
        <f t="shared" ref="N382" ca="1" si="1311">N381*$E381</f>
        <v>0</v>
      </c>
      <c r="O382" s="22">
        <f t="shared" ref="O382" ca="1" si="1312">O381*$E381</f>
        <v>0</v>
      </c>
      <c r="P382" s="22">
        <f t="shared" ref="P382" ca="1" si="1313">P381*$E381</f>
        <v>0</v>
      </c>
      <c r="Q382" s="22">
        <f t="shared" ref="Q382" ca="1" si="1314">Q381*$E381</f>
        <v>0</v>
      </c>
      <c r="R382" s="22">
        <f t="shared" ref="R382" ca="1" si="1315">R381*$E381</f>
        <v>0</v>
      </c>
      <c r="S382" s="22">
        <f t="shared" ref="S382" ca="1" si="1316">S381*$E381</f>
        <v>0</v>
      </c>
      <c r="U382" s="17"/>
      <c r="V382" s="18"/>
      <c r="W382" s="19"/>
      <c r="X382" s="20"/>
    </row>
    <row r="383" spans="1:24">
      <c r="A383" s="211" t="s">
        <v>394</v>
      </c>
      <c r="B383" s="211">
        <v>39</v>
      </c>
      <c r="C383" s="211" t="s">
        <v>395</v>
      </c>
      <c r="D383" s="199" t="str">
        <f>VLOOKUP(C383,'仕掛品名寄（貼付）'!B:C,2,FALSE)</f>
        <v>R</v>
      </c>
      <c r="E383" s="199">
        <f>VLOOKUP(D383,'仕掛品標準単価一覧表（貼付）'!B:G,6,FALSE)</f>
        <v>908</v>
      </c>
      <c r="F383" s="12" t="s">
        <v>246</v>
      </c>
      <c r="G383" s="13">
        <v>3446</v>
      </c>
      <c r="H383" s="13">
        <f ca="1">SUMIF('1.3②原材料使用'!B:E,C383,'1.3②原材料使用'!E:E)</f>
        <v>0</v>
      </c>
      <c r="I383" s="13">
        <f ca="1">SUMIF('2.10原液別作業時間'!A:B,C383,'2.10原液別作業時間'!B:B)</f>
        <v>525</v>
      </c>
      <c r="J383" s="13">
        <f ca="1">SUM(G383:H383,K383)</f>
        <v>3436.5</v>
      </c>
      <c r="K383" s="13">
        <f ca="1">SUMIF('2.2⑤純増減→前工程費'!B:E,C383,'2.2⑤純増減→前工程費'!E:E)</f>
        <v>-9.5</v>
      </c>
      <c r="L383" s="13">
        <f ca="1">SUMIF('2.6完成品'!C:D,C383,'2.6完成品'!D:D)</f>
        <v>0</v>
      </c>
      <c r="M383" s="13">
        <f ca="1">SUMIF('2.3研究費'!D:E,C383,'2.3研究費'!E:E)</f>
        <v>0</v>
      </c>
      <c r="N383" s="13">
        <f ca="1">SUMIF('2.4販促費'!D:E,C383,'2.4販促費'!E:E)</f>
        <v>100</v>
      </c>
      <c r="O383" s="13">
        <f ca="1">SUMIF('2.5廃棄処分'!D:E,C383,'2.5廃棄処分'!E:E)</f>
        <v>0</v>
      </c>
      <c r="P383" s="13">
        <f ca="1">SUMIF('2.1④異種原液'!D:E,C383,'2.1④異種原液'!E:E)</f>
        <v>2253</v>
      </c>
      <c r="Q383" s="14">
        <f ca="1">SUMIF('2.7製造部生産分'!D:I,C383,'2.7製造部生産分'!H:H)</f>
        <v>0</v>
      </c>
      <c r="R383" s="15">
        <f ca="1">-(G383+H383+K383-L383-M383-N383-O383-P383-Q383-S383)</f>
        <v>-2.5</v>
      </c>
      <c r="S383" s="13">
        <f ca="1">SUMIF('2.9原液在庫'!B:H,C383,'2.9原液在庫'!H:H)</f>
        <v>1081</v>
      </c>
      <c r="T383" s="16">
        <f ca="1">IFERROR(SUM(G384:K384)/(G383+H383+K383),0)</f>
        <v>1097.65788457913</v>
      </c>
      <c r="U383" s="17" t="str">
        <f>C383</f>
        <v>39R</v>
      </c>
      <c r="V383" s="18">
        <f ca="1">IF(ISERROR(SUM(G384:K384)/SUM(L383:Q383,S383)),0,SUM(G384:K384)/SUM(L383:Q383,S383))</f>
        <v>1098.456994862021</v>
      </c>
      <c r="W383" s="19">
        <f ca="1">V383</f>
        <v>1098.456994862021</v>
      </c>
      <c r="X383" s="20">
        <f ca="1">W383/1000</f>
        <v>1.0984569948620211</v>
      </c>
    </row>
    <row r="384" spans="1:24">
      <c r="A384" s="212"/>
      <c r="B384" s="212"/>
      <c r="C384" s="201"/>
      <c r="D384" s="199"/>
      <c r="E384" s="199"/>
      <c r="F384" s="21" t="s">
        <v>247</v>
      </c>
      <c r="G384" s="22">
        <v>3436132.3203561804</v>
      </c>
      <c r="H384" s="184"/>
      <c r="I384" s="23">
        <f ca="1">I383*労務費経費単価SC!D$7</f>
        <v>241500</v>
      </c>
      <c r="J384" s="23">
        <f ca="1">J383*労務費経費単価SC!D$11</f>
        <v>103095</v>
      </c>
      <c r="K384" s="22">
        <f ca="1">K383*$E383</f>
        <v>-8626</v>
      </c>
      <c r="L384" s="22">
        <f ca="1">L383*$E383</f>
        <v>0</v>
      </c>
      <c r="M384" s="22">
        <f t="shared" ref="M384" ca="1" si="1317">M383*$E383</f>
        <v>0</v>
      </c>
      <c r="N384" s="22">
        <f t="shared" ref="N384" ca="1" si="1318">N383*$E383</f>
        <v>90800</v>
      </c>
      <c r="O384" s="22">
        <f t="shared" ref="O384" ca="1" si="1319">O383*$E383</f>
        <v>0</v>
      </c>
      <c r="P384" s="22">
        <f t="shared" ref="P384" ca="1" si="1320">P383*$E383</f>
        <v>2045724</v>
      </c>
      <c r="Q384" s="22">
        <f t="shared" ref="Q384" ca="1" si="1321">Q383*$E383</f>
        <v>0</v>
      </c>
      <c r="R384" s="22">
        <f t="shared" ref="R384" ca="1" si="1322">R383*$E383</f>
        <v>-2270</v>
      </c>
      <c r="S384" s="22">
        <f t="shared" ref="S384" ca="1" si="1323">S383*$E383</f>
        <v>981548</v>
      </c>
      <c r="U384" s="17"/>
      <c r="V384" s="18"/>
      <c r="W384" s="19"/>
      <c r="X384" s="20"/>
    </row>
    <row r="385" spans="1:24">
      <c r="A385" s="212"/>
      <c r="B385" s="212"/>
      <c r="C385" s="211" t="s">
        <v>195</v>
      </c>
      <c r="D385" s="199" t="str">
        <f>VLOOKUP(C385,'仕掛品名寄（貼付）'!B:C,2,FALSE)</f>
        <v>その他</v>
      </c>
      <c r="E385" s="199">
        <f>VLOOKUP(D385,'仕掛品標準単価一覧表（貼付）'!B:G,6,FALSE)</f>
        <v>1080</v>
      </c>
      <c r="F385" s="12" t="s">
        <v>246</v>
      </c>
      <c r="G385" s="13">
        <v>0</v>
      </c>
      <c r="H385" s="13">
        <f ca="1">SUMIF('1.3②原材料使用'!B:E,C385,'1.3②原材料使用'!E:E)</f>
        <v>0</v>
      </c>
      <c r="I385" s="13">
        <f ca="1">SUMIF('2.10原液別作業時間'!A:B,C385,'2.10原液別作業時間'!B:B)</f>
        <v>0</v>
      </c>
      <c r="J385" s="13">
        <f ca="1">SUM(G385:H385,K385)</f>
        <v>0</v>
      </c>
      <c r="K385" s="13">
        <f ca="1">SUMIF('2.2⑤純増減→前工程費'!B:E,C385,'2.2⑤純増減→前工程費'!E:E)</f>
        <v>0</v>
      </c>
      <c r="L385" s="13">
        <f ca="1">SUMIF('2.6完成品'!C:D,C385,'2.6完成品'!D:D)</f>
        <v>0</v>
      </c>
      <c r="M385" s="13">
        <f ca="1">SUMIF('2.3研究費'!D:E,C385,'2.3研究費'!E:E)</f>
        <v>0</v>
      </c>
      <c r="N385" s="13">
        <f ca="1">SUMIF('2.4販促費'!D:E,C385,'2.4販促費'!E:E)</f>
        <v>0</v>
      </c>
      <c r="O385" s="13">
        <f ca="1">SUMIF('2.5廃棄処分'!D:E,C385,'2.5廃棄処分'!E:E)</f>
        <v>0</v>
      </c>
      <c r="P385" s="13">
        <f ca="1">SUMIF('2.1④異種原液'!D:E,C385,'2.1④異種原液'!E:E)</f>
        <v>0</v>
      </c>
      <c r="Q385" s="14">
        <f ca="1">SUMIF('2.7製造部生産分'!D:I,C385,'2.7製造部生産分'!H:H)</f>
        <v>0</v>
      </c>
      <c r="R385" s="15">
        <f ca="1">-(G385+H385+K385-L385-M385-N385-O385-P385-Q385-S385)</f>
        <v>0</v>
      </c>
      <c r="S385" s="13">
        <f ca="1">SUMIF('2.9原液在庫'!B:H,C385,'2.9原液在庫'!H:H)</f>
        <v>0</v>
      </c>
      <c r="T385" s="16">
        <f ca="1">IFERROR(SUM(G386:K386)/(G385+H385+K385),0)</f>
        <v>0</v>
      </c>
      <c r="U385" s="17" t="str">
        <f>C385</f>
        <v>39Rｸ</v>
      </c>
      <c r="V385" s="18">
        <f ca="1">IF(ISERROR(SUM(G386:K386)/SUM(L385:Q385,S385)),0,SUM(G386:K386)/SUM(L385:Q385,S385))</f>
        <v>0</v>
      </c>
      <c r="W385" s="19">
        <f ca="1">V385</f>
        <v>0</v>
      </c>
      <c r="X385" s="20">
        <f ca="1">W385/1000</f>
        <v>0</v>
      </c>
    </row>
    <row r="386" spans="1:24">
      <c r="A386" s="212"/>
      <c r="B386" s="212"/>
      <c r="C386" s="201"/>
      <c r="D386" s="199"/>
      <c r="E386" s="199"/>
      <c r="F386" s="21" t="s">
        <v>247</v>
      </c>
      <c r="G386" s="22" t="s">
        <v>254</v>
      </c>
      <c r="H386" s="184"/>
      <c r="I386" s="23">
        <f ca="1">I385*労務費経費単価SC!D$7</f>
        <v>0</v>
      </c>
      <c r="J386" s="23">
        <f ca="1">J385*労務費経費単価SC!D$11</f>
        <v>0</v>
      </c>
      <c r="K386" s="22">
        <f ca="1">K385*$E385</f>
        <v>0</v>
      </c>
      <c r="L386" s="22">
        <f ca="1">L385*$E385</f>
        <v>0</v>
      </c>
      <c r="M386" s="22">
        <f t="shared" ref="M386" ca="1" si="1324">M385*$E385</f>
        <v>0</v>
      </c>
      <c r="N386" s="22">
        <f t="shared" ref="N386" ca="1" si="1325">N385*$E385</f>
        <v>0</v>
      </c>
      <c r="O386" s="22">
        <f t="shared" ref="O386" ca="1" si="1326">O385*$E385</f>
        <v>0</v>
      </c>
      <c r="P386" s="22">
        <f t="shared" ref="P386" ca="1" si="1327">P385*$E385</f>
        <v>0</v>
      </c>
      <c r="Q386" s="22">
        <f t="shared" ref="Q386" ca="1" si="1328">Q385*$E385</f>
        <v>0</v>
      </c>
      <c r="R386" s="22">
        <f t="shared" ref="R386" ca="1" si="1329">R385*$E385</f>
        <v>0</v>
      </c>
      <c r="S386" s="22">
        <f t="shared" ref="S386" ca="1" si="1330">S385*$E385</f>
        <v>0</v>
      </c>
      <c r="U386" s="17"/>
      <c r="V386" s="18"/>
      <c r="W386" s="19"/>
      <c r="X386" s="20"/>
    </row>
    <row r="387" spans="1:24">
      <c r="A387" s="212"/>
      <c r="B387" s="212"/>
      <c r="C387" s="211" t="s">
        <v>196</v>
      </c>
      <c r="D387" s="199" t="str">
        <f>VLOOKUP(C387,'仕掛品名寄（貼付）'!B:C,2,FALSE)</f>
        <v>Rマ</v>
      </c>
      <c r="E387" s="199">
        <f>VLOOKUP(D387,'仕掛品標準単価一覧表（貼付）'!B:G,6,FALSE)</f>
        <v>1175.0183999999999</v>
      </c>
      <c r="F387" s="12" t="s">
        <v>246</v>
      </c>
      <c r="G387" s="13">
        <v>0</v>
      </c>
      <c r="H387" s="13">
        <f ca="1">SUMIF('1.3②原材料使用'!B:E,C387,'1.3②原材料使用'!E:E)</f>
        <v>0</v>
      </c>
      <c r="I387" s="13">
        <f ca="1">SUMIF('2.10原液別作業時間'!A:B,C387,'2.10原液別作業時間'!B:B)</f>
        <v>0</v>
      </c>
      <c r="J387" s="13">
        <f ca="1">SUM(G387:H387,K387)</f>
        <v>0</v>
      </c>
      <c r="K387" s="13">
        <f ca="1">SUMIF('2.2⑤純増減→前工程費'!B:E,C387,'2.2⑤純増減→前工程費'!E:E)</f>
        <v>0</v>
      </c>
      <c r="L387" s="13">
        <f ca="1">SUMIF('2.6完成品'!C:D,C387,'2.6完成品'!D:D)</f>
        <v>0</v>
      </c>
      <c r="M387" s="13">
        <f ca="1">SUMIF('2.3研究費'!D:E,C387,'2.3研究費'!E:E)</f>
        <v>0</v>
      </c>
      <c r="N387" s="13">
        <f ca="1">SUMIF('2.4販促費'!D:E,C387,'2.4販促費'!E:E)</f>
        <v>0</v>
      </c>
      <c r="O387" s="13">
        <f ca="1">SUMIF('2.5廃棄処分'!D:E,C387,'2.5廃棄処分'!E:E)</f>
        <v>0</v>
      </c>
      <c r="P387" s="13">
        <f ca="1">SUMIF('2.1④異種原液'!D:E,C387,'2.1④異種原液'!E:E)</f>
        <v>0</v>
      </c>
      <c r="Q387" s="14">
        <f ca="1">SUMIF('2.7製造部生産分'!D:I,C387,'2.7製造部生産分'!H:H)</f>
        <v>0</v>
      </c>
      <c r="R387" s="15">
        <f ca="1">-(G387+H387+K387-L387-M387-N387-O387-P387-Q387-S387)</f>
        <v>0</v>
      </c>
      <c r="S387" s="13">
        <f ca="1">SUMIF('2.9原液在庫'!B:H,C387,'2.9原液在庫'!H:H)</f>
        <v>0</v>
      </c>
      <c r="T387" s="16">
        <f ca="1">IFERROR(SUM(G388:K388)/(G387+H387+K387),0)</f>
        <v>0</v>
      </c>
      <c r="U387" s="17" t="str">
        <f>C387</f>
        <v>39Rﾏ</v>
      </c>
      <c r="V387" s="18">
        <f ca="1">IF(ISERROR(SUM(G388:K388)/SUM(L387:Q387,S387)),0,SUM(G388:K388)/SUM(L387:Q387,S387))</f>
        <v>0</v>
      </c>
      <c r="W387" s="19">
        <f ca="1">V387</f>
        <v>0</v>
      </c>
      <c r="X387" s="20">
        <f ca="1">W387/1000</f>
        <v>0</v>
      </c>
    </row>
    <row r="388" spans="1:24">
      <c r="A388" s="212"/>
      <c r="B388" s="212"/>
      <c r="C388" s="201"/>
      <c r="D388" s="199"/>
      <c r="E388" s="199"/>
      <c r="F388" s="21" t="s">
        <v>247</v>
      </c>
      <c r="G388" s="22" t="s">
        <v>254</v>
      </c>
      <c r="H388" s="184"/>
      <c r="I388" s="23">
        <f ca="1">I387*労務費経費単価SC!D$7</f>
        <v>0</v>
      </c>
      <c r="J388" s="23">
        <f ca="1">J387*労務費経費単価SC!D$11</f>
        <v>0</v>
      </c>
      <c r="K388" s="22">
        <f ca="1">K387*$E387</f>
        <v>0</v>
      </c>
      <c r="L388" s="22">
        <f ca="1">L387*$E387</f>
        <v>0</v>
      </c>
      <c r="M388" s="22">
        <f t="shared" ref="M388" ca="1" si="1331">M387*$E387</f>
        <v>0</v>
      </c>
      <c r="N388" s="22">
        <f t="shared" ref="N388" ca="1" si="1332">N387*$E387</f>
        <v>0</v>
      </c>
      <c r="O388" s="22">
        <f t="shared" ref="O388" ca="1" si="1333">O387*$E387</f>
        <v>0</v>
      </c>
      <c r="P388" s="22">
        <f t="shared" ref="P388" ca="1" si="1334">P387*$E387</f>
        <v>0</v>
      </c>
      <c r="Q388" s="22">
        <f t="shared" ref="Q388" ca="1" si="1335">Q387*$E387</f>
        <v>0</v>
      </c>
      <c r="R388" s="22">
        <f t="shared" ref="R388" ca="1" si="1336">R387*$E387</f>
        <v>0</v>
      </c>
      <c r="S388" s="22">
        <f t="shared" ref="S388" ca="1" si="1337">S387*$E387</f>
        <v>0</v>
      </c>
      <c r="U388" s="17"/>
      <c r="V388" s="18"/>
      <c r="W388" s="19"/>
      <c r="X388" s="20"/>
    </row>
    <row r="389" spans="1:24">
      <c r="A389" s="212"/>
      <c r="B389" s="212"/>
      <c r="C389" s="211" t="s">
        <v>197</v>
      </c>
      <c r="D389" s="199" t="str">
        <f>VLOOKUP(C389,'仕掛品名寄（貼付）'!B:C,2,FALSE)</f>
        <v>その他</v>
      </c>
      <c r="E389" s="199">
        <f>VLOOKUP(D389,'仕掛品標準単価一覧表（貼付）'!B:G,6,FALSE)</f>
        <v>1080</v>
      </c>
      <c r="F389" s="12" t="s">
        <v>246</v>
      </c>
      <c r="G389" s="13">
        <v>0</v>
      </c>
      <c r="H389" s="13">
        <f ca="1">SUMIF('1.3②原材料使用'!B:E,C389,'1.3②原材料使用'!E:E)</f>
        <v>0</v>
      </c>
      <c r="I389" s="13">
        <f ca="1">SUMIF('2.10原液別作業時間'!A:B,C389,'2.10原液別作業時間'!B:B)</f>
        <v>0</v>
      </c>
      <c r="J389" s="13">
        <f ca="1">SUM(G389:H389,K389)</f>
        <v>0</v>
      </c>
      <c r="K389" s="13">
        <f ca="1">SUMIF('2.2⑤純増減→前工程費'!B:E,C389,'2.2⑤純増減→前工程費'!E:E)</f>
        <v>0</v>
      </c>
      <c r="L389" s="13">
        <f ca="1">SUMIF('2.6完成品'!C:D,C389,'2.6完成品'!D:D)</f>
        <v>0</v>
      </c>
      <c r="M389" s="13">
        <f ca="1">SUMIF('2.3研究費'!D:E,C389,'2.3研究費'!E:E)</f>
        <v>0</v>
      </c>
      <c r="N389" s="13">
        <f ca="1">SUMIF('2.4販促費'!D:E,C389,'2.4販促費'!E:E)</f>
        <v>0</v>
      </c>
      <c r="O389" s="13">
        <f ca="1">SUMIF('2.5廃棄処分'!D:E,C389,'2.5廃棄処分'!E:E)</f>
        <v>0</v>
      </c>
      <c r="P389" s="13">
        <f ca="1">SUMIF('2.1④異種原液'!D:E,C389,'2.1④異種原液'!E:E)</f>
        <v>0</v>
      </c>
      <c r="Q389" s="14">
        <f ca="1">SUMIF('2.7製造部生産分'!D:I,C389,'2.7製造部生産分'!H:H)</f>
        <v>0</v>
      </c>
      <c r="R389" s="15">
        <f ca="1">-(G389+H389+K389-L389-M389-N389-O389-P389-Q389-S389)</f>
        <v>0</v>
      </c>
      <c r="S389" s="13">
        <f ca="1">SUMIF('2.9原液在庫'!B:H,C389,'2.9原液在庫'!H:H)</f>
        <v>0</v>
      </c>
      <c r="T389" s="16">
        <f ca="1">IFERROR(SUM(G390:K390)/(G389+H389+K389),0)</f>
        <v>0</v>
      </c>
      <c r="U389" s="17" t="str">
        <f>C389</f>
        <v>39RAｶﾘﾝ</v>
      </c>
      <c r="V389" s="18">
        <f ca="1">IF(ISERROR(SUM(G390:K390)/SUM(L389:Q389,S389)),0,SUM(G390:K390)/SUM(L389:Q389,S389))</f>
        <v>0</v>
      </c>
      <c r="W389" s="19">
        <f ca="1">V389</f>
        <v>0</v>
      </c>
      <c r="X389" s="20">
        <f ca="1">W389/1000</f>
        <v>0</v>
      </c>
    </row>
    <row r="390" spans="1:24">
      <c r="A390" s="212"/>
      <c r="B390" s="212"/>
      <c r="C390" s="201"/>
      <c r="D390" s="199"/>
      <c r="E390" s="199"/>
      <c r="F390" s="21" t="s">
        <v>247</v>
      </c>
      <c r="G390" s="22" t="s">
        <v>254</v>
      </c>
      <c r="H390" s="184"/>
      <c r="I390" s="23">
        <f ca="1">I389*労務費経費単価SC!D$7</f>
        <v>0</v>
      </c>
      <c r="J390" s="23">
        <f ca="1">J389*労務費経費単価SC!D$11</f>
        <v>0</v>
      </c>
      <c r="K390" s="22">
        <f ca="1">K389*$E389</f>
        <v>0</v>
      </c>
      <c r="L390" s="22">
        <f ca="1">L389*$E389</f>
        <v>0</v>
      </c>
      <c r="M390" s="22">
        <f t="shared" ref="M390" ca="1" si="1338">M389*$E389</f>
        <v>0</v>
      </c>
      <c r="N390" s="22">
        <f t="shared" ref="N390" ca="1" si="1339">N389*$E389</f>
        <v>0</v>
      </c>
      <c r="O390" s="22">
        <f t="shared" ref="O390" ca="1" si="1340">O389*$E389</f>
        <v>0</v>
      </c>
      <c r="P390" s="22">
        <f t="shared" ref="P390" ca="1" si="1341">P389*$E389</f>
        <v>0</v>
      </c>
      <c r="Q390" s="22">
        <f t="shared" ref="Q390" ca="1" si="1342">Q389*$E389</f>
        <v>0</v>
      </c>
      <c r="R390" s="22">
        <f t="shared" ref="R390" ca="1" si="1343">R389*$E389</f>
        <v>0</v>
      </c>
      <c r="S390" s="22">
        <f t="shared" ref="S390" ca="1" si="1344">S389*$E389</f>
        <v>0</v>
      </c>
      <c r="U390" s="17"/>
      <c r="V390" s="18"/>
      <c r="W390" s="19"/>
      <c r="X390" s="20"/>
    </row>
    <row r="391" spans="1:24">
      <c r="A391" s="212"/>
      <c r="B391" s="212"/>
      <c r="C391" s="211" t="s">
        <v>198</v>
      </c>
      <c r="D391" s="199" t="str">
        <f>VLOOKUP(C391,'仕掛品名寄（貼付）'!B:C,2,FALSE)</f>
        <v>RB</v>
      </c>
      <c r="E391" s="199">
        <f>VLOOKUP(D391,'仕掛品標準単価一覧表（貼付）'!B:G,6,FALSE)</f>
        <v>1026.5183999999999</v>
      </c>
      <c r="F391" s="12" t="s">
        <v>246</v>
      </c>
      <c r="G391" s="13">
        <v>0</v>
      </c>
      <c r="H391" s="13">
        <f ca="1">SUMIF('1.3②原材料使用'!B:E,C391,'1.3②原材料使用'!E:E)</f>
        <v>0</v>
      </c>
      <c r="I391" s="13">
        <f ca="1">SUMIF('2.10原液別作業時間'!A:B,C391,'2.10原液別作業時間'!B:B)</f>
        <v>0</v>
      </c>
      <c r="J391" s="13">
        <f ca="1">SUM(G391:H391,K391)</f>
        <v>0</v>
      </c>
      <c r="K391" s="13">
        <f ca="1">SUMIF('2.2⑤純増減→前工程費'!B:E,C391,'2.2⑤純増減→前工程費'!E:E)</f>
        <v>0</v>
      </c>
      <c r="L391" s="13">
        <f ca="1">SUMIF('2.6完成品'!C:D,C391,'2.6完成品'!D:D)</f>
        <v>0</v>
      </c>
      <c r="M391" s="13">
        <f ca="1">SUMIF('2.3研究費'!D:E,C391,'2.3研究費'!E:E)</f>
        <v>0</v>
      </c>
      <c r="N391" s="13">
        <f ca="1">SUMIF('2.4販促費'!D:E,C391,'2.4販促費'!E:E)</f>
        <v>0</v>
      </c>
      <c r="O391" s="13">
        <f ca="1">SUMIF('2.5廃棄処分'!D:E,C391,'2.5廃棄処分'!E:E)</f>
        <v>0</v>
      </c>
      <c r="P391" s="13">
        <f ca="1">SUMIF('2.1④異種原液'!D:E,C391,'2.1④異種原液'!E:E)</f>
        <v>0</v>
      </c>
      <c r="Q391" s="14">
        <f ca="1">SUMIF('2.7製造部生産分'!D:I,C391,'2.7製造部生産分'!H:H)</f>
        <v>0</v>
      </c>
      <c r="R391" s="15">
        <f ca="1">-(G391+H391+K391-L391-M391-N391-O391-P391-Q391-S391)</f>
        <v>0</v>
      </c>
      <c r="S391" s="13">
        <f ca="1">SUMIF('2.9原液在庫'!B:H,C391,'2.9原液在庫'!H:H)</f>
        <v>0</v>
      </c>
      <c r="T391" s="16">
        <f ca="1">IFERROR(SUM(G392:K392)/(G391+H391+K391),0)</f>
        <v>0</v>
      </c>
      <c r="U391" s="17" t="str">
        <f>C391</f>
        <v>39RB</v>
      </c>
      <c r="V391" s="18">
        <f ca="1">IF(ISERROR(SUM(G392:K392)/SUM(L391:Q391,S391)),0,SUM(G392:K392)/SUM(L391:Q391,S391))</f>
        <v>0</v>
      </c>
      <c r="W391" s="19">
        <f ca="1">V391</f>
        <v>0</v>
      </c>
      <c r="X391" s="20">
        <f ca="1">W391/1000</f>
        <v>0</v>
      </c>
    </row>
    <row r="392" spans="1:24">
      <c r="A392" s="212"/>
      <c r="B392" s="212"/>
      <c r="C392" s="201"/>
      <c r="D392" s="199"/>
      <c r="E392" s="199"/>
      <c r="F392" s="21" t="s">
        <v>247</v>
      </c>
      <c r="G392" s="22" t="s">
        <v>254</v>
      </c>
      <c r="H392" s="184"/>
      <c r="I392" s="23">
        <f ca="1">I391*労務費経費単価SC!D$7</f>
        <v>0</v>
      </c>
      <c r="J392" s="23">
        <f ca="1">J391*労務費経費単価SC!D$11</f>
        <v>0</v>
      </c>
      <c r="K392" s="22">
        <f ca="1">K391*$E391</f>
        <v>0</v>
      </c>
      <c r="L392" s="22">
        <f ca="1">L391*$E391</f>
        <v>0</v>
      </c>
      <c r="M392" s="22">
        <f t="shared" ref="M392" ca="1" si="1345">M391*$E391</f>
        <v>0</v>
      </c>
      <c r="N392" s="22">
        <f t="shared" ref="N392" ca="1" si="1346">N391*$E391</f>
        <v>0</v>
      </c>
      <c r="O392" s="22">
        <f t="shared" ref="O392" ca="1" si="1347">O391*$E391</f>
        <v>0</v>
      </c>
      <c r="P392" s="22">
        <f t="shared" ref="P392" ca="1" si="1348">P391*$E391</f>
        <v>0</v>
      </c>
      <c r="Q392" s="22">
        <f t="shared" ref="Q392" ca="1" si="1349">Q391*$E391</f>
        <v>0</v>
      </c>
      <c r="R392" s="22">
        <f t="shared" ref="R392" ca="1" si="1350">R391*$E391</f>
        <v>0</v>
      </c>
      <c r="S392" s="22">
        <f t="shared" ref="S392" ca="1" si="1351">S391*$E391</f>
        <v>0</v>
      </c>
      <c r="U392" s="17"/>
      <c r="V392" s="18"/>
      <c r="W392" s="19"/>
      <c r="X392" s="20"/>
    </row>
    <row r="393" spans="1:24">
      <c r="A393" s="212"/>
      <c r="B393" s="212"/>
      <c r="C393" s="200" t="s">
        <v>396</v>
      </c>
      <c r="D393" s="199" t="str">
        <f>VLOOKUP(C393,'仕掛品名寄（貼付）'!B:C,2,FALSE)</f>
        <v>Rリ</v>
      </c>
      <c r="E393" s="199">
        <f>VLOOKUP(D393,'仕掛品標準単価一覧表（貼付）'!B:G,6,FALSE)</f>
        <v>996.11839999999995</v>
      </c>
      <c r="F393" s="12" t="s">
        <v>246</v>
      </c>
      <c r="G393" s="24">
        <v>297.5</v>
      </c>
      <c r="H393" s="13">
        <f ca="1">SUMIF('1.3②原材料使用'!B:E,C393,'1.3②原材料使用'!E:E)</f>
        <v>0</v>
      </c>
      <c r="I393" s="13">
        <f ca="1">SUMIF('2.10原液別作業時間'!A:B,C393,'2.10原液別作業時間'!B:B)</f>
        <v>0</v>
      </c>
      <c r="J393" s="13">
        <f ca="1">SUM(G393:H393,K393)</f>
        <v>297.5</v>
      </c>
      <c r="K393" s="13">
        <f ca="1">SUMIF('2.2⑤純増減→前工程費'!B:E,C393,'2.2⑤純増減→前工程費'!E:E)</f>
        <v>0</v>
      </c>
      <c r="L393" s="13">
        <f ca="1">SUMIF('2.6完成品'!C:D,C393,'2.6完成品'!D:D)</f>
        <v>0</v>
      </c>
      <c r="M393" s="13">
        <f ca="1">SUMIF('2.3研究費'!D:E,C393,'2.3研究費'!E:E)</f>
        <v>0</v>
      </c>
      <c r="N393" s="13">
        <f ca="1">SUMIF('2.4販促費'!D:E,C393,'2.4販促費'!E:E)</f>
        <v>0</v>
      </c>
      <c r="O393" s="13">
        <f ca="1">SUMIF('2.5廃棄処分'!D:E,C393,'2.5廃棄処分'!E:E)</f>
        <v>0</v>
      </c>
      <c r="P393" s="13">
        <f ca="1">SUMIF('2.1④異種原液'!D:E,C393,'2.1④異種原液'!E:E)</f>
        <v>0</v>
      </c>
      <c r="Q393" s="14">
        <f ca="1">SUMIF('2.7製造部生産分'!D:I,C393,'2.7製造部生産分'!H:H)</f>
        <v>0</v>
      </c>
      <c r="R393" s="15">
        <f ca="1">-(G393+H393+K393-L393-M393-N393-O393-P393-Q393-S393)</f>
        <v>0</v>
      </c>
      <c r="S393" s="13">
        <f ca="1">SUMIF('2.9原液在庫'!B:H,C393,'2.9原液在庫'!H:H)</f>
        <v>297.5</v>
      </c>
      <c r="T393" s="16">
        <f ca="1">IFERROR(SUM(G394:K394)/(G393+H393+K393),0)</f>
        <v>1044.4336022410919</v>
      </c>
      <c r="U393" s="17" t="str">
        <f>C393</f>
        <v>39Rﾘ</v>
      </c>
      <c r="V393" s="18">
        <f ca="1">IF(ISERROR(SUM(G394:K394)/SUM(L393:Q393,S393)),0,SUM(G394:K394)/SUM(L393:Q393,S393))</f>
        <v>1044.4336022410919</v>
      </c>
      <c r="W393" s="19">
        <f ca="1">V393</f>
        <v>1044.4336022410919</v>
      </c>
      <c r="X393" s="20">
        <f ca="1">W393/1000</f>
        <v>1.0444336022410918</v>
      </c>
    </row>
    <row r="394" spans="1:24">
      <c r="A394" s="212"/>
      <c r="B394" s="212"/>
      <c r="C394" s="201"/>
      <c r="D394" s="199"/>
      <c r="E394" s="199"/>
      <c r="F394" s="21" t="s">
        <v>247</v>
      </c>
      <c r="G394" s="22">
        <v>301793.99666672485</v>
      </c>
      <c r="H394" s="184"/>
      <c r="I394" s="23">
        <f ca="1">I393*労務費経費単価SC!D$7</f>
        <v>0</v>
      </c>
      <c r="J394" s="23">
        <f ca="1">J393*労務費経費単価SC!D$11</f>
        <v>8925</v>
      </c>
      <c r="K394" s="22">
        <f ca="1">K393*$E393</f>
        <v>0</v>
      </c>
      <c r="L394" s="22">
        <f ca="1">L393*$E393</f>
        <v>0</v>
      </c>
      <c r="M394" s="22">
        <f t="shared" ref="M394" ca="1" si="1352">M393*$E393</f>
        <v>0</v>
      </c>
      <c r="N394" s="22">
        <f t="shared" ref="N394" ca="1" si="1353">N393*$E393</f>
        <v>0</v>
      </c>
      <c r="O394" s="22">
        <f t="shared" ref="O394" ca="1" si="1354">O393*$E393</f>
        <v>0</v>
      </c>
      <c r="P394" s="22">
        <f t="shared" ref="P394" ca="1" si="1355">P393*$E393</f>
        <v>0</v>
      </c>
      <c r="Q394" s="22">
        <f t="shared" ref="Q394" ca="1" si="1356">Q393*$E393</f>
        <v>0</v>
      </c>
      <c r="R394" s="22">
        <f t="shared" ref="R394" ca="1" si="1357">R393*$E393</f>
        <v>0</v>
      </c>
      <c r="S394" s="22">
        <f t="shared" ref="S394" ca="1" si="1358">S393*$E393</f>
        <v>296345.22399999999</v>
      </c>
      <c r="U394" s="17"/>
      <c r="V394" s="18"/>
      <c r="W394" s="19"/>
      <c r="X394" s="20"/>
    </row>
    <row r="395" spans="1:24">
      <c r="A395" s="212"/>
      <c r="B395" s="212"/>
      <c r="C395" s="200" t="s">
        <v>201</v>
      </c>
      <c r="D395" s="199" t="str">
        <f>VLOOKUP(C395,'仕掛品名寄（貼付）'!B:C,2,FALSE)</f>
        <v>その他</v>
      </c>
      <c r="E395" s="199">
        <f>VLOOKUP(D395,'仕掛品標準単価一覧表（貼付）'!B:G,6,FALSE)</f>
        <v>1080</v>
      </c>
      <c r="F395" s="12" t="s">
        <v>246</v>
      </c>
      <c r="G395" s="24">
        <v>0</v>
      </c>
      <c r="H395" s="13">
        <f ca="1">SUMIF('1.3②原材料使用'!B:E,C395,'1.3②原材料使用'!E:E)</f>
        <v>0</v>
      </c>
      <c r="I395" s="13">
        <f ca="1">SUMIF('2.10原液別作業時間'!A:B,C395,'2.10原液別作業時間'!B:B)</f>
        <v>0</v>
      </c>
      <c r="J395" s="13">
        <f ca="1">SUM(G395:H395,K395)</f>
        <v>0</v>
      </c>
      <c r="K395" s="13">
        <f ca="1">SUMIF('2.2⑤純増減→前工程費'!B:E,C395,'2.2⑤純増減→前工程費'!E:E)</f>
        <v>0</v>
      </c>
      <c r="L395" s="13">
        <f ca="1">SUMIF('2.6完成品'!C:D,C395,'2.6完成品'!D:D)</f>
        <v>0</v>
      </c>
      <c r="M395" s="13">
        <f ca="1">SUMIF('2.3研究費'!D:E,C395,'2.3研究費'!E:E)</f>
        <v>0</v>
      </c>
      <c r="N395" s="13">
        <f ca="1">SUMIF('2.4販促費'!D:E,C395,'2.4販促費'!E:E)</f>
        <v>0</v>
      </c>
      <c r="O395" s="13">
        <f ca="1">SUMIF('2.5廃棄処分'!D:E,C395,'2.5廃棄処分'!E:E)</f>
        <v>0</v>
      </c>
      <c r="P395" s="13">
        <f ca="1">SUMIF('2.1④異種原液'!D:E,C395,'2.1④異種原液'!E:E)</f>
        <v>0</v>
      </c>
      <c r="Q395" s="14">
        <f ca="1">SUMIF('2.7製造部生産分'!D:I,C395,'2.7製造部生産分'!H:H)</f>
        <v>0</v>
      </c>
      <c r="R395" s="15">
        <f ca="1">-(G395+H395+K395-L395-M395-N395-O395-P395-Q395-S395)</f>
        <v>0</v>
      </c>
      <c r="S395" s="13">
        <f ca="1">SUMIF('2.9原液在庫'!B:H,C395,'2.9原液在庫'!H:H)</f>
        <v>0</v>
      </c>
      <c r="T395" s="16">
        <f ca="1">IFERROR(SUM(G396:K396)/(G395+H395+K395),0)</f>
        <v>0</v>
      </c>
      <c r="U395" s="17" t="str">
        <f>C395</f>
        <v>39Rﾘ(ｶﾘﾝ)</v>
      </c>
      <c r="V395" s="18">
        <f ca="1">IF(ISERROR(SUM(G396:K396)/SUM(L395:Q395,S395)),0,SUM(G396:K396)/SUM(L395:Q395,S395))</f>
        <v>0</v>
      </c>
      <c r="W395" s="19">
        <f ca="1">V395</f>
        <v>0</v>
      </c>
      <c r="X395" s="20">
        <f ca="1">W395/1000</f>
        <v>0</v>
      </c>
    </row>
    <row r="396" spans="1:24">
      <c r="A396" s="212"/>
      <c r="B396" s="212"/>
      <c r="C396" s="201"/>
      <c r="D396" s="199"/>
      <c r="E396" s="199"/>
      <c r="F396" s="21" t="s">
        <v>247</v>
      </c>
      <c r="G396" s="22" t="s">
        <v>254</v>
      </c>
      <c r="H396" s="184"/>
      <c r="I396" s="23">
        <f ca="1">I395*労務費経費単価SC!D$7</f>
        <v>0</v>
      </c>
      <c r="J396" s="23">
        <f ca="1">J395*労務費経費単価SC!D$11</f>
        <v>0</v>
      </c>
      <c r="K396" s="22">
        <f ca="1">K395*$E395</f>
        <v>0</v>
      </c>
      <c r="L396" s="22">
        <f ca="1">L395*$E395</f>
        <v>0</v>
      </c>
      <c r="M396" s="22">
        <f t="shared" ref="M396" ca="1" si="1359">M395*$E395</f>
        <v>0</v>
      </c>
      <c r="N396" s="22">
        <f t="shared" ref="N396" ca="1" si="1360">N395*$E395</f>
        <v>0</v>
      </c>
      <c r="O396" s="22">
        <f t="shared" ref="O396" ca="1" si="1361">O395*$E395</f>
        <v>0</v>
      </c>
      <c r="P396" s="22">
        <f t="shared" ref="P396" ca="1" si="1362">P395*$E395</f>
        <v>0</v>
      </c>
      <c r="Q396" s="22">
        <f t="shared" ref="Q396" ca="1" si="1363">Q395*$E395</f>
        <v>0</v>
      </c>
      <c r="R396" s="22">
        <f t="shared" ref="R396" ca="1" si="1364">R395*$E395</f>
        <v>0</v>
      </c>
      <c r="S396" s="22">
        <f t="shared" ref="S396" ca="1" si="1365">S395*$E395</f>
        <v>0</v>
      </c>
      <c r="U396" s="17"/>
      <c r="V396" s="18"/>
      <c r="W396" s="19"/>
      <c r="X396" s="20"/>
    </row>
    <row r="397" spans="1:24">
      <c r="A397" s="212"/>
      <c r="B397" s="212"/>
      <c r="C397" s="200" t="s">
        <v>199</v>
      </c>
      <c r="D397" s="199" t="str">
        <f>VLOOKUP(C397,'仕掛品名寄（貼付）'!B:C,2,FALSE)</f>
        <v>その他</v>
      </c>
      <c r="E397" s="199">
        <f>VLOOKUP(D397,'仕掛品標準単価一覧表（貼付）'!B:G,6,FALSE)</f>
        <v>1080</v>
      </c>
      <c r="F397" s="12" t="s">
        <v>246</v>
      </c>
      <c r="G397" s="24">
        <v>0</v>
      </c>
      <c r="H397" s="13">
        <f ca="1">SUMIF('1.3②原材料使用'!B:E,C397,'1.3②原材料使用'!E:E)</f>
        <v>0</v>
      </c>
      <c r="I397" s="13">
        <f ca="1">SUMIF('2.10原液別作業時間'!A:B,C397,'2.10原液別作業時間'!B:B)</f>
        <v>0</v>
      </c>
      <c r="J397" s="13">
        <f ca="1">SUM(G397:H397,K397)</f>
        <v>0</v>
      </c>
      <c r="K397" s="13">
        <f ca="1">SUMIF('2.2⑤純増減→前工程費'!B:E,C397,'2.2⑤純増減→前工程費'!E:E)</f>
        <v>0</v>
      </c>
      <c r="L397" s="13">
        <f ca="1">SUMIF('2.6完成品'!C:D,C397,'2.6完成品'!D:D)</f>
        <v>0</v>
      </c>
      <c r="M397" s="13">
        <f ca="1">SUMIF('2.3研究費'!D:E,C397,'2.3研究費'!E:E)</f>
        <v>0</v>
      </c>
      <c r="N397" s="13">
        <f ca="1">SUMIF('2.4販促費'!D:E,C397,'2.4販促費'!E:E)</f>
        <v>0</v>
      </c>
      <c r="O397" s="13">
        <f ca="1">SUMIF('2.5廃棄処分'!D:E,C397,'2.5廃棄処分'!E:E)</f>
        <v>0</v>
      </c>
      <c r="P397" s="13">
        <f ca="1">SUMIF('2.1④異種原液'!D:E,C397,'2.1④異種原液'!E:E)</f>
        <v>0</v>
      </c>
      <c r="Q397" s="14">
        <f ca="1">SUMIF('2.7製造部生産分'!D:I,C397,'2.7製造部生産分'!H:H)</f>
        <v>0</v>
      </c>
      <c r="R397" s="15">
        <f ca="1">-(G397+H397+K397-L397-M397-N397-O397-P397-Q397-S397)</f>
        <v>0</v>
      </c>
      <c r="S397" s="13">
        <f ca="1">SUMIF('2.9原液在庫'!B:H,C397,'2.9原液在庫'!H:H)</f>
        <v>0</v>
      </c>
      <c r="T397" s="16">
        <f ca="1">IFERROR(SUM(G398:K398)/(G397+H397+K397),0)</f>
        <v>0</v>
      </c>
      <c r="U397" s="17" t="str">
        <f>C397</f>
        <v>39Rｶﾘﾝ</v>
      </c>
      <c r="V397" s="18">
        <f ca="1">IF(ISERROR(SUM(G398:K398)/SUM(L397:Q397,S397)),0,SUM(G398:K398)/SUM(L397:Q397,S397))</f>
        <v>0</v>
      </c>
      <c r="W397" s="19">
        <f ca="1">V397</f>
        <v>0</v>
      </c>
      <c r="X397" s="20">
        <f ca="1">W397/1000</f>
        <v>0</v>
      </c>
    </row>
    <row r="398" spans="1:24">
      <c r="A398" s="212"/>
      <c r="B398" s="212"/>
      <c r="C398" s="201"/>
      <c r="D398" s="199"/>
      <c r="E398" s="199"/>
      <c r="F398" s="21" t="s">
        <v>247</v>
      </c>
      <c r="G398" s="22" t="s">
        <v>254</v>
      </c>
      <c r="H398" s="184"/>
      <c r="I398" s="23">
        <f ca="1">I397*労務費経費単価SC!D$7</f>
        <v>0</v>
      </c>
      <c r="J398" s="23">
        <f ca="1">J397*労務費経費単価SC!D$11</f>
        <v>0</v>
      </c>
      <c r="K398" s="22">
        <f ca="1">K397*$E397</f>
        <v>0</v>
      </c>
      <c r="L398" s="22">
        <f ca="1">L397*$E397</f>
        <v>0</v>
      </c>
      <c r="M398" s="22">
        <f t="shared" ref="M398" ca="1" si="1366">M397*$E397</f>
        <v>0</v>
      </c>
      <c r="N398" s="22">
        <f t="shared" ref="N398" ca="1" si="1367">N397*$E397</f>
        <v>0</v>
      </c>
      <c r="O398" s="22">
        <f t="shared" ref="O398" ca="1" si="1368">O397*$E397</f>
        <v>0</v>
      </c>
      <c r="P398" s="22">
        <f t="shared" ref="P398" ca="1" si="1369">P397*$E397</f>
        <v>0</v>
      </c>
      <c r="Q398" s="22">
        <f t="shared" ref="Q398" ca="1" si="1370">Q397*$E397</f>
        <v>0</v>
      </c>
      <c r="R398" s="22">
        <f t="shared" ref="R398" ca="1" si="1371">R397*$E397</f>
        <v>0</v>
      </c>
      <c r="S398" s="22">
        <f t="shared" ref="S398" ca="1" si="1372">S397*$E397</f>
        <v>0</v>
      </c>
      <c r="U398" s="17"/>
      <c r="V398" s="18"/>
      <c r="W398" s="19"/>
      <c r="X398" s="20"/>
    </row>
    <row r="399" spans="1:24">
      <c r="A399" s="212"/>
      <c r="B399" s="212"/>
      <c r="C399" s="200" t="s">
        <v>397</v>
      </c>
      <c r="D399" s="199" t="str">
        <f>VLOOKUP(C399,'仕掛品名寄（貼付）'!B:C,2,FALSE)</f>
        <v>Rシ</v>
      </c>
      <c r="E399" s="199">
        <f>VLOOKUP(D399,'仕掛品標準単価一覧表（貼付）'!B:G,6,FALSE)</f>
        <v>991</v>
      </c>
      <c r="F399" s="12" t="s">
        <v>246</v>
      </c>
      <c r="G399" s="13">
        <v>0</v>
      </c>
      <c r="H399" s="13">
        <f ca="1">SUMIF('1.3②原材料使用'!B:E,C399,'1.3②原材料使用'!E:E)</f>
        <v>0</v>
      </c>
      <c r="I399" s="13">
        <f ca="1">SUMIF('2.10原液別作業時間'!A:B,C399,'2.10原液別作業時間'!B:B)</f>
        <v>0</v>
      </c>
      <c r="J399" s="13">
        <f ca="1">SUM(G399:H399,K399)</f>
        <v>0</v>
      </c>
      <c r="K399" s="13">
        <f ca="1">SUMIF('2.2⑤純増減→前工程費'!B:E,C399,'2.2⑤純増減→前工程費'!E:E)</f>
        <v>0</v>
      </c>
      <c r="L399" s="13">
        <f ca="1">SUMIF('2.6完成品'!C:D,C399,'2.6完成品'!D:D)</f>
        <v>0</v>
      </c>
      <c r="M399" s="13">
        <f ca="1">SUMIF('2.3研究費'!D:E,C399,'2.3研究費'!E:E)</f>
        <v>0</v>
      </c>
      <c r="N399" s="13">
        <f ca="1">SUMIF('2.4販促費'!D:E,C399,'2.4販促費'!E:E)</f>
        <v>0</v>
      </c>
      <c r="O399" s="13">
        <f ca="1">SUMIF('2.5廃棄処分'!D:E,C399,'2.5廃棄処分'!E:E)</f>
        <v>0</v>
      </c>
      <c r="P399" s="13">
        <f ca="1">SUMIF('2.1④異種原液'!D:E,C399,'2.1④異種原液'!E:E)</f>
        <v>0</v>
      </c>
      <c r="Q399" s="14">
        <f ca="1">SUMIF('2.7製造部生産分'!D:I,C399,'2.7製造部生産分'!H:H)</f>
        <v>0</v>
      </c>
      <c r="R399" s="15">
        <f ca="1">-(G399+H399+K399-L399-M399-N399-O399-P399-Q399-S399)</f>
        <v>0</v>
      </c>
      <c r="S399" s="13">
        <f ca="1">SUMIF('2.9原液在庫'!B:H,C399,'2.9原液在庫'!H:H)</f>
        <v>0</v>
      </c>
      <c r="T399" s="16">
        <f ca="1">IFERROR(SUM(G400:K400)/(G399+H399+K399),0)</f>
        <v>0</v>
      </c>
      <c r="U399" s="17" t="str">
        <f>C399</f>
        <v>39Rｼ</v>
      </c>
      <c r="V399" s="18">
        <f ca="1">IF(ISERROR(SUM(G400:K400)/SUM(L399:Q399,S399)),0,SUM(G400:K400)/SUM(L399:Q399,S399))</f>
        <v>0</v>
      </c>
      <c r="W399" s="19">
        <f ca="1">V399</f>
        <v>0</v>
      </c>
      <c r="X399" s="20">
        <f ca="1">W399/1000</f>
        <v>0</v>
      </c>
    </row>
    <row r="400" spans="1:24">
      <c r="A400" s="201"/>
      <c r="B400" s="201"/>
      <c r="C400" s="201"/>
      <c r="D400" s="199"/>
      <c r="E400" s="199"/>
      <c r="F400" s="21" t="s">
        <v>247</v>
      </c>
      <c r="G400" s="22" t="s">
        <v>254</v>
      </c>
      <c r="H400" s="184"/>
      <c r="I400" s="23">
        <f ca="1">I399*労務費経費単価SC!D$7</f>
        <v>0</v>
      </c>
      <c r="J400" s="23">
        <f ca="1">J399*労務費経費単価SC!D$11</f>
        <v>0</v>
      </c>
      <c r="K400" s="22">
        <f ca="1">K399*$E399</f>
        <v>0</v>
      </c>
      <c r="L400" s="22">
        <f ca="1">L399*$E399</f>
        <v>0</v>
      </c>
      <c r="M400" s="22">
        <f t="shared" ref="M400" ca="1" si="1373">M399*$E399</f>
        <v>0</v>
      </c>
      <c r="N400" s="22">
        <f t="shared" ref="N400" ca="1" si="1374">N399*$E399</f>
        <v>0</v>
      </c>
      <c r="O400" s="22">
        <f t="shared" ref="O400" ca="1" si="1375">O399*$E399</f>
        <v>0</v>
      </c>
      <c r="P400" s="22">
        <f t="shared" ref="P400" ca="1" si="1376">P399*$E399</f>
        <v>0</v>
      </c>
      <c r="Q400" s="22">
        <f t="shared" ref="Q400" ca="1" si="1377">Q399*$E399</f>
        <v>0</v>
      </c>
      <c r="R400" s="22">
        <f t="shared" ref="R400" ca="1" si="1378">R399*$E399</f>
        <v>0</v>
      </c>
      <c r="S400" s="22">
        <f t="shared" ref="S400" ca="1" si="1379">S399*$E399</f>
        <v>0</v>
      </c>
      <c r="U400" s="17"/>
      <c r="V400" s="18"/>
      <c r="W400" s="19"/>
      <c r="X400" s="20"/>
    </row>
    <row r="401" spans="1:24">
      <c r="A401" s="211" t="s">
        <v>398</v>
      </c>
      <c r="B401" s="211">
        <v>40</v>
      </c>
      <c r="C401" s="211" t="s">
        <v>399</v>
      </c>
      <c r="D401" s="199" t="str">
        <f>VLOOKUP(C401,'仕掛品名寄（貼付）'!B:C,2,FALSE)</f>
        <v>R</v>
      </c>
      <c r="E401" s="199">
        <f>VLOOKUP(D401,'仕掛品標準単価一覧表（貼付）'!B:G,6,FALSE)</f>
        <v>908</v>
      </c>
      <c r="F401" s="12" t="s">
        <v>246</v>
      </c>
      <c r="G401" s="24">
        <v>56526.899999999965</v>
      </c>
      <c r="H401" s="13">
        <f ca="1">SUMIF('1.3②原材料使用'!B:E,C401,'1.3②原材料使用'!E:E)</f>
        <v>0</v>
      </c>
      <c r="I401" s="13">
        <f ca="1">SUMIF('2.10原液別作業時間'!A:B,C401,'2.10原液別作業時間'!B:B)</f>
        <v>0</v>
      </c>
      <c r="J401" s="13">
        <f ca="1">SUM(G401:H401,K401)</f>
        <v>56526.899999999965</v>
      </c>
      <c r="K401" s="13">
        <f ca="1">SUMIF('2.2⑤純増減→前工程費'!B:E,C401,'2.2⑤純増減→前工程費'!E:E)</f>
        <v>0</v>
      </c>
      <c r="L401" s="13">
        <f ca="1">SUMIF('2.6完成品'!C:D,C401,'2.6完成品'!D:D)</f>
        <v>0</v>
      </c>
      <c r="M401" s="13">
        <f ca="1">SUMIF('2.3研究費'!D:E,C401,'2.3研究費'!E:E)</f>
        <v>0</v>
      </c>
      <c r="N401" s="13">
        <f ca="1">SUMIF('2.4販促費'!D:E,C401,'2.4販促費'!E:E)</f>
        <v>0</v>
      </c>
      <c r="O401" s="13">
        <f ca="1">SUMIF('2.5廃棄処分'!D:E,C401,'2.5廃棄処分'!E:E)</f>
        <v>0</v>
      </c>
      <c r="P401" s="13">
        <f ca="1">SUMIF('2.1④異種原液'!D:E,C401,'2.1④異種原液'!E:E)</f>
        <v>0</v>
      </c>
      <c r="Q401" s="14">
        <f ca="1">SUMIF('2.7製造部生産分'!D:I,C401,'2.7製造部生産分'!H:H)</f>
        <v>0</v>
      </c>
      <c r="R401" s="15">
        <f ca="1">-(G401+H401+K401-L401-M401-N401-O401-P401-Q401-S401)</f>
        <v>0</v>
      </c>
      <c r="S401" s="13">
        <f ca="1">SUMIF('2.9原液在庫'!B:H,C401,'2.9原液在庫'!H:H)</f>
        <v>56526.899999999965</v>
      </c>
      <c r="T401" s="16">
        <f ca="1">IFERROR(SUM(G402:K402)/(G401+H401+K401),0)</f>
        <v>924.23157294385339</v>
      </c>
      <c r="U401" s="17" t="str">
        <f>C401</f>
        <v>40R</v>
      </c>
      <c r="V401" s="18">
        <f ca="1">IF(ISERROR(SUM(G402:K402)/SUM(L401:Q401,S401)),0,SUM(G402:K402)/SUM(L401:Q401,S401))</f>
        <v>924.23157294385339</v>
      </c>
      <c r="W401" s="19">
        <f ca="1">V401</f>
        <v>924.23157294385339</v>
      </c>
      <c r="X401" s="20">
        <f ca="1">W401/1000</f>
        <v>0.92423157294385339</v>
      </c>
    </row>
    <row r="402" spans="1:24">
      <c r="A402" s="212"/>
      <c r="B402" s="212"/>
      <c r="C402" s="201"/>
      <c r="D402" s="199"/>
      <c r="E402" s="199"/>
      <c r="F402" s="21" t="s">
        <v>247</v>
      </c>
      <c r="G402" s="22">
        <v>50548138.700639874</v>
      </c>
      <c r="H402" s="184"/>
      <c r="I402" s="23">
        <f ca="1">I401*労務費経費単価SC!D$7</f>
        <v>0</v>
      </c>
      <c r="J402" s="23">
        <f ca="1">J401*労務費経費単価SC!D$11</f>
        <v>1695806.9999999991</v>
      </c>
      <c r="K402" s="22">
        <f ca="1">K401*$E401</f>
        <v>0</v>
      </c>
      <c r="L402" s="22">
        <f ca="1">L401*$E401</f>
        <v>0</v>
      </c>
      <c r="M402" s="22">
        <f t="shared" ref="M402" ca="1" si="1380">M401*$E401</f>
        <v>0</v>
      </c>
      <c r="N402" s="22">
        <f t="shared" ref="N402" ca="1" si="1381">N401*$E401</f>
        <v>0</v>
      </c>
      <c r="O402" s="22">
        <f t="shared" ref="O402" ca="1" si="1382">O401*$E401</f>
        <v>0</v>
      </c>
      <c r="P402" s="22">
        <f t="shared" ref="P402" ca="1" si="1383">P401*$E401</f>
        <v>0</v>
      </c>
      <c r="Q402" s="22">
        <f t="shared" ref="Q402" ca="1" si="1384">Q401*$E401</f>
        <v>0</v>
      </c>
      <c r="R402" s="22">
        <f t="shared" ref="R402" ca="1" si="1385">R401*$E401</f>
        <v>0</v>
      </c>
      <c r="S402" s="22">
        <f t="shared" ref="S402" ca="1" si="1386">S401*$E401</f>
        <v>51326425.199999966</v>
      </c>
      <c r="U402" s="17"/>
      <c r="V402" s="18"/>
      <c r="W402" s="19"/>
      <c r="X402" s="20"/>
    </row>
    <row r="403" spans="1:24">
      <c r="A403" s="212"/>
      <c r="B403" s="212"/>
      <c r="C403" s="200" t="s">
        <v>204</v>
      </c>
      <c r="D403" s="199" t="str">
        <f>VLOOKUP(C403,'仕掛品名寄（貼付）'!B:C,2,FALSE)</f>
        <v>RB</v>
      </c>
      <c r="E403" s="199">
        <f>VLOOKUP(D403,'仕掛品標準単価一覧表（貼付）'!B:G,6,FALSE)</f>
        <v>1026.5183999999999</v>
      </c>
      <c r="F403" s="12" t="s">
        <v>246</v>
      </c>
      <c r="G403" s="24">
        <v>0</v>
      </c>
      <c r="H403" s="13">
        <f ca="1">SUMIF('1.3②原材料使用'!B:E,C403,'1.3②原材料使用'!E:E)</f>
        <v>0</v>
      </c>
      <c r="I403" s="13">
        <f ca="1">SUMIF('2.10原液別作業時間'!A:B,C403,'2.10原液別作業時間'!B:B)</f>
        <v>0</v>
      </c>
      <c r="J403" s="13">
        <f ca="1">SUM(G403:H403,K403)</f>
        <v>0</v>
      </c>
      <c r="K403" s="13">
        <f ca="1">SUMIF('2.2⑤純増減→前工程費'!B:E,C403,'2.2⑤純増減→前工程費'!E:E)</f>
        <v>0</v>
      </c>
      <c r="L403" s="13">
        <f ca="1">SUMIF('2.6完成品'!C:D,C403,'2.6完成品'!D:D)</f>
        <v>0</v>
      </c>
      <c r="M403" s="13">
        <f ca="1">SUMIF('2.3研究費'!D:E,C403,'2.3研究費'!E:E)</f>
        <v>0</v>
      </c>
      <c r="N403" s="13">
        <f ca="1">SUMIF('2.4販促費'!D:E,C403,'2.4販促費'!E:E)</f>
        <v>0</v>
      </c>
      <c r="O403" s="13">
        <f ca="1">SUMIF('2.5廃棄処分'!D:E,C403,'2.5廃棄処分'!E:E)</f>
        <v>0</v>
      </c>
      <c r="P403" s="13">
        <f ca="1">SUMIF('2.1④異種原液'!D:E,C403,'2.1④異種原液'!E:E)</f>
        <v>0</v>
      </c>
      <c r="Q403" s="14">
        <f ca="1">SUMIF('2.7製造部生産分'!D:I,C403,'2.7製造部生産分'!H:H)</f>
        <v>0</v>
      </c>
      <c r="R403" s="15">
        <f ca="1">-(G403+H403+K403-L403-M403-N403-O403-P403-Q403-S403)</f>
        <v>0</v>
      </c>
      <c r="S403" s="13">
        <f ca="1">SUMIF('2.9原液在庫'!B:H,C403,'2.9原液在庫'!H:H)</f>
        <v>0</v>
      </c>
      <c r="T403" s="16">
        <f ca="1">IFERROR(SUM(G404:K404)/(G403+H403+K403),0)</f>
        <v>0</v>
      </c>
      <c r="U403" s="17" t="str">
        <f>C403</f>
        <v>40RB</v>
      </c>
      <c r="V403" s="18">
        <f ca="1">IF(ISERROR(SUM(G404:K404)/SUM(L403:Q403,S403)),0,SUM(G404:K404)/SUM(L403:Q403,S403))</f>
        <v>0</v>
      </c>
      <c r="W403" s="19">
        <f ca="1">V403</f>
        <v>0</v>
      </c>
      <c r="X403" s="20">
        <f ca="1">W403/1000</f>
        <v>0</v>
      </c>
    </row>
    <row r="404" spans="1:24">
      <c r="A404" s="212"/>
      <c r="B404" s="212"/>
      <c r="C404" s="201"/>
      <c r="D404" s="199"/>
      <c r="E404" s="199"/>
      <c r="F404" s="21" t="s">
        <v>247</v>
      </c>
      <c r="G404" s="22" t="s">
        <v>254</v>
      </c>
      <c r="H404" s="184"/>
      <c r="I404" s="23">
        <f ca="1">I403*労務費経費単価SC!D$7</f>
        <v>0</v>
      </c>
      <c r="J404" s="23">
        <f ca="1">J403*労務費経費単価SC!D$11</f>
        <v>0</v>
      </c>
      <c r="K404" s="22">
        <f ca="1">K403*$E403</f>
        <v>0</v>
      </c>
      <c r="L404" s="22">
        <f ca="1">L403*$E403</f>
        <v>0</v>
      </c>
      <c r="M404" s="22">
        <f t="shared" ref="M404" ca="1" si="1387">M403*$E403</f>
        <v>0</v>
      </c>
      <c r="N404" s="22">
        <f t="shared" ref="N404" ca="1" si="1388">N403*$E403</f>
        <v>0</v>
      </c>
      <c r="O404" s="22">
        <f t="shared" ref="O404" ca="1" si="1389">O403*$E403</f>
        <v>0</v>
      </c>
      <c r="P404" s="22">
        <f t="shared" ref="P404" ca="1" si="1390">P403*$E403</f>
        <v>0</v>
      </c>
      <c r="Q404" s="22">
        <f t="shared" ref="Q404" ca="1" si="1391">Q403*$E403</f>
        <v>0</v>
      </c>
      <c r="R404" s="22">
        <f t="shared" ref="R404" ca="1" si="1392">R403*$E403</f>
        <v>0</v>
      </c>
      <c r="S404" s="22">
        <f t="shared" ref="S404" ca="1" si="1393">S403*$E403</f>
        <v>0</v>
      </c>
      <c r="U404" s="17"/>
      <c r="V404" s="18"/>
      <c r="W404" s="19"/>
      <c r="X404" s="20"/>
    </row>
    <row r="405" spans="1:24">
      <c r="A405" s="212"/>
      <c r="B405" s="212"/>
      <c r="C405" s="200" t="s">
        <v>205</v>
      </c>
      <c r="D405" s="199" t="str">
        <f>VLOOKUP(C405,'仕掛品名寄（貼付）'!B:C,2,FALSE)</f>
        <v>その他</v>
      </c>
      <c r="E405" s="199">
        <f>VLOOKUP(D405,'仕掛品標準単価一覧表（貼付）'!B:G,6,FALSE)</f>
        <v>1080</v>
      </c>
      <c r="F405" s="12" t="s">
        <v>246</v>
      </c>
      <c r="G405" s="24">
        <v>0</v>
      </c>
      <c r="H405" s="13">
        <f ca="1">SUMIF('1.3②原材料使用'!B:E,C405,'1.3②原材料使用'!E:E)</f>
        <v>0</v>
      </c>
      <c r="I405" s="13">
        <f ca="1">SUMIF('2.10原液別作業時間'!A:B,C405,'2.10原液別作業時間'!B:B)</f>
        <v>0</v>
      </c>
      <c r="J405" s="13">
        <f ca="1">SUM(G405:H405,K405)</f>
        <v>0</v>
      </c>
      <c r="K405" s="13">
        <f ca="1">SUMIF('2.2⑤純増減→前工程費'!B:E,C405,'2.2⑤純増減→前工程費'!E:E)</f>
        <v>0</v>
      </c>
      <c r="L405" s="13">
        <f ca="1">SUMIF('2.6完成品'!C:D,C405,'2.6完成品'!D:D)</f>
        <v>0</v>
      </c>
      <c r="M405" s="13">
        <f ca="1">SUMIF('2.3研究費'!D:E,C405,'2.3研究費'!E:E)</f>
        <v>0</v>
      </c>
      <c r="N405" s="13">
        <f ca="1">SUMIF('2.4販促費'!D:E,C405,'2.4販促費'!E:E)</f>
        <v>0</v>
      </c>
      <c r="O405" s="13">
        <f ca="1">SUMIF('2.5廃棄処分'!D:E,C405,'2.5廃棄処分'!E:E)</f>
        <v>0</v>
      </c>
      <c r="P405" s="13">
        <f ca="1">SUMIF('2.1④異種原液'!D:E,C405,'2.1④異種原液'!E:E)</f>
        <v>0</v>
      </c>
      <c r="Q405" s="14">
        <f ca="1">SUMIF('2.7製造部生産分'!D:I,C405,'2.7製造部生産分'!H:H)</f>
        <v>0</v>
      </c>
      <c r="R405" s="15">
        <f ca="1">-(G405+H405+K405-L405-M405-N405-O405-P405-Q405-S405)</f>
        <v>0</v>
      </c>
      <c r="S405" s="13">
        <f ca="1">SUMIF('2.9原液在庫'!B:H,C405,'2.9原液在庫'!H:H)</f>
        <v>0</v>
      </c>
      <c r="T405" s="16">
        <f ca="1">IFERROR(SUM(G406:K406)/(G405+H405+K405),0)</f>
        <v>0</v>
      </c>
      <c r="U405" s="17" t="str">
        <f>C405</f>
        <v>40R海</v>
      </c>
      <c r="V405" s="18">
        <f ca="1">IF(ISERROR(SUM(G406:K406)/SUM(L405:Q405,S405)),0,SUM(G406:K406)/SUM(L405:Q405,S405))</f>
        <v>0</v>
      </c>
      <c r="W405" s="19">
        <f ca="1">V405</f>
        <v>0</v>
      </c>
      <c r="X405" s="20">
        <f ca="1">W405/1000</f>
        <v>0</v>
      </c>
    </row>
    <row r="406" spans="1:24">
      <c r="A406" s="212"/>
      <c r="B406" s="212"/>
      <c r="C406" s="201"/>
      <c r="D406" s="199"/>
      <c r="E406" s="199"/>
      <c r="F406" s="21" t="s">
        <v>247</v>
      </c>
      <c r="G406" s="22" t="s">
        <v>254</v>
      </c>
      <c r="H406" s="184"/>
      <c r="I406" s="23">
        <f ca="1">I405*労務費経費単価SC!D$7</f>
        <v>0</v>
      </c>
      <c r="J406" s="23">
        <f ca="1">J405*労務費経費単価SC!D$11</f>
        <v>0</v>
      </c>
      <c r="K406" s="22">
        <f ca="1">K405*$E405</f>
        <v>0</v>
      </c>
      <c r="L406" s="22">
        <f ca="1">L405*$E405</f>
        <v>0</v>
      </c>
      <c r="M406" s="22">
        <f t="shared" ref="M406" ca="1" si="1394">M405*$E405</f>
        <v>0</v>
      </c>
      <c r="N406" s="22">
        <f t="shared" ref="N406" ca="1" si="1395">N405*$E405</f>
        <v>0</v>
      </c>
      <c r="O406" s="22">
        <f t="shared" ref="O406" ca="1" si="1396">O405*$E405</f>
        <v>0</v>
      </c>
      <c r="P406" s="22">
        <f t="shared" ref="P406" ca="1" si="1397">P405*$E405</f>
        <v>0</v>
      </c>
      <c r="Q406" s="22">
        <f t="shared" ref="Q406" ca="1" si="1398">Q405*$E405</f>
        <v>0</v>
      </c>
      <c r="R406" s="22">
        <f t="shared" ref="R406" ca="1" si="1399">R405*$E405</f>
        <v>0</v>
      </c>
      <c r="S406" s="22">
        <f t="shared" ref="S406" ca="1" si="1400">S405*$E405</f>
        <v>0</v>
      </c>
      <c r="U406" s="17"/>
      <c r="V406" s="18"/>
      <c r="W406" s="19"/>
      <c r="X406" s="20"/>
    </row>
    <row r="407" spans="1:24">
      <c r="A407" s="212"/>
      <c r="B407" s="212"/>
      <c r="C407" s="200" t="s">
        <v>400</v>
      </c>
      <c r="D407" s="199" t="str">
        <f>VLOOKUP(C407,'仕掛品名寄（貼付）'!B:C,2,FALSE)</f>
        <v>その他</v>
      </c>
      <c r="E407" s="199">
        <f>VLOOKUP(D407,'仕掛品標準単価一覧表（貼付）'!B:G,6,FALSE)</f>
        <v>1080</v>
      </c>
      <c r="F407" s="12" t="s">
        <v>246</v>
      </c>
      <c r="G407" s="24">
        <v>13086.3</v>
      </c>
      <c r="H407" s="13">
        <f ca="1">SUMIF('1.3②原材料使用'!B:E,C407,'1.3②原材料使用'!E:E)</f>
        <v>0</v>
      </c>
      <c r="I407" s="13">
        <f ca="1">SUMIF('2.10原液別作業時間'!A:B,C407,'2.10原液別作業時間'!B:B)</f>
        <v>0</v>
      </c>
      <c r="J407" s="13">
        <f ca="1">SUM(G407:H407,K407)</f>
        <v>13086.3</v>
      </c>
      <c r="K407" s="13">
        <f ca="1">SUMIF('2.2⑤純増減→前工程費'!B:E,C407,'2.2⑤純増減→前工程費'!E:E)</f>
        <v>0</v>
      </c>
      <c r="L407" s="13">
        <f ca="1">SUMIF('2.6完成品'!C:D,C407,'2.6完成品'!D:D)</f>
        <v>0</v>
      </c>
      <c r="M407" s="13">
        <f ca="1">SUMIF('2.3研究費'!D:E,C407,'2.3研究費'!E:E)</f>
        <v>0</v>
      </c>
      <c r="N407" s="13">
        <f ca="1">SUMIF('2.4販促費'!D:E,C407,'2.4販促費'!E:E)</f>
        <v>0</v>
      </c>
      <c r="O407" s="13">
        <f ca="1">SUMIF('2.5廃棄処分'!D:E,C407,'2.5廃棄処分'!E:E)</f>
        <v>0</v>
      </c>
      <c r="P407" s="13">
        <f ca="1">SUMIF('2.1④異種原液'!D:E,C407,'2.1④異種原液'!E:E)</f>
        <v>0</v>
      </c>
      <c r="Q407" s="14">
        <f ca="1">SUMIF('2.7製造部生産分'!D:I,C407,'2.7製造部生産分'!H:H)</f>
        <v>0</v>
      </c>
      <c r="R407" s="15">
        <f ca="1">-(G407+H407+K407-L407-M407-N407-O407-P407-Q407-S407)</f>
        <v>0</v>
      </c>
      <c r="S407" s="13">
        <f ca="1">SUMIF('2.9原液在庫'!B:H,C407,'2.9原液在庫'!H:H)</f>
        <v>13086.3</v>
      </c>
      <c r="T407" s="16">
        <f ca="1">IFERROR(SUM(G408:K408)/(G407+H407+K407),0)</f>
        <v>960.04144277190733</v>
      </c>
      <c r="U407" s="17" t="str">
        <f>C407</f>
        <v>40Rﾘ(ｶﾘﾝ)</v>
      </c>
      <c r="V407" s="18">
        <f ca="1">IF(ISERROR(SUM(G408:K408)/SUM(L407:Q407,S407)),0,SUM(G408:K408)/SUM(L407:Q407,S407))</f>
        <v>960.04144277190733</v>
      </c>
      <c r="W407" s="19">
        <f ca="1">V407</f>
        <v>960.04144277190733</v>
      </c>
      <c r="X407" s="20">
        <f ca="1">W407/1000</f>
        <v>0.96004144277190728</v>
      </c>
    </row>
    <row r="408" spans="1:24">
      <c r="A408" s="212"/>
      <c r="B408" s="212"/>
      <c r="C408" s="201"/>
      <c r="D408" s="199"/>
      <c r="E408" s="199"/>
      <c r="F408" s="21" t="s">
        <v>247</v>
      </c>
      <c r="G408" s="22">
        <v>12170801.332546011</v>
      </c>
      <c r="H408" s="184"/>
      <c r="I408" s="23">
        <f ca="1">I407*労務費経費単価SC!D$7</f>
        <v>0</v>
      </c>
      <c r="J408" s="23">
        <f ca="1">J407*労務費経費単価SC!D$11</f>
        <v>392589</v>
      </c>
      <c r="K408" s="22">
        <f ca="1">K407*$E407</f>
        <v>0</v>
      </c>
      <c r="L408" s="22">
        <f ca="1">L407*$E407</f>
        <v>0</v>
      </c>
      <c r="M408" s="22">
        <f t="shared" ref="M408" ca="1" si="1401">M407*$E407</f>
        <v>0</v>
      </c>
      <c r="N408" s="22">
        <f t="shared" ref="N408" ca="1" si="1402">N407*$E407</f>
        <v>0</v>
      </c>
      <c r="O408" s="22">
        <f t="shared" ref="O408" ca="1" si="1403">O407*$E407</f>
        <v>0</v>
      </c>
      <c r="P408" s="22">
        <f t="shared" ref="P408" ca="1" si="1404">P407*$E407</f>
        <v>0</v>
      </c>
      <c r="Q408" s="22">
        <f t="shared" ref="Q408" ca="1" si="1405">Q407*$E407</f>
        <v>0</v>
      </c>
      <c r="R408" s="22">
        <f t="shared" ref="R408" ca="1" si="1406">R407*$E407</f>
        <v>0</v>
      </c>
      <c r="S408" s="22">
        <f t="shared" ref="S408" ca="1" si="1407">S407*$E407</f>
        <v>14133204</v>
      </c>
      <c r="U408" s="17"/>
      <c r="V408" s="18"/>
      <c r="W408" s="19"/>
      <c r="X408" s="20"/>
    </row>
    <row r="409" spans="1:24">
      <c r="A409" s="212"/>
      <c r="B409" s="212"/>
      <c r="C409" s="200" t="s">
        <v>401</v>
      </c>
      <c r="D409" s="199" t="str">
        <f>VLOOKUP(C409,'仕掛品名寄（貼付）'!B:C,2,FALSE)</f>
        <v>その他</v>
      </c>
      <c r="E409" s="199">
        <f>VLOOKUP(D409,'仕掛品標準単価一覧表（貼付）'!B:G,6,FALSE)</f>
        <v>1080</v>
      </c>
      <c r="F409" s="12" t="s">
        <v>246</v>
      </c>
      <c r="G409" s="24">
        <v>0</v>
      </c>
      <c r="H409" s="13">
        <f ca="1">SUMIF('1.3②原材料使用'!B:E,C409,'1.3②原材料使用'!E:E)</f>
        <v>0</v>
      </c>
      <c r="I409" s="13">
        <f ca="1">SUMIF('2.10原液別作業時間'!A:B,C409,'2.10原液別作業時間'!B:B)</f>
        <v>0</v>
      </c>
      <c r="J409" s="13">
        <f ca="1">SUM(G409:H409,K409)</f>
        <v>0</v>
      </c>
      <c r="K409" s="13">
        <f ca="1">SUMIF('2.2⑤純増減→前工程費'!B:E,C409,'2.2⑤純増減→前工程費'!E:E)</f>
        <v>0</v>
      </c>
      <c r="L409" s="13">
        <f ca="1">SUMIF('2.6完成品'!C:D,C409,'2.6完成品'!D:D)</f>
        <v>0</v>
      </c>
      <c r="M409" s="13">
        <f ca="1">SUMIF('2.3研究費'!D:E,C409,'2.3研究費'!E:E)</f>
        <v>0</v>
      </c>
      <c r="N409" s="13">
        <f ca="1">SUMIF('2.4販促費'!D:E,C409,'2.4販促費'!E:E)</f>
        <v>0</v>
      </c>
      <c r="O409" s="13">
        <f ca="1">SUMIF('2.5廃棄処分'!D:E,C409,'2.5廃棄処分'!E:E)</f>
        <v>0</v>
      </c>
      <c r="P409" s="13">
        <f ca="1">SUMIF('2.1④異種原液'!D:E,C409,'2.1④異種原液'!E:E)</f>
        <v>0</v>
      </c>
      <c r="Q409" s="14">
        <f ca="1">SUMIF('2.7製造部生産分'!D:I,C409,'2.7製造部生産分'!H:H)</f>
        <v>0</v>
      </c>
      <c r="R409" s="15">
        <f ca="1">-(G409+H409+K409-L409-M409-N409-O409-P409-Q409-S409)</f>
        <v>0</v>
      </c>
      <c r="S409" s="13">
        <f ca="1">SUMIF('2.9原液在庫'!B:H,C409,'2.9原液在庫'!H:H)</f>
        <v>0</v>
      </c>
      <c r="T409" s="16">
        <f ca="1">IFERROR(SUM(G410:K410)/(G409+H409+K409),0)</f>
        <v>0</v>
      </c>
      <c r="U409" s="17" t="str">
        <f>C409</f>
        <v>40Rｶﾘﾝ</v>
      </c>
      <c r="V409" s="18">
        <f ca="1">IF(ISERROR(SUM(G410:K410)/SUM(L409:Q409,S409)),0,SUM(G410:K410)/SUM(L409:Q409,S409))</f>
        <v>0</v>
      </c>
      <c r="W409" s="19">
        <f ca="1">V409</f>
        <v>0</v>
      </c>
      <c r="X409" s="20">
        <f ca="1">W409/1000</f>
        <v>0</v>
      </c>
    </row>
    <row r="410" spans="1:24">
      <c r="A410" s="212"/>
      <c r="B410" s="212"/>
      <c r="C410" s="201"/>
      <c r="D410" s="199"/>
      <c r="E410" s="199"/>
      <c r="F410" s="21" t="s">
        <v>247</v>
      </c>
      <c r="G410" s="22" t="s">
        <v>254</v>
      </c>
      <c r="H410" s="184"/>
      <c r="I410" s="23">
        <f ca="1">I409*労務費経費単価SC!D$7</f>
        <v>0</v>
      </c>
      <c r="J410" s="23">
        <f ca="1">J409*労務費経費単価SC!D$11</f>
        <v>0</v>
      </c>
      <c r="K410" s="22">
        <f ca="1">K409*$E409</f>
        <v>0</v>
      </c>
      <c r="L410" s="22">
        <f ca="1">L409*$E409</f>
        <v>0</v>
      </c>
      <c r="M410" s="22">
        <f t="shared" ref="M410" ca="1" si="1408">M409*$E409</f>
        <v>0</v>
      </c>
      <c r="N410" s="22">
        <f t="shared" ref="N410" ca="1" si="1409">N409*$E409</f>
        <v>0</v>
      </c>
      <c r="O410" s="22">
        <f t="shared" ref="O410" ca="1" si="1410">O409*$E409</f>
        <v>0</v>
      </c>
      <c r="P410" s="22">
        <f t="shared" ref="P410" ca="1" si="1411">P409*$E409</f>
        <v>0</v>
      </c>
      <c r="Q410" s="22">
        <f t="shared" ref="Q410" ca="1" si="1412">Q409*$E409</f>
        <v>0</v>
      </c>
      <c r="R410" s="22">
        <f t="shared" ref="R410" ca="1" si="1413">R409*$E409</f>
        <v>0</v>
      </c>
      <c r="S410" s="22">
        <f t="shared" ref="S410" ca="1" si="1414">S409*$E409</f>
        <v>0</v>
      </c>
      <c r="U410" s="17"/>
      <c r="V410" s="18"/>
      <c r="W410" s="19"/>
      <c r="X410" s="20"/>
    </row>
    <row r="411" spans="1:24">
      <c r="A411" s="212"/>
      <c r="B411" s="212"/>
      <c r="C411" s="211" t="s">
        <v>206</v>
      </c>
      <c r="D411" s="199" t="str">
        <f>VLOOKUP(C411,'仕掛品名寄（貼付）'!B:C,2,FALSE)</f>
        <v>Rシ</v>
      </c>
      <c r="E411" s="199">
        <f>VLOOKUP(D411,'仕掛品標準単価一覧表（貼付）'!B:G,6,FALSE)</f>
        <v>991</v>
      </c>
      <c r="F411" s="12" t="s">
        <v>246</v>
      </c>
      <c r="G411" s="24">
        <v>64</v>
      </c>
      <c r="H411" s="13">
        <f ca="1">SUMIF('1.3②原材料使用'!B:E,C411,'1.3②原材料使用'!E:E)</f>
        <v>0</v>
      </c>
      <c r="I411" s="13">
        <f ca="1">SUMIF('2.10原液別作業時間'!A:B,C411,'2.10原液別作業時間'!B:B)</f>
        <v>240</v>
      </c>
      <c r="J411" s="13">
        <f ca="1">SUM(G411:H411,K411)</f>
        <v>64</v>
      </c>
      <c r="K411" s="13">
        <f ca="1">SUMIF('2.2⑤純増減→前工程費'!B:E,C411,'2.2⑤純増減→前工程費'!E:E)</f>
        <v>0</v>
      </c>
      <c r="L411" s="13">
        <f ca="1">SUMIF('2.6完成品'!C:D,C411,'2.6完成品'!D:D)</f>
        <v>0</v>
      </c>
      <c r="M411" s="13">
        <f ca="1">SUMIF('2.3研究費'!D:E,C411,'2.3研究費'!E:E)</f>
        <v>0</v>
      </c>
      <c r="N411" s="13">
        <f ca="1">SUMIF('2.4販促費'!D:E,C411,'2.4販促費'!E:E)</f>
        <v>0</v>
      </c>
      <c r="O411" s="13">
        <f ca="1">SUMIF('2.5廃棄処分'!D:E,C411,'2.5廃棄処分'!E:E)</f>
        <v>0</v>
      </c>
      <c r="P411" s="13">
        <f ca="1">SUMIF('2.1④異種原液'!D:E,C411,'2.1④異種原液'!E:E)</f>
        <v>0</v>
      </c>
      <c r="Q411" s="14">
        <f ca="1">SUMIF('2.7製造部生産分'!D:I,C411,'2.7製造部生産分'!H:H)</f>
        <v>0</v>
      </c>
      <c r="R411" s="15">
        <f ca="1">-(G411+H411+K411-L411-M411-N411-O411-P411-Q411-S411)</f>
        <v>0</v>
      </c>
      <c r="S411" s="13">
        <f ca="1">SUMIF('2.9原液在庫'!B:H,C411,'2.9原液在庫'!H:H)</f>
        <v>64</v>
      </c>
      <c r="T411" s="16">
        <f ca="1">IFERROR(SUM(G412:K412)/(G411+H411+K411),0)</f>
        <v>2912.0315329770729</v>
      </c>
      <c r="U411" s="17" t="str">
        <f>C411</f>
        <v>40Rｼ</v>
      </c>
      <c r="V411" s="18">
        <f ca="1">IF(ISERROR(SUM(G412:K412)/SUM(L411:Q411,S411)),0,SUM(G412:K412)/SUM(L411:Q411,S411))</f>
        <v>2912.0315329770729</v>
      </c>
      <c r="W411" s="19">
        <f ca="1">V411</f>
        <v>2912.0315329770729</v>
      </c>
      <c r="X411" s="20">
        <f ca="1">W411/1000</f>
        <v>2.912031532977073</v>
      </c>
    </row>
    <row r="412" spans="1:24">
      <c r="A412" s="212"/>
      <c r="B412" s="212"/>
      <c r="C412" s="201"/>
      <c r="D412" s="199"/>
      <c r="E412" s="199"/>
      <c r="F412" s="21" t="s">
        <v>247</v>
      </c>
      <c r="G412" s="22">
        <v>74050.018110532648</v>
      </c>
      <c r="H412" s="184"/>
      <c r="I412" s="23">
        <f ca="1">I411*労務費経費単価SC!D$7</f>
        <v>110400</v>
      </c>
      <c r="J412" s="23">
        <f ca="1">J411*労務費経費単価SC!D$11</f>
        <v>1920</v>
      </c>
      <c r="K412" s="22">
        <f ca="1">K411*$E411</f>
        <v>0</v>
      </c>
      <c r="L412" s="22">
        <f ca="1">L411*$E411</f>
        <v>0</v>
      </c>
      <c r="M412" s="22">
        <f t="shared" ref="M412" ca="1" si="1415">M411*$E411</f>
        <v>0</v>
      </c>
      <c r="N412" s="22">
        <f t="shared" ref="N412" ca="1" si="1416">N411*$E411</f>
        <v>0</v>
      </c>
      <c r="O412" s="22">
        <f t="shared" ref="O412" ca="1" si="1417">O411*$E411</f>
        <v>0</v>
      </c>
      <c r="P412" s="22">
        <f t="shared" ref="P412" ca="1" si="1418">P411*$E411</f>
        <v>0</v>
      </c>
      <c r="Q412" s="22">
        <f t="shared" ref="Q412" ca="1" si="1419">Q411*$E411</f>
        <v>0</v>
      </c>
      <c r="R412" s="22">
        <f t="shared" ref="R412" ca="1" si="1420">R411*$E411</f>
        <v>0</v>
      </c>
      <c r="S412" s="22">
        <f t="shared" ref="S412" ca="1" si="1421">S411*$E411</f>
        <v>63424</v>
      </c>
      <c r="U412" s="17"/>
      <c r="V412" s="18"/>
      <c r="W412" s="19"/>
      <c r="X412" s="20"/>
    </row>
    <row r="413" spans="1:24">
      <c r="A413" s="212"/>
      <c r="B413" s="212"/>
      <c r="C413" s="200" t="s">
        <v>207</v>
      </c>
      <c r="D413" s="199" t="str">
        <f>VLOOKUP(C413,'仕掛品名寄（貼付）'!B:C,2,FALSE)</f>
        <v>Rマ</v>
      </c>
      <c r="E413" s="199">
        <f>VLOOKUP(D413,'仕掛品標準単価一覧表（貼付）'!B:G,6,FALSE)</f>
        <v>1175.0183999999999</v>
      </c>
      <c r="F413" s="12" t="s">
        <v>246</v>
      </c>
      <c r="G413" s="24">
        <v>36</v>
      </c>
      <c r="H413" s="13">
        <f ca="1">SUMIF('1.3②原材料使用'!B:E,C413,'1.3②原材料使用'!E:E)</f>
        <v>0</v>
      </c>
      <c r="I413" s="13">
        <f ca="1">SUMIF('2.10原液別作業時間'!A:B,C413,'2.10原液別作業時間'!B:B)</f>
        <v>390</v>
      </c>
      <c r="J413" s="13">
        <f ca="1">SUM(G413:H413,K413)</f>
        <v>36</v>
      </c>
      <c r="K413" s="13">
        <f ca="1">SUMIF('2.2⑤純増減→前工程費'!B:E,C413,'2.2⑤純増減→前工程費'!E:E)</f>
        <v>0</v>
      </c>
      <c r="L413" s="13">
        <f ca="1">SUMIF('2.6完成品'!C:D,C413,'2.6完成品'!D:D)</f>
        <v>0</v>
      </c>
      <c r="M413" s="13">
        <f ca="1">SUMIF('2.3研究費'!D:E,C413,'2.3研究費'!E:E)</f>
        <v>0</v>
      </c>
      <c r="N413" s="13">
        <f ca="1">SUMIF('2.4販促費'!D:E,C413,'2.4販促費'!E:E)</f>
        <v>0</v>
      </c>
      <c r="O413" s="13">
        <f ca="1">SUMIF('2.5廃棄処分'!D:E,C413,'2.5廃棄処分'!E:E)</f>
        <v>0</v>
      </c>
      <c r="P413" s="13">
        <f ca="1">SUMIF('2.1④異種原液'!D:E,C413,'2.1④異種原液'!E:E)</f>
        <v>0</v>
      </c>
      <c r="Q413" s="14">
        <f ca="1">SUMIF('2.7製造部生産分'!D:I,C413,'2.7製造部生産分'!H:H)</f>
        <v>0</v>
      </c>
      <c r="R413" s="15">
        <f ca="1">-(G413+H413+K413-L413-M413-N413-O413-P413-Q413-S413)</f>
        <v>0</v>
      </c>
      <c r="S413" s="13">
        <f ca="1">SUMIF('2.9原液在庫'!B:H,C413,'2.9原液在庫'!H:H)</f>
        <v>36</v>
      </c>
      <c r="T413" s="16">
        <f ca="1">IFERROR(SUM(G414:K414)/(G413+H413+K413),0)</f>
        <v>6428.0392473330103</v>
      </c>
      <c r="U413" s="17" t="str">
        <f>C413</f>
        <v>40Rﾏ</v>
      </c>
      <c r="V413" s="18">
        <f ca="1">IF(ISERROR(SUM(G414:K414)/SUM(L413:Q413,S413)),0,SUM(G414:K414)/SUM(L413:Q413,S413))</f>
        <v>6428.0392473330103</v>
      </c>
      <c r="W413" s="19">
        <f ca="1">V413</f>
        <v>6428.0392473330103</v>
      </c>
      <c r="X413" s="20">
        <f ca="1">W413/1000</f>
        <v>6.4280392473330101</v>
      </c>
    </row>
    <row r="414" spans="1:24">
      <c r="A414" s="212"/>
      <c r="B414" s="212"/>
      <c r="C414" s="201"/>
      <c r="D414" s="199"/>
      <c r="E414" s="199"/>
      <c r="F414" s="21" t="s">
        <v>247</v>
      </c>
      <c r="G414" s="22">
        <v>50929.41290398837</v>
      </c>
      <c r="H414" s="184"/>
      <c r="I414" s="23">
        <f ca="1">I413*労務費経費単価SC!D$7</f>
        <v>179400</v>
      </c>
      <c r="J414" s="23">
        <f ca="1">J413*労務費経費単価SC!D$11</f>
        <v>1080</v>
      </c>
      <c r="K414" s="22">
        <f ca="1">K413*$E413</f>
        <v>0</v>
      </c>
      <c r="L414" s="22">
        <f ca="1">L413*$E413</f>
        <v>0</v>
      </c>
      <c r="M414" s="22">
        <f t="shared" ref="M414" ca="1" si="1422">M413*$E413</f>
        <v>0</v>
      </c>
      <c r="N414" s="22">
        <f t="shared" ref="N414" ca="1" si="1423">N413*$E413</f>
        <v>0</v>
      </c>
      <c r="O414" s="22">
        <f t="shared" ref="O414" ca="1" si="1424">O413*$E413</f>
        <v>0</v>
      </c>
      <c r="P414" s="22">
        <f t="shared" ref="P414" ca="1" si="1425">P413*$E413</f>
        <v>0</v>
      </c>
      <c r="Q414" s="22">
        <f t="shared" ref="Q414" ca="1" si="1426">Q413*$E413</f>
        <v>0</v>
      </c>
      <c r="R414" s="22">
        <f t="shared" ref="R414" ca="1" si="1427">R413*$E413</f>
        <v>0</v>
      </c>
      <c r="S414" s="22">
        <f t="shared" ref="S414" ca="1" si="1428">S413*$E413</f>
        <v>42300.662400000001</v>
      </c>
      <c r="U414" s="17"/>
      <c r="V414" s="18"/>
      <c r="W414" s="19"/>
      <c r="X414" s="20"/>
    </row>
    <row r="415" spans="1:24">
      <c r="A415" s="212"/>
      <c r="B415" s="212"/>
      <c r="C415" s="200" t="s">
        <v>402</v>
      </c>
      <c r="D415" s="199" t="str">
        <f>VLOOKUP(C415,'仕掛品名寄（貼付）'!B:C,2,FALSE)</f>
        <v>その他</v>
      </c>
      <c r="E415" s="199">
        <f>VLOOKUP(D415,'仕掛品標準単価一覧表（貼付）'!B:G,6,FALSE)</f>
        <v>1080</v>
      </c>
      <c r="F415" s="12" t="s">
        <v>246</v>
      </c>
      <c r="G415" s="24">
        <v>0</v>
      </c>
      <c r="H415" s="13">
        <f ca="1">SUMIF('1.3②原材料使用'!B:E,C415,'1.3②原材料使用'!E:E)</f>
        <v>0</v>
      </c>
      <c r="I415" s="13">
        <f ca="1">SUMIF('2.10原液別作業時間'!A:B,C415,'2.10原液別作業時間'!B:B)</f>
        <v>0</v>
      </c>
      <c r="J415" s="13">
        <f ca="1">SUM(G415:H415,K415)</f>
        <v>0</v>
      </c>
      <c r="K415" s="13">
        <f ca="1">SUMIF('2.2⑤純増減→前工程費'!B:E,C415,'2.2⑤純増減→前工程費'!E:E)</f>
        <v>0</v>
      </c>
      <c r="L415" s="13">
        <f ca="1">SUMIF('2.6完成品'!C:D,C415,'2.6完成品'!D:D)</f>
        <v>0</v>
      </c>
      <c r="M415" s="13">
        <f ca="1">SUMIF('2.3研究費'!D:E,C415,'2.3研究費'!E:E)</f>
        <v>0</v>
      </c>
      <c r="N415" s="13">
        <f ca="1">SUMIF('2.4販促費'!D:E,C415,'2.4販促費'!E:E)</f>
        <v>0</v>
      </c>
      <c r="O415" s="13">
        <f ca="1">SUMIF('2.5廃棄処分'!D:E,C415,'2.5廃棄処分'!E:E)</f>
        <v>0</v>
      </c>
      <c r="P415" s="13">
        <f ca="1">SUMIF('2.1④異種原液'!D:E,C415,'2.1④異種原液'!E:E)</f>
        <v>0</v>
      </c>
      <c r="Q415" s="14">
        <f ca="1">SUMIF('2.7製造部生産分'!D:I,C415,'2.7製造部生産分'!H:H)</f>
        <v>0</v>
      </c>
      <c r="R415" s="15">
        <f ca="1">-(G415+H415+K415-L415-M415-N415-O415-P415-Q415-S415)</f>
        <v>0</v>
      </c>
      <c r="S415" s="13">
        <f ca="1">SUMIF('2.9原液在庫'!B:H,C415,'2.9原液在庫'!H:H)</f>
        <v>0</v>
      </c>
      <c r="T415" s="16">
        <f ca="1">IFERROR(SUM(G416:K416)/(G415+H415+K415),0)</f>
        <v>0</v>
      </c>
      <c r="U415" s="17" t="str">
        <f>C415</f>
        <v>40Rｸ</v>
      </c>
      <c r="V415" s="18">
        <f ca="1">IF(ISERROR(SUM(G416:K416)/SUM(L415:Q415,S415)),0,SUM(G416:K416)/SUM(L415:Q415,S415))</f>
        <v>0</v>
      </c>
      <c r="W415" s="19">
        <f ca="1">V415</f>
        <v>0</v>
      </c>
      <c r="X415" s="20">
        <f ca="1">W415/1000</f>
        <v>0</v>
      </c>
    </row>
    <row r="416" spans="1:24">
      <c r="A416" s="212"/>
      <c r="B416" s="212"/>
      <c r="C416" s="201"/>
      <c r="D416" s="199"/>
      <c r="E416" s="199"/>
      <c r="F416" s="21" t="s">
        <v>247</v>
      </c>
      <c r="G416" s="22" t="s">
        <v>254</v>
      </c>
      <c r="H416" s="184"/>
      <c r="I416" s="23">
        <f ca="1">I415*労務費経費単価SC!D$7</f>
        <v>0</v>
      </c>
      <c r="J416" s="23">
        <f ca="1">J415*労務費経費単価SC!D$11</f>
        <v>0</v>
      </c>
      <c r="K416" s="22">
        <f ca="1">K415*$E415</f>
        <v>0</v>
      </c>
      <c r="L416" s="22">
        <f ca="1">L415*$E415</f>
        <v>0</v>
      </c>
      <c r="M416" s="22">
        <f t="shared" ref="M416" ca="1" si="1429">M415*$E415</f>
        <v>0</v>
      </c>
      <c r="N416" s="22">
        <f t="shared" ref="N416" ca="1" si="1430">N415*$E415</f>
        <v>0</v>
      </c>
      <c r="O416" s="22">
        <f t="shared" ref="O416" ca="1" si="1431">O415*$E415</f>
        <v>0</v>
      </c>
      <c r="P416" s="22">
        <f t="shared" ref="P416" ca="1" si="1432">P415*$E415</f>
        <v>0</v>
      </c>
      <c r="Q416" s="22">
        <f t="shared" ref="Q416" ca="1" si="1433">Q415*$E415</f>
        <v>0</v>
      </c>
      <c r="R416" s="22">
        <f t="shared" ref="R416" ca="1" si="1434">R415*$E415</f>
        <v>0</v>
      </c>
      <c r="S416" s="22">
        <f t="shared" ref="S416" ca="1" si="1435">S415*$E415</f>
        <v>0</v>
      </c>
      <c r="U416" s="17"/>
      <c r="V416" s="18"/>
      <c r="W416" s="19"/>
      <c r="X416" s="20"/>
    </row>
    <row r="417" spans="1:24">
      <c r="A417" s="212"/>
      <c r="B417" s="212"/>
      <c r="C417" s="211" t="s">
        <v>208</v>
      </c>
      <c r="D417" s="199" t="str">
        <f>VLOOKUP(C417,'仕掛品名寄（貼付）'!B:C,2,FALSE)</f>
        <v>Rリ</v>
      </c>
      <c r="E417" s="199">
        <f>VLOOKUP(D417,'仕掛品標準単価一覧表（貼付）'!B:G,6,FALSE)</f>
        <v>996.11839999999995</v>
      </c>
      <c r="F417" s="12" t="s">
        <v>246</v>
      </c>
      <c r="G417" s="24">
        <v>0</v>
      </c>
      <c r="H417" s="13">
        <f ca="1">SUMIF('1.3②原材料使用'!B:E,C417,'1.3②原材料使用'!E:E)</f>
        <v>0</v>
      </c>
      <c r="I417" s="13">
        <f ca="1">SUMIF('2.10原液別作業時間'!A:B,C417,'2.10原液別作業時間'!B:B)</f>
        <v>0</v>
      </c>
      <c r="J417" s="13">
        <f ca="1">SUM(G417:H417,K417)</f>
        <v>0</v>
      </c>
      <c r="K417" s="13">
        <f ca="1">SUMIF('2.2⑤純増減→前工程費'!B:E,C417,'2.2⑤純増減→前工程費'!E:E)</f>
        <v>0</v>
      </c>
      <c r="L417" s="13">
        <f ca="1">SUMIF('2.6完成品'!C:D,C417,'2.6完成品'!D:D)</f>
        <v>0</v>
      </c>
      <c r="M417" s="13">
        <f ca="1">SUMIF('2.3研究費'!D:E,C417,'2.3研究費'!E:E)</f>
        <v>0</v>
      </c>
      <c r="N417" s="13">
        <f ca="1">SUMIF('2.4販促費'!D:E,C417,'2.4販促費'!E:E)</f>
        <v>0</v>
      </c>
      <c r="O417" s="13">
        <f ca="1">SUMIF('2.5廃棄処分'!D:E,C417,'2.5廃棄処分'!E:E)</f>
        <v>0</v>
      </c>
      <c r="P417" s="13">
        <f ca="1">SUMIF('2.1④異種原液'!D:E,C417,'2.1④異種原液'!E:E)</f>
        <v>0</v>
      </c>
      <c r="Q417" s="14">
        <f ca="1">SUMIF('2.7製造部生産分'!D:I,C417,'2.7製造部生産分'!H:H)</f>
        <v>0</v>
      </c>
      <c r="R417" s="15">
        <f ca="1">-(G417+H417+K417-L417-M417-N417-O417-P417-Q417-S417)</f>
        <v>0</v>
      </c>
      <c r="S417" s="13">
        <f ca="1">SUMIF('2.9原液在庫'!B:H,C417,'2.9原液在庫'!H:H)</f>
        <v>0</v>
      </c>
      <c r="T417" s="16">
        <f ca="1">IFERROR(SUM(G418:K418)/(G417+H417+K417),0)</f>
        <v>0</v>
      </c>
      <c r="U417" s="17" t="str">
        <f>C417</f>
        <v>40Rﾘ</v>
      </c>
      <c r="V417" s="18">
        <f ca="1">IF(ISERROR(SUM(G418:K418)/SUM(L417:Q417,S417)),0,SUM(G418:K418)/SUM(L417:Q417,S417))</f>
        <v>0</v>
      </c>
      <c r="W417" s="19">
        <f ca="1">V417</f>
        <v>0</v>
      </c>
      <c r="X417" s="20">
        <f ca="1">W417/1000</f>
        <v>0</v>
      </c>
    </row>
    <row r="418" spans="1:24">
      <c r="A418" s="201"/>
      <c r="B418" s="201"/>
      <c r="C418" s="201"/>
      <c r="D418" s="199"/>
      <c r="E418" s="199"/>
      <c r="F418" s="21" t="s">
        <v>247</v>
      </c>
      <c r="G418" s="22">
        <v>0</v>
      </c>
      <c r="H418" s="184"/>
      <c r="I418" s="23">
        <f ca="1">I417*労務費経費単価SC!D$7</f>
        <v>0</v>
      </c>
      <c r="J418" s="23">
        <f ca="1">J417*労務費経費単価SC!D$11</f>
        <v>0</v>
      </c>
      <c r="K418" s="22">
        <f ca="1">K417*$E417</f>
        <v>0</v>
      </c>
      <c r="L418" s="22">
        <f ca="1">L417*$E417</f>
        <v>0</v>
      </c>
      <c r="M418" s="22">
        <f t="shared" ref="M418" ca="1" si="1436">M417*$E417</f>
        <v>0</v>
      </c>
      <c r="N418" s="22">
        <f t="shared" ref="N418" ca="1" si="1437">N417*$E417</f>
        <v>0</v>
      </c>
      <c r="O418" s="22">
        <f t="shared" ref="O418" ca="1" si="1438">O417*$E417</f>
        <v>0</v>
      </c>
      <c r="P418" s="22">
        <f t="shared" ref="P418" ca="1" si="1439">P417*$E417</f>
        <v>0</v>
      </c>
      <c r="Q418" s="22">
        <f t="shared" ref="Q418" ca="1" si="1440">Q417*$E417</f>
        <v>0</v>
      </c>
      <c r="R418" s="22">
        <f t="shared" ref="R418" ca="1" si="1441">R417*$E417</f>
        <v>0</v>
      </c>
      <c r="S418" s="22">
        <f t="shared" ref="S418" ca="1" si="1442">S417*$E417</f>
        <v>0</v>
      </c>
      <c r="U418" s="17"/>
      <c r="V418" s="18"/>
      <c r="W418" s="19"/>
      <c r="X418" s="20"/>
    </row>
    <row r="419" spans="1:24">
      <c r="A419" s="200" t="s">
        <v>403</v>
      </c>
      <c r="B419" s="211">
        <v>41</v>
      </c>
      <c r="C419" s="200" t="s">
        <v>404</v>
      </c>
      <c r="D419" s="199" t="str">
        <f>VLOOKUP(C419,'仕掛品名寄（貼付）'!B:C,2,FALSE)</f>
        <v>R</v>
      </c>
      <c r="E419" s="199">
        <f>VLOOKUP(D419,'仕掛品標準単価一覧表（貼付）'!B:G,6,FALSE)</f>
        <v>908</v>
      </c>
      <c r="F419" s="12" t="s">
        <v>246</v>
      </c>
      <c r="G419" s="24">
        <v>98004.099999998463</v>
      </c>
      <c r="H419" s="13">
        <f ca="1">SUMIF('1.3②原材料使用'!B:E,C419,'1.3②原材料使用'!E:E)</f>
        <v>0</v>
      </c>
      <c r="I419" s="13">
        <f ca="1">SUMIF('2.10原液別作業時間'!A:B,C419,'2.10原液別作業時間'!B:B)</f>
        <v>2825</v>
      </c>
      <c r="J419" s="13">
        <f ca="1">SUM(G419:H419,K419)</f>
        <v>97929.899999998466</v>
      </c>
      <c r="K419" s="13">
        <f ca="1">SUMIF('2.2⑤純増減→前工程費'!B:E,C419,'2.2⑤純増減→前工程費'!E:E)</f>
        <v>-74.200000000000728</v>
      </c>
      <c r="L419" s="13">
        <f ca="1">SUMIF('2.6完成品'!C:D,C419,'2.6完成品'!D:D)</f>
        <v>0</v>
      </c>
      <c r="M419" s="13">
        <f ca="1">SUMIF('2.3研究費'!D:E,C419,'2.3研究費'!E:E)</f>
        <v>0</v>
      </c>
      <c r="N419" s="13">
        <f ca="1">SUMIF('2.4販促費'!D:E,C419,'2.4販促費'!E:E)</f>
        <v>0</v>
      </c>
      <c r="O419" s="13">
        <f ca="1">SUMIF('2.5廃棄処分'!D:E,C419,'2.5廃棄処分'!E:E)</f>
        <v>0</v>
      </c>
      <c r="P419" s="13">
        <f ca="1">SUMIF('2.1④異種原液'!D:E,C419,'2.1④異種原液'!E:E)</f>
        <v>20327.500000000007</v>
      </c>
      <c r="Q419" s="14">
        <f ca="1">SUMIF('2.7製造部生産分'!D:I,C419,'2.7製造部生産分'!H:H)</f>
        <v>0</v>
      </c>
      <c r="R419" s="15">
        <f ca="1">-(G419+H419+K419-L419-M419-N419-O419-P419-Q419-S419)</f>
        <v>-75.799999999173451</v>
      </c>
      <c r="S419" s="13">
        <f ca="1">SUMIF('2.9原液在庫'!B:H,C419,'2.9原液在庫'!H:H)</f>
        <v>77526.599999999278</v>
      </c>
      <c r="T419" s="16">
        <f ca="1">IFERROR(SUM(G420:K420)/(G419+H419+K419),0)</f>
        <v>884.1724415452959</v>
      </c>
      <c r="U419" s="17" t="str">
        <f>C419</f>
        <v>41R</v>
      </c>
      <c r="V419" s="18">
        <f ca="1">IF(ISERROR(SUM(G420:K420)/SUM(L419:Q419,S419)),0,SUM(G420:K420)/SUM(L419:Q419,S419))</f>
        <v>884.85734152463681</v>
      </c>
      <c r="W419" s="19">
        <f ca="1">V419</f>
        <v>884.85734152463681</v>
      </c>
      <c r="X419" s="20">
        <f ca="1">W419/1000</f>
        <v>0.8848573415246368</v>
      </c>
    </row>
    <row r="420" spans="1:24">
      <c r="A420" s="201"/>
      <c r="B420" s="201"/>
      <c r="C420" s="201"/>
      <c r="D420" s="199"/>
      <c r="E420" s="199"/>
      <c r="F420" s="21" t="s">
        <v>247</v>
      </c>
      <c r="G420" s="22">
        <v>82416895.383285359</v>
      </c>
      <c r="H420" s="184"/>
      <c r="I420" s="23">
        <f ca="1">I419*労務費経費単価SC!D$7</f>
        <v>1299500</v>
      </c>
      <c r="J420" s="23">
        <f ca="1">J419*労務費経費単価SC!D$11</f>
        <v>2937896.9999999539</v>
      </c>
      <c r="K420" s="22">
        <f ca="1">K419*$E419</f>
        <v>-67373.600000000661</v>
      </c>
      <c r="L420" s="22">
        <f ca="1">L419*$E419</f>
        <v>0</v>
      </c>
      <c r="M420" s="22">
        <f t="shared" ref="M420" ca="1" si="1443">M419*$E419</f>
        <v>0</v>
      </c>
      <c r="N420" s="22">
        <f t="shared" ref="N420" ca="1" si="1444">N419*$E419</f>
        <v>0</v>
      </c>
      <c r="O420" s="22">
        <f t="shared" ref="O420" ca="1" si="1445">O419*$E419</f>
        <v>0</v>
      </c>
      <c r="P420" s="22">
        <f t="shared" ref="P420" ca="1" si="1446">P419*$E419</f>
        <v>18457370.000000007</v>
      </c>
      <c r="Q420" s="22">
        <f t="shared" ref="Q420" ca="1" si="1447">Q419*$E419</f>
        <v>0</v>
      </c>
      <c r="R420" s="22">
        <f t="shared" ref="R420" ca="1" si="1448">R419*$E419</f>
        <v>-68826.399999249494</v>
      </c>
      <c r="S420" s="22">
        <f t="shared" ref="S420" ca="1" si="1449">S419*$E419</f>
        <v>70394152.799999341</v>
      </c>
      <c r="U420" s="17"/>
      <c r="V420" s="18"/>
      <c r="W420" s="19"/>
      <c r="X420" s="20"/>
    </row>
    <row r="421" spans="1:24">
      <c r="A421" s="200" t="s">
        <v>403</v>
      </c>
      <c r="B421" s="211">
        <v>41</v>
      </c>
      <c r="C421" s="200" t="s">
        <v>211</v>
      </c>
      <c r="D421" s="199" t="str">
        <f>VLOOKUP(C421,'仕掛品名寄（貼付）'!B:C,2,FALSE)</f>
        <v>RB</v>
      </c>
      <c r="E421" s="199">
        <f>VLOOKUP(D421,'仕掛品標準単価一覧表（貼付）'!B:G,6,FALSE)</f>
        <v>1026.5183999999999</v>
      </c>
      <c r="F421" s="12" t="s">
        <v>246</v>
      </c>
      <c r="G421" s="24">
        <v>2255</v>
      </c>
      <c r="H421" s="13">
        <f ca="1">SUMIF('1.3②原材料使用'!B:E,C421,'1.3②原材料使用'!E:E)</f>
        <v>0</v>
      </c>
      <c r="I421" s="13">
        <f ca="1">SUMIF('2.10原液別作業時間'!A:B,C421,'2.10原液別作業時間'!B:B)</f>
        <v>30</v>
      </c>
      <c r="J421" s="13">
        <f ca="1">SUM(G421:H421,K421)</f>
        <v>39421.5</v>
      </c>
      <c r="K421" s="13">
        <f ca="1">SUMIF('2.2⑤純増減→前工程費'!B:E,C421,'2.2⑤純増減→前工程費'!E:E)</f>
        <v>37166.5</v>
      </c>
      <c r="L421" s="13">
        <f ca="1">SUMIF('2.6完成品'!C:D,C421,'2.6完成品'!D:D)</f>
        <v>0</v>
      </c>
      <c r="M421" s="13">
        <f ca="1">SUMIF('2.3研究費'!D:E,C421,'2.3研究費'!E:E)</f>
        <v>0</v>
      </c>
      <c r="N421" s="13">
        <f ca="1">SUMIF('2.4販促費'!D:E,C421,'2.4販促費'!E:E)</f>
        <v>0</v>
      </c>
      <c r="O421" s="13">
        <f ca="1">SUMIF('2.5廃棄処分'!D:E,C421,'2.5廃棄処分'!E:E)</f>
        <v>0</v>
      </c>
      <c r="P421" s="13">
        <f ca="1">SUMIF('2.1④異種原液'!D:E,C421,'2.1④異種原液'!E:E)</f>
        <v>34167</v>
      </c>
      <c r="Q421" s="14">
        <f ca="1">SUMIF('2.7製造部生産分'!D:I,C421,'2.7製造部生産分'!H:H)</f>
        <v>0</v>
      </c>
      <c r="R421" s="15">
        <f ca="1">-(G421+H421+K421-L421-M421-N421-O421-P421-Q421-S421)</f>
        <v>0</v>
      </c>
      <c r="S421" s="13">
        <f ca="1">SUMIF('2.9原液在庫'!B:H,C421,'2.9原液在庫'!H:H)</f>
        <v>5254.5</v>
      </c>
      <c r="T421" s="16">
        <f ca="1">IFERROR(SUM(G422:K422)/(G421+H421+K421),0)</f>
        <v>1050.0806327999728</v>
      </c>
      <c r="U421" s="17" t="str">
        <f>C421</f>
        <v>41RB</v>
      </c>
      <c r="V421" s="18">
        <f ca="1">IF(ISERROR(SUM(G422:K422)/SUM(L421:Q421,S421)),0,SUM(G422:K422)/SUM(L421:Q421,S421))</f>
        <v>1050.0806327999728</v>
      </c>
      <c r="W421" s="19">
        <f ca="1">V421</f>
        <v>1050.0806327999728</v>
      </c>
      <c r="X421" s="20">
        <f ca="1">W421/1000</f>
        <v>1.0500806327999728</v>
      </c>
    </row>
    <row r="422" spans="1:24">
      <c r="A422" s="201"/>
      <c r="B422" s="201"/>
      <c r="C422" s="201"/>
      <c r="D422" s="199"/>
      <c r="E422" s="199"/>
      <c r="F422" s="21" t="s">
        <v>247</v>
      </c>
      <c r="G422" s="22">
        <v>2047212.5523241307</v>
      </c>
      <c r="H422" s="184"/>
      <c r="I422" s="23">
        <f ca="1">I421*労務費経費単価SC!D$7</f>
        <v>13800</v>
      </c>
      <c r="J422" s="23">
        <f ca="1">J421*労務費経費単価SC!D$11</f>
        <v>1182645</v>
      </c>
      <c r="K422" s="22">
        <f ca="1">K421*$E421</f>
        <v>38152096.113600001</v>
      </c>
      <c r="L422" s="22">
        <f ca="1">L421*$E421</f>
        <v>0</v>
      </c>
      <c r="M422" s="22">
        <f t="shared" ref="M422" ca="1" si="1450">M421*$E421</f>
        <v>0</v>
      </c>
      <c r="N422" s="22">
        <f t="shared" ref="N422" ca="1" si="1451">N421*$E421</f>
        <v>0</v>
      </c>
      <c r="O422" s="22">
        <f t="shared" ref="O422" ca="1" si="1452">O421*$E421</f>
        <v>0</v>
      </c>
      <c r="P422" s="22">
        <f t="shared" ref="P422" ca="1" si="1453">P421*$E421</f>
        <v>35073054.172799997</v>
      </c>
      <c r="Q422" s="22">
        <f t="shared" ref="Q422" ca="1" si="1454">Q421*$E421</f>
        <v>0</v>
      </c>
      <c r="R422" s="22">
        <f t="shared" ref="R422" ca="1" si="1455">R421*$E421</f>
        <v>0</v>
      </c>
      <c r="S422" s="22">
        <f t="shared" ref="S422" ca="1" si="1456">S421*$E421</f>
        <v>5393840.9327999996</v>
      </c>
      <c r="U422" s="17"/>
      <c r="V422" s="18"/>
      <c r="W422" s="19"/>
      <c r="X422" s="20"/>
    </row>
    <row r="423" spans="1:24">
      <c r="A423" s="200" t="s">
        <v>403</v>
      </c>
      <c r="B423" s="211">
        <v>41</v>
      </c>
      <c r="C423" s="200" t="s">
        <v>213</v>
      </c>
      <c r="D423" s="199" t="str">
        <f>VLOOKUP(C423,'仕掛品名寄（貼付）'!B:C,2,FALSE)</f>
        <v>Rリ</v>
      </c>
      <c r="E423" s="199">
        <f>VLOOKUP(D423,'仕掛品標準単価一覧表（貼付）'!B:G,6,FALSE)</f>
        <v>996.11839999999995</v>
      </c>
      <c r="F423" s="12" t="s">
        <v>246</v>
      </c>
      <c r="G423" s="24">
        <v>203666.70000000013</v>
      </c>
      <c r="H423" s="13">
        <f ca="1">SUMIF('1.3②原材料使用'!B:E,C423,'1.3②原材料使用'!E:E)</f>
        <v>47</v>
      </c>
      <c r="I423" s="13">
        <f ca="1">SUMIF('2.10原液別作業時間'!A:B,C423,'2.10原液別作業時間'!B:B)</f>
        <v>21280</v>
      </c>
      <c r="J423" s="13">
        <f ca="1">SUM(G423:H423,K423)</f>
        <v>203265.40000000017</v>
      </c>
      <c r="K423" s="13">
        <f ca="1">SUMIF('2.2⑤純増減→前工程費'!B:E,C423,'2.2⑤純増減→前工程費'!E:E)</f>
        <v>-448.29999999995925</v>
      </c>
      <c r="L423" s="13">
        <f ca="1">SUMIF('2.6完成品'!C:D,C423,'2.6完成品'!D:D)</f>
        <v>0</v>
      </c>
      <c r="M423" s="13">
        <f ca="1">SUMIF('2.3研究費'!D:E,C423,'2.3研究費'!E:E)</f>
        <v>5</v>
      </c>
      <c r="N423" s="13">
        <f ca="1">SUMIF('2.4販促費'!D:E,C423,'2.4販促費'!E:E)</f>
        <v>20</v>
      </c>
      <c r="O423" s="13">
        <f ca="1">SUMIF('2.5廃棄処分'!D:E,C423,'2.5廃棄処分'!E:E)</f>
        <v>0</v>
      </c>
      <c r="P423" s="13">
        <f ca="1">SUMIF('2.1④異種原液'!D:E,C423,'2.1④異種原液'!E:E)</f>
        <v>98804.5</v>
      </c>
      <c r="Q423" s="14">
        <f ca="1">SUMIF('2.7製造部生産分'!D:I,C423,'2.7製造部生産分'!H:H)</f>
        <v>0</v>
      </c>
      <c r="R423" s="15">
        <f ca="1">-(G423+H423+K423-L423-M423-N423-O423-P423-Q423-S423)</f>
        <v>-51.899999999935972</v>
      </c>
      <c r="S423" s="13">
        <f ca="1">SUMIF('2.9原液在庫'!B:H,C423,'2.9原液在庫'!H:H)</f>
        <v>104384.00000000023</v>
      </c>
      <c r="T423" s="16">
        <f ca="1">IFERROR(SUM(G424:K424)/(G423+H423+K423),0)</f>
        <v>921.40257097283018</v>
      </c>
      <c r="U423" s="17" t="str">
        <f>C423</f>
        <v>41Rﾘ</v>
      </c>
      <c r="V423" s="18">
        <f ca="1">IF(ISERROR(SUM(G424:K424)/SUM(L423:Q423,S423)),0,SUM(G424:K424)/SUM(L423:Q423,S423))</f>
        <v>921.63789388904104</v>
      </c>
      <c r="W423" s="19">
        <f ca="1">V423</f>
        <v>921.63789388904104</v>
      </c>
      <c r="X423" s="20">
        <f ca="1">W423/1000</f>
        <v>0.92163789388904105</v>
      </c>
    </row>
    <row r="424" spans="1:24">
      <c r="A424" s="201"/>
      <c r="B424" s="201"/>
      <c r="C424" s="201"/>
      <c r="D424" s="199"/>
      <c r="E424" s="199"/>
      <c r="F424" s="21" t="s">
        <v>247</v>
      </c>
      <c r="G424" s="22">
        <v>171849060.02854082</v>
      </c>
      <c r="H424" s="184"/>
      <c r="I424" s="23">
        <f ca="1">I423*労務費経費単価SC!D$7</f>
        <v>9788800</v>
      </c>
      <c r="J424" s="23">
        <f ca="1">J423*労務費経費単価SC!D$11</f>
        <v>6097962.0000000047</v>
      </c>
      <c r="K424" s="22">
        <f ca="1">K423*$E423</f>
        <v>-446559.87871995941</v>
      </c>
      <c r="L424" s="22">
        <f ca="1">L423*$E423</f>
        <v>0</v>
      </c>
      <c r="M424" s="22">
        <f t="shared" ref="M424" ca="1" si="1457">M423*$E423</f>
        <v>4980.5919999999996</v>
      </c>
      <c r="N424" s="22">
        <f t="shared" ref="N424" ca="1" si="1458">N423*$E423</f>
        <v>19922.367999999999</v>
      </c>
      <c r="O424" s="22">
        <f t="shared" ref="O424" ca="1" si="1459">O423*$E423</f>
        <v>0</v>
      </c>
      <c r="P424" s="22">
        <f t="shared" ref="P424" ca="1" si="1460">P423*$E423</f>
        <v>98420980.452799991</v>
      </c>
      <c r="Q424" s="22">
        <f t="shared" ref="Q424" ca="1" si="1461">Q423*$E423</f>
        <v>0</v>
      </c>
      <c r="R424" s="22">
        <f t="shared" ref="R424" ca="1" si="1462">R423*$E423</f>
        <v>-51698.544959936218</v>
      </c>
      <c r="S424" s="22">
        <f t="shared" ref="S424" ca="1" si="1463">S423*$E423</f>
        <v>103978823.06560023</v>
      </c>
      <c r="U424" s="17"/>
      <c r="V424" s="18"/>
      <c r="W424" s="19"/>
      <c r="X424" s="20"/>
    </row>
    <row r="425" spans="1:24">
      <c r="A425" s="200" t="s">
        <v>403</v>
      </c>
      <c r="B425" s="211">
        <v>41</v>
      </c>
      <c r="C425" s="200" t="s">
        <v>212</v>
      </c>
      <c r="D425" s="199" t="str">
        <f>VLOOKUP(C425,'仕掛品名寄（貼付）'!B:C,2,FALSE)</f>
        <v>Rシ</v>
      </c>
      <c r="E425" s="199">
        <f>VLOOKUP(D425,'仕掛品標準単価一覧表（貼付）'!B:G,6,FALSE)</f>
        <v>991</v>
      </c>
      <c r="F425" s="12" t="s">
        <v>246</v>
      </c>
      <c r="G425" s="24">
        <v>87041.500000000189</v>
      </c>
      <c r="H425" s="13">
        <f ca="1">SUMIF('1.3②原材料使用'!B:E,C425,'1.3②原材料使用'!E:E)</f>
        <v>0</v>
      </c>
      <c r="I425" s="13">
        <f ca="1">SUMIF('2.10原液別作業時間'!A:B,C425,'2.10原液別作業時間'!B:B)</f>
        <v>19795</v>
      </c>
      <c r="J425" s="13">
        <f ca="1">SUM(G425:H425,K425)</f>
        <v>86460.400000000212</v>
      </c>
      <c r="K425" s="13">
        <f ca="1">SUMIF('2.2⑤純増減→前工程費'!B:E,C425,'2.2⑤純増減→前工程費'!E:E)</f>
        <v>-581.09999999997672</v>
      </c>
      <c r="L425" s="13">
        <f ca="1">SUMIF('2.6完成品'!C:D,C425,'2.6完成品'!D:D)</f>
        <v>0</v>
      </c>
      <c r="M425" s="13">
        <f ca="1">SUMIF('2.3研究費'!D:E,C425,'2.3研究費'!E:E)</f>
        <v>0</v>
      </c>
      <c r="N425" s="13">
        <f ca="1">SUMIF('2.4販促費'!D:E,C425,'2.4販促費'!E:E)</f>
        <v>0</v>
      </c>
      <c r="O425" s="13">
        <f ca="1">SUMIF('2.5廃棄処分'!D:E,C425,'2.5廃棄処分'!E:E)</f>
        <v>0</v>
      </c>
      <c r="P425" s="13">
        <f ca="1">SUMIF('2.1④異種原液'!D:E,C425,'2.1④異種原液'!E:E)</f>
        <v>43838.5</v>
      </c>
      <c r="Q425" s="14">
        <f ca="1">SUMIF('2.7製造部生産分'!D:I,C425,'2.7製造部生産分'!H:H)</f>
        <v>0</v>
      </c>
      <c r="R425" s="15">
        <f ca="1">-(G425+H425+K425-L425-M425-N425-O425-P425-Q425-S425)</f>
        <v>59.599999999816646</v>
      </c>
      <c r="S425" s="13">
        <f ca="1">SUMIF('2.9原液在庫'!B:H,C425,'2.9原液在庫'!H:H)</f>
        <v>42681.500000000029</v>
      </c>
      <c r="T425" s="16">
        <f ca="1">IFERROR(SUM(G426:K426)/(G425+H425+K425),0)</f>
        <v>936.86879966766674</v>
      </c>
      <c r="U425" s="17" t="str">
        <f>C425</f>
        <v>41Rｼ</v>
      </c>
      <c r="V425" s="18">
        <f ca="1">IF(ISERROR(SUM(G426:K426)/SUM(L425:Q425,S425)),0,SUM(G426:K426)/SUM(L425:Q425,S425))</f>
        <v>936.22343003682977</v>
      </c>
      <c r="W425" s="19">
        <f ca="1">V425</f>
        <v>936.22343003682977</v>
      </c>
      <c r="X425" s="20">
        <f ca="1">W425/1000</f>
        <v>0.93622343003682973</v>
      </c>
    </row>
    <row r="426" spans="1:24">
      <c r="A426" s="201"/>
      <c r="B426" s="201"/>
      <c r="C426" s="201"/>
      <c r="D426" s="199"/>
      <c r="E426" s="199"/>
      <c r="F426" s="21" t="s">
        <v>247</v>
      </c>
      <c r="G426" s="22">
        <v>69878409.266786516</v>
      </c>
      <c r="H426" s="184"/>
      <c r="I426" s="23">
        <f ca="1">I425*労務費経費単価SC!D$7</f>
        <v>9105700</v>
      </c>
      <c r="J426" s="23">
        <f ca="1">J425*労務費経費単価SC!D$11</f>
        <v>2593812.0000000065</v>
      </c>
      <c r="K426" s="22">
        <f ca="1">K425*$E425</f>
        <v>-575870.09999997693</v>
      </c>
      <c r="L426" s="22">
        <f ca="1">L425*$E425</f>
        <v>0</v>
      </c>
      <c r="M426" s="22">
        <f t="shared" ref="M426" ca="1" si="1464">M425*$E425</f>
        <v>0</v>
      </c>
      <c r="N426" s="22">
        <f t="shared" ref="N426" ca="1" si="1465">N425*$E425</f>
        <v>0</v>
      </c>
      <c r="O426" s="22">
        <f t="shared" ref="O426" ca="1" si="1466">O425*$E425</f>
        <v>0</v>
      </c>
      <c r="P426" s="22">
        <f t="shared" ref="P426" ca="1" si="1467">P425*$E425</f>
        <v>43443953.5</v>
      </c>
      <c r="Q426" s="22">
        <f t="shared" ref="Q426" ca="1" si="1468">Q425*$E425</f>
        <v>0</v>
      </c>
      <c r="R426" s="22">
        <f t="shared" ref="R426" ca="1" si="1469">R425*$E425</f>
        <v>59063.599999818296</v>
      </c>
      <c r="S426" s="22">
        <f t="shared" ref="S426" ca="1" si="1470">S425*$E425</f>
        <v>42297366.50000003</v>
      </c>
      <c r="U426" s="17"/>
      <c r="V426" s="18"/>
      <c r="W426" s="19"/>
      <c r="X426" s="20"/>
    </row>
    <row r="427" spans="1:24">
      <c r="A427" s="200" t="s">
        <v>403</v>
      </c>
      <c r="B427" s="211">
        <v>41</v>
      </c>
      <c r="C427" s="200" t="s">
        <v>214</v>
      </c>
      <c r="D427" s="199" t="str">
        <f>VLOOKUP(C427,'仕掛品名寄（貼付）'!B:C,2,FALSE)</f>
        <v>Rマ</v>
      </c>
      <c r="E427" s="199">
        <f>VLOOKUP(D427,'仕掛品標準単価一覧表（貼付）'!B:G,6,FALSE)</f>
        <v>1175.0183999999999</v>
      </c>
      <c r="F427" s="12" t="s">
        <v>246</v>
      </c>
      <c r="G427" s="24">
        <v>31944.399999999987</v>
      </c>
      <c r="H427" s="13">
        <f ca="1">SUMIF('1.3②原材料使用'!B:E,C427,'1.3②原材料使用'!E:E)</f>
        <v>0</v>
      </c>
      <c r="I427" s="13">
        <f ca="1">SUMIF('2.10原液別作業時間'!A:B,C427,'2.10原液別作業時間'!B:B)</f>
        <v>8030</v>
      </c>
      <c r="J427" s="13">
        <f ca="1">SUM(G427:H427,K427)</f>
        <v>55332.199999999983</v>
      </c>
      <c r="K427" s="13">
        <f ca="1">SUMIF('2.2⑤純増減→前工程費'!B:E,C427,'2.2⑤純増減→前工程費'!E:E)</f>
        <v>23387.8</v>
      </c>
      <c r="L427" s="13">
        <f ca="1">SUMIF('2.6完成品'!C:D,C427,'2.6完成品'!D:D)</f>
        <v>0</v>
      </c>
      <c r="M427" s="13">
        <f ca="1">SUMIF('2.3研究費'!D:E,C427,'2.3研究費'!E:E)</f>
        <v>0</v>
      </c>
      <c r="N427" s="13">
        <f ca="1">SUMIF('2.4販促費'!D:E,C427,'2.4販促費'!E:E)</f>
        <v>0</v>
      </c>
      <c r="O427" s="13">
        <f ca="1">SUMIF('2.5廃棄処分'!D:E,C427,'2.5廃棄処分'!E:E)</f>
        <v>0</v>
      </c>
      <c r="P427" s="13">
        <f ca="1">SUMIF('2.1④異種原液'!D:E,C427,'2.1④異種原液'!E:E)</f>
        <v>21073.5</v>
      </c>
      <c r="Q427" s="14">
        <f ca="1">SUMIF('2.7製造部生産分'!D:I,C427,'2.7製造部生産分'!H:H)</f>
        <v>0</v>
      </c>
      <c r="R427" s="15">
        <f ca="1">-(G427+H427+K427-L427-M427-N427-O427-P427-Q427-S427)</f>
        <v>10.799999999988358</v>
      </c>
      <c r="S427" s="13">
        <f ca="1">SUMIF('2.9原液在庫'!B:H,C427,'2.9原液在庫'!H:H)</f>
        <v>34269.499999999971</v>
      </c>
      <c r="T427" s="16">
        <f ca="1">IFERROR(SUM(G428:K428)/(G427+H427+K427),0)</f>
        <v>1097.8878822978791</v>
      </c>
      <c r="U427" s="17" t="str">
        <f>C427</f>
        <v>41Rﾏ</v>
      </c>
      <c r="V427" s="18">
        <f ca="1">IF(ISERROR(SUM(G428:K428)/SUM(L427:Q427,S427)),0,SUM(G428:K428)/SUM(L427:Q427,S427))</f>
        <v>1097.6736331764218</v>
      </c>
      <c r="W427" s="19">
        <f ca="1">V427</f>
        <v>1097.6736331764218</v>
      </c>
      <c r="X427" s="20">
        <f ca="1">W427/1000</f>
        <v>1.0976736331764219</v>
      </c>
    </row>
    <row r="428" spans="1:24">
      <c r="A428" s="201"/>
      <c r="B428" s="201"/>
      <c r="C428" s="201"/>
      <c r="D428" s="199"/>
      <c r="E428" s="199"/>
      <c r="F428" s="21" t="s">
        <v>247</v>
      </c>
      <c r="G428" s="22">
        <v>27913690.545362689</v>
      </c>
      <c r="H428" s="184"/>
      <c r="I428" s="23">
        <f ca="1">I427*労務費経費単価SC!D$7</f>
        <v>3693800</v>
      </c>
      <c r="J428" s="23">
        <f ca="1">J427*労務費経費単価SC!D$11</f>
        <v>1659965.9999999995</v>
      </c>
      <c r="K428" s="22">
        <f ca="1">K427*$E427</f>
        <v>27481095.335519999</v>
      </c>
      <c r="L428" s="22">
        <f ca="1">L427*$E427</f>
        <v>0</v>
      </c>
      <c r="M428" s="22">
        <f t="shared" ref="M428" ca="1" si="1471">M427*$E427</f>
        <v>0</v>
      </c>
      <c r="N428" s="22">
        <f t="shared" ref="N428" ca="1" si="1472">N427*$E427</f>
        <v>0</v>
      </c>
      <c r="O428" s="22">
        <f t="shared" ref="O428" ca="1" si="1473">O427*$E427</f>
        <v>0</v>
      </c>
      <c r="P428" s="22">
        <f t="shared" ref="P428" ca="1" si="1474">P427*$E427</f>
        <v>24761750.2524</v>
      </c>
      <c r="Q428" s="22">
        <f t="shared" ref="Q428" ca="1" si="1475">Q427*$E427</f>
        <v>0</v>
      </c>
      <c r="R428" s="22">
        <f t="shared" ref="R428" ca="1" si="1476">R427*$E427</f>
        <v>12690.19871998632</v>
      </c>
      <c r="S428" s="22">
        <f t="shared" ref="S428" ca="1" si="1477">S427*$E427</f>
        <v>40267293.05879996</v>
      </c>
      <c r="U428" s="17"/>
      <c r="V428" s="18"/>
      <c r="W428" s="19"/>
      <c r="X428" s="20"/>
    </row>
    <row r="429" spans="1:24">
      <c r="A429" s="200" t="s">
        <v>403</v>
      </c>
      <c r="B429" s="211">
        <v>41</v>
      </c>
      <c r="C429" s="200" t="s">
        <v>225</v>
      </c>
      <c r="D429" s="199" t="str">
        <f>VLOOKUP(C429,'仕掛品名寄（貼付）'!B:C,2,FALSE)</f>
        <v>RG</v>
      </c>
      <c r="E429" s="199">
        <f>VLOOKUP(D429,'仕掛品標準単価一覧表（貼付）'!B:G,6,FALSE)</f>
        <v>1128.4183999999998</v>
      </c>
      <c r="F429" s="12" t="s">
        <v>246</v>
      </c>
      <c r="G429" s="24">
        <v>22718.899999999994</v>
      </c>
      <c r="H429" s="13">
        <f ca="1">SUMIF('1.3②原材料使用'!B:E,C429,'1.3②原材料使用'!E:E)</f>
        <v>0</v>
      </c>
      <c r="I429" s="13">
        <f ca="1">SUMIF('2.10原液別作業時間'!A:B,C429,'2.10原液別作業時間'!B:B)</f>
        <v>7380</v>
      </c>
      <c r="J429" s="13">
        <f ca="1">SUM(G429:H429,K429)</f>
        <v>34495.999999999993</v>
      </c>
      <c r="K429" s="13">
        <f ca="1">SUMIF('2.2⑤純増減→前工程費'!B:E,C429,'2.2⑤純増減→前工程費'!E:E)</f>
        <v>11777.099999999999</v>
      </c>
      <c r="L429" s="13">
        <f ca="1">SUMIF('2.6完成品'!C:D,C429,'2.6完成品'!D:D)</f>
        <v>0</v>
      </c>
      <c r="M429" s="13">
        <f ca="1">SUMIF('2.3研究費'!D:E,C429,'2.3研究費'!E:E)</f>
        <v>0</v>
      </c>
      <c r="N429" s="13">
        <f ca="1">SUMIF('2.4販促費'!D:E,C429,'2.4販促費'!E:E)</f>
        <v>0</v>
      </c>
      <c r="O429" s="13">
        <f ca="1">SUMIF('2.5廃棄処分'!D:E,C429,'2.5廃棄処分'!E:E)</f>
        <v>0</v>
      </c>
      <c r="P429" s="13">
        <f ca="1">SUMIF('2.1④異種原液'!D:E,C429,'2.1④異種原液'!E:E)</f>
        <v>17822</v>
      </c>
      <c r="Q429" s="14">
        <f ca="1">SUMIF('2.7製造部生産分'!D:I,C429,'2.7製造部生産分'!H:H)</f>
        <v>0</v>
      </c>
      <c r="R429" s="15">
        <f ca="1">-(G429+H429+K429-L429-M429-N429-O429-P429-Q429-S429)</f>
        <v>7.2759576141834259E-12</v>
      </c>
      <c r="S429" s="13">
        <f ca="1">SUMIF('2.9原液在庫'!B:H,C429,'2.9原液在庫'!H:H)</f>
        <v>16674</v>
      </c>
      <c r="T429" s="16">
        <f ca="1">IFERROR(SUM(G430:K430)/(G429+H429+K429),0)</f>
        <v>1121.3471666364157</v>
      </c>
      <c r="U429" s="17" t="str">
        <f>C429</f>
        <v>41RG</v>
      </c>
      <c r="V429" s="18">
        <f ca="1">IF(ISERROR(SUM(G430:K430)/SUM(L429:Q429,S429)),0,SUM(G430:K430)/SUM(L429:Q429,S429))</f>
        <v>1121.3471666364155</v>
      </c>
      <c r="W429" s="19">
        <f ca="1">V429</f>
        <v>1121.3471666364155</v>
      </c>
      <c r="X429" s="20">
        <f ca="1">W429/1000</f>
        <v>1.1213471666364154</v>
      </c>
    </row>
    <row r="430" spans="1:24">
      <c r="A430" s="201"/>
      <c r="B430" s="201"/>
      <c r="C430" s="201"/>
      <c r="D430" s="199"/>
      <c r="E430" s="199"/>
      <c r="F430" s="21" t="s">
        <v>247</v>
      </c>
      <c r="G430" s="22">
        <v>20962815.521649793</v>
      </c>
      <c r="H430" s="184"/>
      <c r="I430" s="23">
        <f ca="1">I429*労務費経費単価SC!D$7</f>
        <v>3394800</v>
      </c>
      <c r="J430" s="23">
        <f ca="1">J429*労務費経費単価SC!D$11</f>
        <v>1034879.9999999998</v>
      </c>
      <c r="K430" s="22">
        <f ca="1">K429*$E429</f>
        <v>13289496.338639995</v>
      </c>
      <c r="L430" s="22">
        <f ca="1">L429*$E429</f>
        <v>0</v>
      </c>
      <c r="M430" s="22">
        <f t="shared" ref="M430" ca="1" si="1478">M429*$E429</f>
        <v>0</v>
      </c>
      <c r="N430" s="22">
        <f t="shared" ref="N430" ca="1" si="1479">N429*$E429</f>
        <v>0</v>
      </c>
      <c r="O430" s="22">
        <f t="shared" ref="O430" ca="1" si="1480">O429*$E429</f>
        <v>0</v>
      </c>
      <c r="P430" s="22">
        <f t="shared" ref="P430" ca="1" si="1481">P429*$E429</f>
        <v>20110672.724799998</v>
      </c>
      <c r="Q430" s="22">
        <f t="shared" ref="Q430" ca="1" si="1482">Q429*$E429</f>
        <v>0</v>
      </c>
      <c r="R430" s="22">
        <f t="shared" ref="R430" ca="1" si="1483">R429*$E429</f>
        <v>8.2103244494646773E-9</v>
      </c>
      <c r="S430" s="22">
        <f t="shared" ref="S430" ca="1" si="1484">S429*$E429</f>
        <v>18815248.401599996</v>
      </c>
      <c r="U430" s="17"/>
      <c r="V430" s="18"/>
      <c r="W430" s="19"/>
      <c r="X430" s="20"/>
    </row>
    <row r="431" spans="1:24">
      <c r="A431" s="200" t="s">
        <v>403</v>
      </c>
      <c r="B431" s="211">
        <v>41</v>
      </c>
      <c r="C431" s="200" t="s">
        <v>226</v>
      </c>
      <c r="D431" s="199" t="str">
        <f>VLOOKUP(C431,'仕掛品名寄（貼付）'!B:C,2,FALSE)</f>
        <v>RGI</v>
      </c>
      <c r="E431" s="199">
        <f>VLOOKUP(D431,'仕掛品標準単価一覧表（貼付）'!B:G,6,FALSE)</f>
        <v>1387.2183999999997</v>
      </c>
      <c r="F431" s="12" t="s">
        <v>246</v>
      </c>
      <c r="G431" s="24">
        <v>1924.5</v>
      </c>
      <c r="H431" s="13">
        <f ca="1">SUMIF('1.3②原材料使用'!B:E,C431,'1.3②原材料使用'!E:E)</f>
        <v>0</v>
      </c>
      <c r="I431" s="13">
        <f ca="1">SUMIF('2.10原液別作業時間'!A:B,C431,'2.10原液別作業時間'!B:B)</f>
        <v>9790</v>
      </c>
      <c r="J431" s="13">
        <f ca="1">SUM(G431:H431,K431)</f>
        <v>19679.5</v>
      </c>
      <c r="K431" s="13">
        <f ca="1">SUMIF('2.2⑤純増減→前工程費'!B:E,C431,'2.2⑤純増減→前工程費'!E:E)</f>
        <v>17755</v>
      </c>
      <c r="L431" s="13">
        <f ca="1">SUMIF('2.6完成品'!C:D,C431,'2.6完成品'!D:D)</f>
        <v>0</v>
      </c>
      <c r="M431" s="13">
        <f ca="1">SUMIF('2.3研究費'!D:E,C431,'2.3研究費'!E:E)</f>
        <v>0</v>
      </c>
      <c r="N431" s="13">
        <f ca="1">SUMIF('2.4販促費'!D:E,C431,'2.4販促費'!E:E)</f>
        <v>0</v>
      </c>
      <c r="O431" s="13">
        <f ca="1">SUMIF('2.5廃棄処分'!D:E,C431,'2.5廃棄処分'!E:E)</f>
        <v>0</v>
      </c>
      <c r="P431" s="13">
        <f ca="1">SUMIF('2.1④異種原液'!D:E,C431,'2.1④異種原液'!E:E)</f>
        <v>19679.5</v>
      </c>
      <c r="Q431" s="14">
        <f ca="1">SUMIF('2.7製造部生産分'!D:I,C431,'2.7製造部生産分'!H:H)</f>
        <v>0</v>
      </c>
      <c r="R431" s="15">
        <f ca="1">-(G431+H431+K431-L431-M431-N431-O431-P431-Q431-S431)</f>
        <v>0</v>
      </c>
      <c r="S431" s="13">
        <f ca="1">SUMIF('2.9原液在庫'!B:H,C431,'2.9原液在庫'!H:H)</f>
        <v>0</v>
      </c>
      <c r="T431" s="16">
        <f ca="1">IFERROR(SUM(G432:K432)/(G431+H431+K431),0)</f>
        <v>1619.7805092832323</v>
      </c>
      <c r="U431" s="17" t="str">
        <f>C431</f>
        <v>41RGI</v>
      </c>
      <c r="V431" s="18">
        <f ca="1">IF(ISERROR(SUM(G432:K432)/SUM(L431:Q431,S431)),0,SUM(G432:K432)/SUM(L431:Q431,S431))</f>
        <v>1619.7805092832323</v>
      </c>
      <c r="W431" s="19">
        <f ca="1">V431</f>
        <v>1619.7805092832323</v>
      </c>
      <c r="X431" s="20">
        <f ca="1">W431/1000</f>
        <v>1.6197805092832323</v>
      </c>
    </row>
    <row r="432" spans="1:24">
      <c r="A432" s="201"/>
      <c r="B432" s="201"/>
      <c r="C432" s="201"/>
      <c r="D432" s="199"/>
      <c r="E432" s="199"/>
      <c r="F432" s="21" t="s">
        <v>247</v>
      </c>
      <c r="G432" s="22">
        <v>2152622.8404393755</v>
      </c>
      <c r="H432" s="184"/>
      <c r="I432" s="23">
        <f ca="1">I431*労務費経費単価SC!D$7</f>
        <v>4503400</v>
      </c>
      <c r="J432" s="23">
        <f ca="1">J431*労務費経費単価SC!D$11</f>
        <v>590385</v>
      </c>
      <c r="K432" s="22">
        <f ca="1">K431*$E431</f>
        <v>24630062.691999994</v>
      </c>
      <c r="L432" s="22">
        <f ca="1">L431*$E431</f>
        <v>0</v>
      </c>
      <c r="M432" s="22">
        <f t="shared" ref="M432" ca="1" si="1485">M431*$E431</f>
        <v>0</v>
      </c>
      <c r="N432" s="22">
        <f t="shared" ref="N432" ca="1" si="1486">N431*$E431</f>
        <v>0</v>
      </c>
      <c r="O432" s="22">
        <f t="shared" ref="O432" ca="1" si="1487">O431*$E431</f>
        <v>0</v>
      </c>
      <c r="P432" s="22">
        <f t="shared" ref="P432" ca="1" si="1488">P431*$E431</f>
        <v>27299764.502799995</v>
      </c>
      <c r="Q432" s="22">
        <f t="shared" ref="Q432" ca="1" si="1489">Q431*$E431</f>
        <v>0</v>
      </c>
      <c r="R432" s="22">
        <f t="shared" ref="R432" ca="1" si="1490">R431*$E431</f>
        <v>0</v>
      </c>
      <c r="S432" s="22">
        <f t="shared" ref="S432" ca="1" si="1491">S431*$E431</f>
        <v>0</v>
      </c>
      <c r="U432" s="17"/>
      <c r="V432" s="18"/>
      <c r="W432" s="19"/>
      <c r="X432" s="20"/>
    </row>
    <row r="433" spans="1:24">
      <c r="A433" s="200" t="s">
        <v>405</v>
      </c>
      <c r="B433" s="211">
        <v>42</v>
      </c>
      <c r="C433" s="200" t="s">
        <v>406</v>
      </c>
      <c r="D433" s="199" t="str">
        <f>VLOOKUP(C433,'仕掛品名寄（貼付）'!B:C,2,FALSE)</f>
        <v>R</v>
      </c>
      <c r="E433" s="199">
        <f>VLOOKUP(D433,'仕掛品標準単価一覧表（貼付）'!B:G,6,FALSE)</f>
        <v>908</v>
      </c>
      <c r="F433" s="12" t="s">
        <v>246</v>
      </c>
      <c r="G433" s="24">
        <v>556430.66500000039</v>
      </c>
      <c r="H433" s="13">
        <f ca="1">SUMIF('1.3②原材料使用'!B:E,C433,'1.3②原材料使用'!E:E)</f>
        <v>0</v>
      </c>
      <c r="I433" s="13">
        <f ca="1">SUMIF('2.10原液別作業時間'!A:B,C433,'2.10原液別作業時間'!B:B)</f>
        <v>0</v>
      </c>
      <c r="J433" s="13">
        <f ca="1">SUM(G433:H433,K433)</f>
        <v>556430.66500000039</v>
      </c>
      <c r="K433" s="13">
        <f ca="1">SUMIF('2.2⑤純増減→前工程費'!B:E,C433,'2.2⑤純増減→前工程費'!E:E)</f>
        <v>0</v>
      </c>
      <c r="L433" s="13">
        <f ca="1">SUMIF('2.6完成品'!C:D,C433,'2.6完成品'!D:D)</f>
        <v>0</v>
      </c>
      <c r="M433" s="13">
        <f ca="1">SUMIF('2.3研究費'!D:E,C433,'2.3研究費'!E:E)</f>
        <v>0</v>
      </c>
      <c r="N433" s="13">
        <f ca="1">SUMIF('2.4販促費'!D:E,C433,'2.4販促費'!E:E)</f>
        <v>0</v>
      </c>
      <c r="O433" s="13">
        <f ca="1">SUMIF('2.5廃棄処分'!D:E,C433,'2.5廃棄処分'!E:E)</f>
        <v>0</v>
      </c>
      <c r="P433" s="13">
        <f ca="1">SUMIF('2.1④異種原液'!D:E,C433,'2.1④異種原液'!E:E)</f>
        <v>44143.3</v>
      </c>
      <c r="Q433" s="14">
        <f ca="1">SUMIF('2.7製造部生産分'!D:I,C433,'2.7製造部生産分'!H:H)</f>
        <v>0</v>
      </c>
      <c r="R433" s="15">
        <f ca="1">-(G433+H433+K433-L433-M433-N433-O433-P433-Q433-S433)</f>
        <v>0</v>
      </c>
      <c r="S433" s="13">
        <f ca="1">SUMIF('2.9原液在庫'!B:H,C433,'2.9原液在庫'!H:H)</f>
        <v>512287.3650000004</v>
      </c>
      <c r="T433" s="16">
        <f ca="1">IFERROR(SUM(G434:K434)/(G433+H433+K433),0)</f>
        <v>830.9225529839822</v>
      </c>
      <c r="U433" s="17" t="str">
        <f>C433</f>
        <v>42R</v>
      </c>
      <c r="V433" s="18">
        <f ca="1">IF(ISERROR(SUM(G434:K434)/SUM(L433:Q433,S433)),0,SUM(G434:K434)/SUM(L433:Q433,S433))</f>
        <v>830.9225529839822</v>
      </c>
      <c r="W433" s="19">
        <f ca="1">V433</f>
        <v>830.9225529839822</v>
      </c>
      <c r="X433" s="20">
        <f ca="1">W433/1000</f>
        <v>0.83092255298398221</v>
      </c>
    </row>
    <row r="434" spans="1:24">
      <c r="A434" s="212"/>
      <c r="B434" s="212"/>
      <c r="C434" s="201"/>
      <c r="D434" s="199"/>
      <c r="E434" s="199"/>
      <c r="F434" s="21" t="s">
        <v>247</v>
      </c>
      <c r="G434" s="22">
        <v>445657868.77037531</v>
      </c>
      <c r="H434" s="184"/>
      <c r="I434" s="23">
        <f ca="1">I433*労務費経費単価SC!D$7</f>
        <v>0</v>
      </c>
      <c r="J434" s="23">
        <f ca="1">J433*労務費経費単価SC!D$11</f>
        <v>16692919.950000012</v>
      </c>
      <c r="K434" s="22">
        <f ca="1">K433*$E433</f>
        <v>0</v>
      </c>
      <c r="L434" s="22">
        <f ca="1">L433*$E433</f>
        <v>0</v>
      </c>
      <c r="M434" s="22">
        <f t="shared" ref="M434" ca="1" si="1492">M433*$E433</f>
        <v>0</v>
      </c>
      <c r="N434" s="22">
        <f t="shared" ref="N434" ca="1" si="1493">N433*$E433</f>
        <v>0</v>
      </c>
      <c r="O434" s="22">
        <f t="shared" ref="O434" ca="1" si="1494">O433*$E433</f>
        <v>0</v>
      </c>
      <c r="P434" s="22">
        <f t="shared" ref="P434" ca="1" si="1495">P433*$E433</f>
        <v>40082116.400000006</v>
      </c>
      <c r="Q434" s="22">
        <f t="shared" ref="Q434" ca="1" si="1496">Q433*$E433</f>
        <v>0</v>
      </c>
      <c r="R434" s="22">
        <f t="shared" ref="R434" ca="1" si="1497">R433*$E433</f>
        <v>0</v>
      </c>
      <c r="S434" s="22">
        <f t="shared" ref="S434" ca="1" si="1498">S433*$E433</f>
        <v>465156927.42000037</v>
      </c>
      <c r="U434" s="17"/>
      <c r="V434" s="18"/>
      <c r="W434" s="19"/>
      <c r="X434" s="20"/>
    </row>
    <row r="435" spans="1:24">
      <c r="A435" s="215" t="s">
        <v>407</v>
      </c>
      <c r="B435" s="217">
        <v>42</v>
      </c>
      <c r="C435" s="215" t="s">
        <v>216</v>
      </c>
      <c r="D435" s="199" t="str">
        <f>VLOOKUP(C435,'仕掛品名寄（貼付）'!B:C,2,FALSE)</f>
        <v>Rリ</v>
      </c>
      <c r="E435" s="199">
        <f>VLOOKUP(D435,'仕掛品標準単価一覧表（貼付）'!B:G,6,FALSE)</f>
        <v>996.11839999999995</v>
      </c>
      <c r="F435" s="12" t="s">
        <v>246</v>
      </c>
      <c r="G435" s="13">
        <v>0</v>
      </c>
      <c r="H435" s="13">
        <f ca="1">SUMIF('1.3②原材料使用'!B:E,C435,'1.3②原材料使用'!E:E)</f>
        <v>1897.54</v>
      </c>
      <c r="I435" s="13">
        <f ca="1">SUMIF('2.10原液別作業時間'!A:B,C435,'2.10原液別作業時間'!B:B)</f>
        <v>2185</v>
      </c>
      <c r="J435" s="13">
        <f ca="1">SUM(G435:H435,K435)</f>
        <v>46802.04</v>
      </c>
      <c r="K435" s="13">
        <f ca="1">SUMIF('2.2⑤純増減→前工程費'!B:E,C435,'2.2⑤純増減→前工程費'!E:E)</f>
        <v>44904.5</v>
      </c>
      <c r="L435" s="13">
        <f ca="1">SUMIF('2.6完成品'!C:D,C435,'2.6完成品'!D:D)</f>
        <v>0</v>
      </c>
      <c r="M435" s="13">
        <f ca="1">SUMIF('2.3研究費'!D:E,C435,'2.3研究費'!E:E)</f>
        <v>0</v>
      </c>
      <c r="N435" s="13">
        <f ca="1">SUMIF('2.4販促費'!D:E,C435,'2.4販促費'!E:E)</f>
        <v>0</v>
      </c>
      <c r="O435" s="13">
        <f ca="1">SUMIF('2.5廃棄処分'!D:E,C435,'2.5廃棄処分'!E:E)</f>
        <v>0</v>
      </c>
      <c r="P435" s="13">
        <f ca="1">SUMIF('2.1④異種原液'!D:E,C435,'2.1④異種原液'!E:E)</f>
        <v>0</v>
      </c>
      <c r="Q435" s="14">
        <f ca="1">SUMIF('2.7製造部生産分'!D:I,C435,'2.7製造部生産分'!H:H)</f>
        <v>0</v>
      </c>
      <c r="R435" s="15">
        <f ca="1">-(G435+H435+K435-L435-M435-N435-O435-P435-Q435-S435)</f>
        <v>-1897.5400000000009</v>
      </c>
      <c r="S435" s="13">
        <f ca="1">SUMIF('2.9原液在庫'!B:H,C435,'2.9原液在庫'!H:H)</f>
        <v>44904.5</v>
      </c>
      <c r="T435" s="16">
        <f ca="1">IFERROR(SUM(G436:K436)/(G435+H435+K435),0)</f>
        <v>1007.2073758494288</v>
      </c>
      <c r="U435" s="17" t="str">
        <f>C435</f>
        <v>42Rﾘ</v>
      </c>
      <c r="V435" s="18">
        <f ca="1">IF(ISERROR(SUM(G436:K436)/SUM(L435:Q435,S435)),0,SUM(G436:K436)/SUM(L435:Q435,S435))</f>
        <v>1049.7691744212718</v>
      </c>
      <c r="W435" s="19">
        <f ca="1">V435</f>
        <v>1049.7691744212718</v>
      </c>
      <c r="X435" s="20">
        <f ca="1">W435/1000</f>
        <v>1.0497691744212718</v>
      </c>
    </row>
    <row r="436" spans="1:24">
      <c r="A436" s="216"/>
      <c r="B436" s="216"/>
      <c r="C436" s="218"/>
      <c r="D436" s="199"/>
      <c r="E436" s="199"/>
      <c r="F436" s="21" t="s">
        <v>247</v>
      </c>
      <c r="G436" s="22" t="s">
        <v>254</v>
      </c>
      <c r="H436" s="184"/>
      <c r="I436" s="23">
        <f ca="1">I435*労務費経費単価SC!D$7</f>
        <v>1005100</v>
      </c>
      <c r="J436" s="23">
        <f ca="1">J435*労務費経費単価SC!D$11</f>
        <v>1404061.2</v>
      </c>
      <c r="K436" s="22">
        <f ca="1">K435*$E435</f>
        <v>44730198.6928</v>
      </c>
      <c r="L436" s="22">
        <f ca="1">L435*$E435</f>
        <v>0</v>
      </c>
      <c r="M436" s="22">
        <f t="shared" ref="M436" ca="1" si="1499">M435*$E435</f>
        <v>0</v>
      </c>
      <c r="N436" s="22">
        <f t="shared" ref="N436" ca="1" si="1500">N435*$E435</f>
        <v>0</v>
      </c>
      <c r="O436" s="22">
        <f t="shared" ref="O436" ca="1" si="1501">O435*$E435</f>
        <v>0</v>
      </c>
      <c r="P436" s="22">
        <f t="shared" ref="P436" ca="1" si="1502">P435*$E435</f>
        <v>0</v>
      </c>
      <c r="Q436" s="22">
        <f t="shared" ref="Q436" ca="1" si="1503">Q435*$E435</f>
        <v>0</v>
      </c>
      <c r="R436" s="22">
        <f t="shared" ref="R436" ca="1" si="1504">R435*$E435</f>
        <v>-1890174.5087360009</v>
      </c>
      <c r="S436" s="22">
        <f t="shared" ref="S436" ca="1" si="1505">S435*$E435</f>
        <v>44730198.6928</v>
      </c>
      <c r="U436" s="17"/>
      <c r="V436" s="18"/>
      <c r="W436" s="19"/>
      <c r="X436" s="20"/>
    </row>
    <row r="437" spans="1:24">
      <c r="A437" s="200" t="s">
        <v>408</v>
      </c>
      <c r="B437" s="211">
        <v>43</v>
      </c>
      <c r="C437" s="200" t="s">
        <v>409</v>
      </c>
      <c r="D437" s="199" t="str">
        <f>VLOOKUP(C437,'仕掛品名寄（貼付）'!B:C,2,FALSE)</f>
        <v>R</v>
      </c>
      <c r="E437" s="199">
        <f>VLOOKUP(D437,'仕掛品標準単価一覧表（貼付）'!B:G,6,FALSE)</f>
        <v>908</v>
      </c>
      <c r="F437" s="12" t="s">
        <v>246</v>
      </c>
      <c r="G437" s="24">
        <v>831276.97999999265</v>
      </c>
      <c r="H437" s="13">
        <f ca="1">SUMIF('1.3②原材料使用'!B:E,C437,'1.3②原材料使用'!E:E)</f>
        <v>0</v>
      </c>
      <c r="I437" s="13">
        <f ca="1">SUMIF('2.10原液別作業時間'!A:B,C437,'2.10原液別作業時間'!B:B)</f>
        <v>0</v>
      </c>
      <c r="J437" s="13">
        <f ca="1">SUM(G437:H437,K437)</f>
        <v>831276.97999999265</v>
      </c>
      <c r="K437" s="13">
        <f ca="1">SUMIF('2.2⑤純増減→前工程費'!B:E,C437,'2.2⑤純増減→前工程費'!E:E)</f>
        <v>0</v>
      </c>
      <c r="L437" s="13">
        <f ca="1">SUMIF('2.6完成品'!C:D,C437,'2.6完成品'!D:D)</f>
        <v>0</v>
      </c>
      <c r="M437" s="13">
        <f ca="1">SUMIF('2.3研究費'!D:E,C437,'2.3研究費'!E:E)</f>
        <v>0</v>
      </c>
      <c r="N437" s="13">
        <f ca="1">SUMIF('2.4販促費'!D:E,C437,'2.4販促費'!E:E)</f>
        <v>0</v>
      </c>
      <c r="O437" s="13">
        <f ca="1">SUMIF('2.5廃棄処分'!D:E,C437,'2.5廃棄処分'!E:E)</f>
        <v>0</v>
      </c>
      <c r="P437" s="13">
        <f ca="1">SUMIF('2.1④異種原液'!D:E,C437,'2.1④異種原液'!E:E)</f>
        <v>0</v>
      </c>
      <c r="Q437" s="14">
        <f ca="1">SUMIF('2.7製造部生産分'!D:I,C437,'2.7製造部生産分'!H:H)</f>
        <v>0</v>
      </c>
      <c r="R437" s="15">
        <f ca="1">-(G437+H437+K437-L437-M437-N437-O437-P437-Q437-S437)</f>
        <v>0</v>
      </c>
      <c r="S437" s="13">
        <f ca="1">SUMIF('2.9原液在庫'!B:H,C437,'2.9原液在庫'!H:H)</f>
        <v>831276.97999999265</v>
      </c>
      <c r="T437" s="16">
        <f ca="1">IFERROR(SUM(G438:K438)/(G437+H437+K437),0)</f>
        <v>803.77402954695367</v>
      </c>
      <c r="U437" s="17" t="str">
        <f>C437</f>
        <v>43R</v>
      </c>
      <c r="V437" s="18">
        <f ca="1">IF(ISERROR(SUM(G438:K438)/SUM(L437:Q437,S437)),0,SUM(G438:K438)/SUM(L437:Q437,S437))</f>
        <v>803.77402954695367</v>
      </c>
      <c r="W437" s="19">
        <f ca="1">V437</f>
        <v>803.77402954695367</v>
      </c>
      <c r="X437" s="20">
        <f ca="1">W437/1000</f>
        <v>0.80377402954695365</v>
      </c>
    </row>
    <row r="438" spans="1:24">
      <c r="A438" s="212"/>
      <c r="B438" s="212"/>
      <c r="C438" s="201"/>
      <c r="D438" s="199"/>
      <c r="E438" s="199"/>
      <c r="F438" s="21" t="s">
        <v>247</v>
      </c>
      <c r="G438" s="22">
        <v>643220538.48421681</v>
      </c>
      <c r="H438" s="184"/>
      <c r="I438" s="23">
        <f ca="1">I437*労務費経費単価SC!D$7</f>
        <v>0</v>
      </c>
      <c r="J438" s="23">
        <f ca="1">J437*労務費経費単価SC!D$11</f>
        <v>24938309.399999779</v>
      </c>
      <c r="K438" s="22">
        <f ca="1">K437*$E437</f>
        <v>0</v>
      </c>
      <c r="L438" s="22">
        <f ca="1">L437*$E437</f>
        <v>0</v>
      </c>
      <c r="M438" s="22">
        <f t="shared" ref="M438" ca="1" si="1506">M437*$E437</f>
        <v>0</v>
      </c>
      <c r="N438" s="22">
        <f t="shared" ref="N438" ca="1" si="1507">N437*$E437</f>
        <v>0</v>
      </c>
      <c r="O438" s="22">
        <f t="shared" ref="O438" ca="1" si="1508">O437*$E437</f>
        <v>0</v>
      </c>
      <c r="P438" s="22">
        <f t="shared" ref="P438" ca="1" si="1509">P437*$E437</f>
        <v>0</v>
      </c>
      <c r="Q438" s="22">
        <f t="shared" ref="Q438" ca="1" si="1510">Q437*$E437</f>
        <v>0</v>
      </c>
      <c r="R438" s="22">
        <f t="shared" ref="R438" ca="1" si="1511">R437*$E437</f>
        <v>0</v>
      </c>
      <c r="S438" s="22">
        <f t="shared" ref="S438" ca="1" si="1512">S437*$E437</f>
        <v>754799497.83999336</v>
      </c>
      <c r="U438" s="17"/>
      <c r="V438" s="18"/>
      <c r="W438" s="19"/>
      <c r="X438" s="20"/>
    </row>
    <row r="439" spans="1:24">
      <c r="A439" s="200" t="s">
        <v>410</v>
      </c>
      <c r="B439" s="211">
        <v>44</v>
      </c>
      <c r="C439" s="200" t="s">
        <v>411</v>
      </c>
      <c r="D439" s="199" t="str">
        <f>VLOOKUP(C439,'仕掛品名寄（貼付）'!B:C,2,FALSE)</f>
        <v>R</v>
      </c>
      <c r="E439" s="199">
        <f>VLOOKUP(D439,'仕掛品標準単価一覧表（貼付）'!B:G,6,FALSE)</f>
        <v>908</v>
      </c>
      <c r="F439" s="12" t="s">
        <v>246</v>
      </c>
      <c r="G439" s="24">
        <v>1106617.2399999946</v>
      </c>
      <c r="H439" s="13">
        <f ca="1">SUMIF('1.3②原材料使用'!B:E,C439,'1.3②原材料使用'!E:E)</f>
        <v>0</v>
      </c>
      <c r="I439" s="13">
        <f ca="1">SUMIF('2.10原液別作業時間'!A:B,C439,'2.10原液別作業時間'!B:B)</f>
        <v>0</v>
      </c>
      <c r="J439" s="13">
        <f ca="1">SUM(G439:H439,K439)</f>
        <v>1098056.0599999952</v>
      </c>
      <c r="K439" s="13">
        <f ca="1">SUMIF('2.2⑤純増減→前工程費'!B:E,C439,'2.2⑤純増減→前工程費'!E:E)</f>
        <v>-8561.1799999995274</v>
      </c>
      <c r="L439" s="13">
        <f ca="1">SUMIF('2.6完成品'!C:D,C439,'2.6完成品'!D:D)</f>
        <v>0</v>
      </c>
      <c r="M439" s="13">
        <f ca="1">SUMIF('2.3研究費'!D:E,C439,'2.3研究費'!E:E)</f>
        <v>0</v>
      </c>
      <c r="N439" s="13">
        <f ca="1">SUMIF('2.4販促費'!D:E,C439,'2.4販促費'!E:E)</f>
        <v>0</v>
      </c>
      <c r="O439" s="13">
        <f ca="1">SUMIF('2.5廃棄処分'!D:E,C439,'2.5廃棄処分'!E:E)</f>
        <v>0</v>
      </c>
      <c r="P439" s="13">
        <f ca="1">SUMIF('2.1④異種原液'!D:E,C439,'2.1④異種原液'!E:E)</f>
        <v>0</v>
      </c>
      <c r="Q439" s="14">
        <f ca="1">SUMIF('2.7製造部生産分'!D:I,C439,'2.7製造部生産分'!H:H)</f>
        <v>0</v>
      </c>
      <c r="R439" s="15">
        <f ca="1">-(G439+H439+K439-L439-M439-N439-O439-P439-Q439-S439)</f>
        <v>9.3132257461547852E-10</v>
      </c>
      <c r="S439" s="13">
        <f ca="1">SUMIF('2.9原液在庫'!B:H,C439,'2.9原液在庫'!H:H)</f>
        <v>1098056.0599999961</v>
      </c>
      <c r="T439" s="16">
        <f ca="1">IFERROR(SUM(G440:K440)/(G439+H439+K439),0)</f>
        <v>796.62733384526427</v>
      </c>
      <c r="U439" s="17" t="str">
        <f>C439</f>
        <v>44R</v>
      </c>
      <c r="V439" s="18">
        <f ca="1">IF(ISERROR(SUM(G440:K440)/SUM(L439:Q439,S439)),0,SUM(G440:K440)/SUM(L439:Q439,S439))</f>
        <v>796.62733384526359</v>
      </c>
      <c r="W439" s="19">
        <f ca="1">V439</f>
        <v>796.62733384526359</v>
      </c>
      <c r="X439" s="20">
        <f ca="1">W439/1000</f>
        <v>0.79662733384526363</v>
      </c>
    </row>
    <row r="440" spans="1:24">
      <c r="A440" s="212"/>
      <c r="B440" s="212"/>
      <c r="C440" s="201"/>
      <c r="D440" s="199"/>
      <c r="E440" s="199"/>
      <c r="F440" s="21" t="s">
        <v>247</v>
      </c>
      <c r="G440" s="22">
        <v>849573341.13043141</v>
      </c>
      <c r="H440" s="184"/>
      <c r="I440" s="23">
        <f ca="1">I439*労務費経費単価SC!D$7</f>
        <v>0</v>
      </c>
      <c r="J440" s="23">
        <f ca="1">J439*労務費経費単価SC!D$11</f>
        <v>32941681.799999855</v>
      </c>
      <c r="K440" s="22">
        <f ca="1">K439*$E439</f>
        <v>-7773551.4399995711</v>
      </c>
      <c r="L440" s="22">
        <f ca="1">L439*$E439</f>
        <v>0</v>
      </c>
      <c r="M440" s="22">
        <f t="shared" ref="M440" ca="1" si="1513">M439*$E439</f>
        <v>0</v>
      </c>
      <c r="N440" s="22">
        <f t="shared" ref="N440" ca="1" si="1514">N439*$E439</f>
        <v>0</v>
      </c>
      <c r="O440" s="22">
        <f t="shared" ref="O440" ca="1" si="1515">O439*$E439</f>
        <v>0</v>
      </c>
      <c r="P440" s="22">
        <f t="shared" ref="P440" ca="1" si="1516">P439*$E439</f>
        <v>0</v>
      </c>
      <c r="Q440" s="22">
        <f t="shared" ref="Q440" ca="1" si="1517">Q439*$E439</f>
        <v>0</v>
      </c>
      <c r="R440" s="22">
        <f t="shared" ref="R440" ca="1" si="1518">R439*$E439</f>
        <v>8.4564089775085449E-7</v>
      </c>
      <c r="S440" s="22">
        <f t="shared" ref="S440" ca="1" si="1519">S439*$E439</f>
        <v>997034902.47999644</v>
      </c>
      <c r="U440" s="17"/>
      <c r="V440" s="18"/>
      <c r="W440" s="19"/>
      <c r="X440" s="20"/>
    </row>
    <row r="441" spans="1:24">
      <c r="A441" s="200" t="s">
        <v>412</v>
      </c>
      <c r="B441" s="211">
        <v>45</v>
      </c>
      <c r="C441" s="200" t="s">
        <v>219</v>
      </c>
      <c r="D441" s="199" t="str">
        <f>VLOOKUP(C441,'仕掛品名寄（貼付）'!B:C,2,FALSE)</f>
        <v>R</v>
      </c>
      <c r="E441" s="199">
        <f>VLOOKUP(D441,'仕掛品標準単価一覧表（貼付）'!B:G,6,FALSE)</f>
        <v>908</v>
      </c>
      <c r="F441" s="12" t="s">
        <v>246</v>
      </c>
      <c r="G441" s="24">
        <v>545043.89999998931</v>
      </c>
      <c r="H441" s="13">
        <f ca="1">SUMIF('1.3②原材料使用'!B:E,C441,'1.3②原材料使用'!E:E)</f>
        <v>0</v>
      </c>
      <c r="I441" s="13">
        <f ca="1">SUMIF('2.10原液別作業時間'!A:B,C441,'2.10原液別作業時間'!B:B)</f>
        <v>0</v>
      </c>
      <c r="J441" s="13">
        <f ca="1">SUM(G441:H441,K441)</f>
        <v>541419.61999998929</v>
      </c>
      <c r="K441" s="13">
        <f ca="1">SUMIF('2.2⑤純増減→前工程費'!B:E,C441,'2.2⑤純増減→前工程費'!E:E)</f>
        <v>-3624.2799999999988</v>
      </c>
      <c r="L441" s="13">
        <f ca="1">SUMIF('2.6完成品'!C:D,C441,'2.6完成品'!D:D)</f>
        <v>0</v>
      </c>
      <c r="M441" s="13">
        <f ca="1">SUMIF('2.3研究費'!D:E,C441,'2.3研究費'!E:E)</f>
        <v>0</v>
      </c>
      <c r="N441" s="13">
        <f ca="1">SUMIF('2.4販促費'!D:E,C441,'2.4販促費'!E:E)</f>
        <v>0</v>
      </c>
      <c r="O441" s="13">
        <f ca="1">SUMIF('2.5廃棄処分'!D:E,C441,'2.5廃棄処分'!E:E)</f>
        <v>0</v>
      </c>
      <c r="P441" s="13">
        <f ca="1">SUMIF('2.1④異種原液'!D:E,C441,'2.1④異種原液'!E:E)</f>
        <v>0</v>
      </c>
      <c r="Q441" s="14">
        <f ca="1">SUMIF('2.7製造部生産分'!D:I,C441,'2.7製造部生産分'!H:H)</f>
        <v>0</v>
      </c>
      <c r="R441" s="15">
        <f ca="1">-(G441+H441+K441-L441-M441-N441-O441-P441-Q441-S441)</f>
        <v>-1.1641532182693481E-10</v>
      </c>
      <c r="S441" s="13">
        <f ca="1">SUMIF('2.9原液在庫'!B:H,C441,'2.9原液在庫'!H:H)</f>
        <v>541419.61999998917</v>
      </c>
      <c r="T441" s="16">
        <f ca="1">IFERROR(SUM(G442:K442)/(G441+H441+K441),0)</f>
        <v>879.02124923150006</v>
      </c>
      <c r="U441" s="17" t="str">
        <f>C441</f>
        <v>45R</v>
      </c>
      <c r="V441" s="18">
        <f ca="1">IF(ISERROR(SUM(G442:K442)/SUM(L441:Q441,S441)),0,SUM(G442:K442)/SUM(L441:Q441,S441))</f>
        <v>879.02124923150029</v>
      </c>
      <c r="W441" s="19">
        <f ca="1">V441</f>
        <v>879.02124923150029</v>
      </c>
      <c r="X441" s="20">
        <f ca="1">W441/1000</f>
        <v>0.87902124923150027</v>
      </c>
    </row>
    <row r="442" spans="1:24">
      <c r="A442" s="212"/>
      <c r="B442" s="212"/>
      <c r="C442" s="201"/>
      <c r="D442" s="199"/>
      <c r="E442" s="199"/>
      <c r="F442" s="21" t="s">
        <v>247</v>
      </c>
      <c r="G442" s="22">
        <v>462967608.37083501</v>
      </c>
      <c r="H442" s="184"/>
      <c r="I442" s="23">
        <f ca="1">I441*労務費経費単価SC!D$7</f>
        <v>0</v>
      </c>
      <c r="J442" s="23">
        <f ca="1">J441*労務費経費単価SC!D$11</f>
        <v>16242588.599999679</v>
      </c>
      <c r="K442" s="22">
        <f ca="1">K441*$E441</f>
        <v>-3290846.2399999988</v>
      </c>
      <c r="L442" s="22">
        <f ca="1">L441*$E441</f>
        <v>0</v>
      </c>
      <c r="M442" s="22">
        <f t="shared" ref="M442" ca="1" si="1520">M441*$E441</f>
        <v>0</v>
      </c>
      <c r="N442" s="22">
        <f t="shared" ref="N442" ca="1" si="1521">N441*$E441</f>
        <v>0</v>
      </c>
      <c r="O442" s="22">
        <f t="shared" ref="O442" ca="1" si="1522">O441*$E441</f>
        <v>0</v>
      </c>
      <c r="P442" s="22">
        <f t="shared" ref="P442" ca="1" si="1523">P441*$E441</f>
        <v>0</v>
      </c>
      <c r="Q442" s="22">
        <f t="shared" ref="Q442" ca="1" si="1524">Q441*$E441</f>
        <v>0</v>
      </c>
      <c r="R442" s="22">
        <f t="shared" ref="R442" ca="1" si="1525">R441*$E441</f>
        <v>-1.0570511221885681E-7</v>
      </c>
      <c r="S442" s="22">
        <f t="shared" ref="S442" ca="1" si="1526">S441*$E441</f>
        <v>491609014.95999014</v>
      </c>
      <c r="U442" s="17"/>
      <c r="V442" s="18"/>
      <c r="W442" s="19"/>
      <c r="X442" s="20"/>
    </row>
    <row r="443" spans="1:24">
      <c r="A443" s="200" t="s">
        <v>413</v>
      </c>
      <c r="B443" s="211">
        <v>46</v>
      </c>
      <c r="C443" s="200" t="s">
        <v>414</v>
      </c>
      <c r="D443" s="199" t="str">
        <f>VLOOKUP(C443,'仕掛品名寄（貼付）'!B:C,2,FALSE)</f>
        <v>R</v>
      </c>
      <c r="E443" s="199">
        <f>VLOOKUP(D443,'仕掛品標準単価一覧表（貼付）'!B:G,6,FALSE)</f>
        <v>908</v>
      </c>
      <c r="F443" s="12" t="s">
        <v>246</v>
      </c>
      <c r="G443" s="24">
        <v>176315.18799999665</v>
      </c>
      <c r="H443" s="13">
        <f ca="1">SUMIF('1.3②原材料使用'!B:E,C443,'1.3②原材料使用'!E:E)</f>
        <v>0</v>
      </c>
      <c r="I443" s="13">
        <f ca="1">SUMIF('2.10原液別作業時間'!A:B,C443,'2.10原液別作業時間'!B:B)</f>
        <v>0</v>
      </c>
      <c r="J443" s="13">
        <f ca="1">SUM(G443:H443,K443)</f>
        <v>176315.18799999665</v>
      </c>
      <c r="K443" s="13">
        <f ca="1">SUMIF('2.2⑤純増減→前工程費'!B:E,C443,'2.2⑤純増減→前工程費'!E:E)</f>
        <v>0</v>
      </c>
      <c r="L443" s="13">
        <f ca="1">SUMIF('2.6完成品'!C:D,C443,'2.6完成品'!D:D)</f>
        <v>0</v>
      </c>
      <c r="M443" s="13">
        <f ca="1">SUMIF('2.3研究費'!D:E,C443,'2.3研究費'!E:E)</f>
        <v>0</v>
      </c>
      <c r="N443" s="13">
        <f ca="1">SUMIF('2.4販促費'!D:E,C443,'2.4販促費'!E:E)</f>
        <v>0</v>
      </c>
      <c r="O443" s="13">
        <f ca="1">SUMIF('2.5廃棄処分'!D:E,C443,'2.5廃棄処分'!E:E)</f>
        <v>0</v>
      </c>
      <c r="P443" s="13">
        <f ca="1">SUMIF('2.1④異種原液'!D:E,C443,'2.1④異種原液'!E:E)</f>
        <v>0</v>
      </c>
      <c r="Q443" s="14">
        <f ca="1">SUMIF('2.7製造部生産分'!D:I,C443,'2.7製造部生産分'!H:H)</f>
        <v>0</v>
      </c>
      <c r="R443" s="15">
        <f ca="1">-(G443+H443+K443-L443-M443-N443-O443-P443-Q443-S443)</f>
        <v>0</v>
      </c>
      <c r="S443" s="13">
        <f ca="1">SUMIF('2.9原液在庫'!B:H,C443,'2.9原液在庫'!H:H)</f>
        <v>176315.18799999665</v>
      </c>
      <c r="T443" s="16">
        <f ca="1">IFERROR(SUM(G444:K444)/(G443+H443+K443),0)</f>
        <v>1117.9475072891794</v>
      </c>
      <c r="U443" s="17" t="str">
        <f>C443</f>
        <v>46R</v>
      </c>
      <c r="V443" s="18">
        <f ca="1">IF(ISERROR(SUM(G444:K444)/SUM(L443:Q443,S443)),0,SUM(G444:K444)/SUM(L443:Q443,S443))</f>
        <v>1117.9475072891794</v>
      </c>
      <c r="W443" s="19">
        <f ca="1">V443</f>
        <v>1117.9475072891794</v>
      </c>
      <c r="X443" s="20">
        <f ca="1">W443/1000</f>
        <v>1.1179475072891794</v>
      </c>
    </row>
    <row r="444" spans="1:24">
      <c r="A444" s="212"/>
      <c r="B444" s="212"/>
      <c r="C444" s="201"/>
      <c r="D444" s="199"/>
      <c r="E444" s="199"/>
      <c r="F444" s="21" t="s">
        <v>247</v>
      </c>
      <c r="G444" s="22">
        <v>191821669.28181937</v>
      </c>
      <c r="H444" s="184"/>
      <c r="I444" s="23">
        <f ca="1">I443*労務費経費単価SC!D$7</f>
        <v>0</v>
      </c>
      <c r="J444" s="23">
        <f ca="1">J443*労務費経費単価SC!D$11</f>
        <v>5289455.6399998991</v>
      </c>
      <c r="K444" s="22">
        <f ca="1">K443*$E443</f>
        <v>0</v>
      </c>
      <c r="L444" s="22">
        <f ca="1">L443*$E443</f>
        <v>0</v>
      </c>
      <c r="M444" s="22">
        <f t="shared" ref="M444" ca="1" si="1527">M443*$E443</f>
        <v>0</v>
      </c>
      <c r="N444" s="22">
        <f t="shared" ref="N444" ca="1" si="1528">N443*$E443</f>
        <v>0</v>
      </c>
      <c r="O444" s="22">
        <f t="shared" ref="O444" ca="1" si="1529">O443*$E443</f>
        <v>0</v>
      </c>
      <c r="P444" s="22">
        <f t="shared" ref="P444" ca="1" si="1530">P443*$E443</f>
        <v>0</v>
      </c>
      <c r="Q444" s="22">
        <f t="shared" ref="Q444" ca="1" si="1531">Q443*$E443</f>
        <v>0</v>
      </c>
      <c r="R444" s="22">
        <f t="shared" ref="R444" ca="1" si="1532">R443*$E443</f>
        <v>0</v>
      </c>
      <c r="S444" s="22">
        <f t="shared" ref="S444" ca="1" si="1533">S443*$E443</f>
        <v>160094190.70399696</v>
      </c>
      <c r="U444" s="17"/>
      <c r="V444" s="18"/>
      <c r="W444" s="19"/>
      <c r="X444" s="20"/>
    </row>
    <row r="445" spans="1:24">
      <c r="A445" s="200" t="s">
        <v>415</v>
      </c>
      <c r="B445" s="211">
        <v>47</v>
      </c>
      <c r="C445" s="200" t="s">
        <v>220</v>
      </c>
      <c r="D445" s="199" t="str">
        <f>VLOOKUP(C445,'仕掛品名寄（貼付）'!B:C,2,FALSE)</f>
        <v>R</v>
      </c>
      <c r="E445" s="199">
        <f>VLOOKUP(D445,'仕掛品標準単価一覧表（貼付）'!B:G,6,FALSE)</f>
        <v>908</v>
      </c>
      <c r="F445" s="12" t="s">
        <v>246</v>
      </c>
      <c r="G445" s="24">
        <v>162659.49999999936</v>
      </c>
      <c r="H445" s="13">
        <f ca="1">SUMIF('1.3②原材料使用'!B:E,C445,'1.3②原材料使用'!E:E)</f>
        <v>0</v>
      </c>
      <c r="I445" s="13">
        <f ca="1">SUMIF('2.10原液別作業時間'!A:B,C445,'2.10原液別作業時間'!B:B)</f>
        <v>0</v>
      </c>
      <c r="J445" s="13">
        <f ca="1">SUM(G445:H445,K445)</f>
        <v>162659.49999999936</v>
      </c>
      <c r="K445" s="13">
        <f ca="1">SUMIF('2.2⑤純増減→前工程費'!B:E,C445,'2.2⑤純増減→前工程費'!E:E)</f>
        <v>0</v>
      </c>
      <c r="L445" s="13">
        <f ca="1">SUMIF('2.6完成品'!C:D,C445,'2.6完成品'!D:D)</f>
        <v>0</v>
      </c>
      <c r="M445" s="13">
        <f ca="1">SUMIF('2.3研究費'!D:E,C445,'2.3研究費'!E:E)</f>
        <v>0</v>
      </c>
      <c r="N445" s="13">
        <f ca="1">SUMIF('2.4販促費'!D:E,C445,'2.4販促費'!E:E)</f>
        <v>0</v>
      </c>
      <c r="O445" s="13">
        <f ca="1">SUMIF('2.5廃棄処分'!D:E,C445,'2.5廃棄処分'!E:E)</f>
        <v>0</v>
      </c>
      <c r="P445" s="13">
        <f ca="1">SUMIF('2.1④異種原液'!D:E,C445,'2.1④異種原液'!E:E)</f>
        <v>0</v>
      </c>
      <c r="Q445" s="14">
        <f ca="1">SUMIF('2.7製造部生産分'!D:I,C445,'2.7製造部生産分'!H:H)</f>
        <v>0</v>
      </c>
      <c r="R445" s="15">
        <f ca="1">-(G445+H445+K445-L445-M445-N445-O445-P445-Q445-S445)</f>
        <v>0</v>
      </c>
      <c r="S445" s="13">
        <f ca="1">SUMIF('2.9原液在庫'!B:H,C445,'2.9原液在庫'!H:H)</f>
        <v>162659.49999999936</v>
      </c>
      <c r="T445" s="16">
        <f ca="1">IFERROR(SUM(G446:K446)/(G445+H445+K445),0)</f>
        <v>1061.6205979422855</v>
      </c>
      <c r="U445" s="17" t="str">
        <f>C445</f>
        <v>47R</v>
      </c>
      <c r="V445" s="18">
        <f ca="1">IF(ISERROR(SUM(G446:K446)/SUM(L445:Q445,S445)),0,SUM(G446:K446)/SUM(L445:Q445,S445))</f>
        <v>1061.6205979422855</v>
      </c>
      <c r="W445" s="19">
        <f ca="1">V445</f>
        <v>1061.6205979422855</v>
      </c>
      <c r="X445" s="20">
        <f ca="1">W445/1000</f>
        <v>1.0616205979422855</v>
      </c>
    </row>
    <row r="446" spans="1:24">
      <c r="A446" s="212"/>
      <c r="B446" s="212"/>
      <c r="C446" s="201"/>
      <c r="D446" s="199"/>
      <c r="E446" s="199"/>
      <c r="F446" s="21" t="s">
        <v>247</v>
      </c>
      <c r="G446" s="22">
        <v>167802890.65099254</v>
      </c>
      <c r="H446" s="184"/>
      <c r="I446" s="23">
        <f ca="1">I445*労務費経費単価SC!D$7</f>
        <v>0</v>
      </c>
      <c r="J446" s="23">
        <f ca="1">J445*労務費経費単価SC!D$11</f>
        <v>4879784.9999999804</v>
      </c>
      <c r="K446" s="22">
        <f ca="1">K445*$E445</f>
        <v>0</v>
      </c>
      <c r="L446" s="22">
        <f ca="1">L445*$E445</f>
        <v>0</v>
      </c>
      <c r="M446" s="22">
        <f t="shared" ref="M446" ca="1" si="1534">M445*$E445</f>
        <v>0</v>
      </c>
      <c r="N446" s="22">
        <f t="shared" ref="N446" ca="1" si="1535">N445*$E445</f>
        <v>0</v>
      </c>
      <c r="O446" s="22">
        <f t="shared" ref="O446" ca="1" si="1536">O445*$E445</f>
        <v>0</v>
      </c>
      <c r="P446" s="22">
        <f t="shared" ref="P446" ca="1" si="1537">P445*$E445</f>
        <v>0</v>
      </c>
      <c r="Q446" s="22">
        <f t="shared" ref="Q446" ca="1" si="1538">Q445*$E445</f>
        <v>0</v>
      </c>
      <c r="R446" s="22">
        <f t="shared" ref="R446" ca="1" si="1539">R445*$E445</f>
        <v>0</v>
      </c>
      <c r="S446" s="22">
        <f t="shared" ref="S446" ca="1" si="1540">S445*$E445</f>
        <v>147694825.9999994</v>
      </c>
      <c r="U446" s="17"/>
      <c r="V446" s="18"/>
      <c r="W446" s="19"/>
      <c r="X446" s="20"/>
    </row>
    <row r="447" spans="1:24">
      <c r="A447" s="200" t="s">
        <v>416</v>
      </c>
      <c r="B447" s="211">
        <v>48</v>
      </c>
      <c r="C447" s="200" t="s">
        <v>221</v>
      </c>
      <c r="D447" s="199" t="str">
        <f>VLOOKUP(C447,'仕掛品名寄（貼付）'!B:C,2,FALSE)</f>
        <v>R</v>
      </c>
      <c r="E447" s="199">
        <f>VLOOKUP(D447,'仕掛品標準単価一覧表（貼付）'!B:G,6,FALSE)</f>
        <v>908</v>
      </c>
      <c r="F447" s="12" t="s">
        <v>246</v>
      </c>
      <c r="G447" s="24">
        <v>167165.73200000016</v>
      </c>
      <c r="H447" s="13">
        <f ca="1">SUMIF('1.3②原材料使用'!B:E,C447,'1.3②原材料使用'!E:E)</f>
        <v>0</v>
      </c>
      <c r="I447" s="13">
        <f ca="1">SUMIF('2.10原液別作業時間'!A:B,C447,'2.10原液別作業時間'!B:B)</f>
        <v>0</v>
      </c>
      <c r="J447" s="13">
        <f ca="1">SUM(G447:H447,K447)</f>
        <v>167165.73200000016</v>
      </c>
      <c r="K447" s="13">
        <f ca="1">SUMIF('2.2⑤純増減→前工程費'!B:E,C447,'2.2⑤純増減→前工程費'!E:E)</f>
        <v>0</v>
      </c>
      <c r="L447" s="13">
        <f ca="1">SUMIF('2.6完成品'!C:D,C447,'2.6完成品'!D:D)</f>
        <v>0</v>
      </c>
      <c r="M447" s="13">
        <f ca="1">SUMIF('2.3研究費'!D:E,C447,'2.3研究費'!E:E)</f>
        <v>0</v>
      </c>
      <c r="N447" s="13">
        <f ca="1">SUMIF('2.4販促費'!D:E,C447,'2.4販促費'!E:E)</f>
        <v>0</v>
      </c>
      <c r="O447" s="13">
        <f ca="1">SUMIF('2.5廃棄処分'!D:E,C447,'2.5廃棄処分'!E:E)</f>
        <v>0</v>
      </c>
      <c r="P447" s="13">
        <f ca="1">SUMIF('2.1④異種原液'!D:E,C447,'2.1④異種原液'!E:E)</f>
        <v>0</v>
      </c>
      <c r="Q447" s="14">
        <f ca="1">SUMIF('2.7製造部生産分'!D:I,C447,'2.7製造部生産分'!H:H)</f>
        <v>0</v>
      </c>
      <c r="R447" s="15">
        <f ca="1">-(G447+H447+K447-L447-M447-N447-O447-P447-Q447-S447)</f>
        <v>0</v>
      </c>
      <c r="S447" s="13">
        <f ca="1">SUMIF('2.9原液在庫'!B:H,C447,'2.9原液在庫'!H:H)</f>
        <v>167165.73200000016</v>
      </c>
      <c r="T447" s="16">
        <f ca="1">IFERROR(SUM(G448:K448)/(G447+H447+K447),0)</f>
        <v>1151.655528952916</v>
      </c>
      <c r="U447" s="17" t="str">
        <f>C447</f>
        <v>48R</v>
      </c>
      <c r="V447" s="18">
        <f ca="1">IF(ISERROR(SUM(G448:K448)/SUM(L447:Q447,S447)),0,SUM(G448:K448)/SUM(L447:Q447,S447))</f>
        <v>1151.655528952916</v>
      </c>
      <c r="W447" s="19">
        <f ca="1">V447</f>
        <v>1151.655528952916</v>
      </c>
      <c r="X447" s="20">
        <f ca="1">W447/1000</f>
        <v>1.151655528952916</v>
      </c>
    </row>
    <row r="448" spans="1:24">
      <c r="A448" s="212"/>
      <c r="B448" s="212"/>
      <c r="C448" s="201"/>
      <c r="D448" s="199"/>
      <c r="E448" s="199"/>
      <c r="F448" s="21" t="s">
        <v>247</v>
      </c>
      <c r="G448" s="22">
        <v>187502367.54926157</v>
      </c>
      <c r="H448" s="184"/>
      <c r="I448" s="23">
        <f ca="1">I447*労務費経費単価SC!D$7</f>
        <v>0</v>
      </c>
      <c r="J448" s="23">
        <f ca="1">J447*労務費経費単価SC!D$11</f>
        <v>5014971.9600000046</v>
      </c>
      <c r="K448" s="22">
        <f ca="1">K447*$E447</f>
        <v>0</v>
      </c>
      <c r="L448" s="22">
        <f ca="1">L447*$E447</f>
        <v>0</v>
      </c>
      <c r="M448" s="22">
        <f t="shared" ref="M448" ca="1" si="1541">M447*$E447</f>
        <v>0</v>
      </c>
      <c r="N448" s="22">
        <f t="shared" ref="N448" ca="1" si="1542">N447*$E447</f>
        <v>0</v>
      </c>
      <c r="O448" s="22">
        <f t="shared" ref="O448" ca="1" si="1543">O447*$E447</f>
        <v>0</v>
      </c>
      <c r="P448" s="22">
        <f t="shared" ref="P448" ca="1" si="1544">P447*$E447</f>
        <v>0</v>
      </c>
      <c r="Q448" s="22">
        <f t="shared" ref="Q448" ca="1" si="1545">Q447*$E447</f>
        <v>0</v>
      </c>
      <c r="R448" s="22">
        <f t="shared" ref="R448" ca="1" si="1546">R447*$E447</f>
        <v>0</v>
      </c>
      <c r="S448" s="22">
        <f t="shared" ref="S448" ca="1" si="1547">S447*$E447</f>
        <v>151786484.65600014</v>
      </c>
      <c r="U448" s="17"/>
      <c r="V448" s="18"/>
      <c r="W448" s="19"/>
      <c r="X448" s="20"/>
    </row>
    <row r="449" spans="1:24">
      <c r="A449" s="200" t="s">
        <v>417</v>
      </c>
      <c r="B449" s="211">
        <v>49</v>
      </c>
      <c r="C449" s="200" t="s">
        <v>222</v>
      </c>
      <c r="D449" s="199" t="str">
        <f>VLOOKUP(C449,'仕掛品名寄（貼付）'!B:C,2,FALSE)</f>
        <v>R3</v>
      </c>
      <c r="E449" s="199">
        <f>VLOOKUP(D449,'仕掛品標準単価一覧表（貼付）'!B:G,6,FALSE)</f>
        <v>1098.6131081077128</v>
      </c>
      <c r="F449" s="12" t="s">
        <v>246</v>
      </c>
      <c r="G449" s="24">
        <v>157703.76499999998</v>
      </c>
      <c r="H449" s="13">
        <f ca="1">SUMIF('1.3②原材料使用'!B:E,C449,'1.3②原材料使用'!E:E)</f>
        <v>21972.283999999996</v>
      </c>
      <c r="I449" s="13">
        <f ca="1">SUMIF('2.10原液別作業時間'!A:B,C449,'2.10原液別作業時間'!B:B)</f>
        <v>200</v>
      </c>
      <c r="J449" s="13">
        <f ca="1">SUM(G449:H449,K449)</f>
        <v>179674.11899999998</v>
      </c>
      <c r="K449" s="13">
        <f ca="1">SUMIF('2.2⑤純増減→前工程費'!B:E,C449,'2.2⑤純増減→前工程費'!E:E)</f>
        <v>-1.929999999998472</v>
      </c>
      <c r="L449" s="13">
        <f ca="1">SUMIF('2.6完成品'!C:D,C449,'2.6完成品'!D:D)</f>
        <v>0</v>
      </c>
      <c r="M449" s="13">
        <f ca="1">SUMIF('2.3研究費'!D:E,C449,'2.3研究費'!E:E)</f>
        <v>0</v>
      </c>
      <c r="N449" s="13">
        <f ca="1">SUMIF('2.4販促費'!D:E,C449,'2.4販促費'!E:E)</f>
        <v>160</v>
      </c>
      <c r="O449" s="13">
        <f ca="1">SUMIF('2.5廃棄処分'!D:E,C449,'2.5廃棄処分'!E:E)</f>
        <v>0</v>
      </c>
      <c r="P449" s="13">
        <f ca="1">SUMIF('2.1④異種原液'!D:E,C449,'2.1④異種原液'!E:E)</f>
        <v>0</v>
      </c>
      <c r="Q449" s="14">
        <f ca="1">SUMIF('2.7製造部生産分'!D:I,C449,'2.7製造部生産分'!H:H)</f>
        <v>0</v>
      </c>
      <c r="R449" s="15">
        <f ca="1">-(G449+H449+K449-L449-M449-N449-O449-P449-Q449-S449)</f>
        <v>461.56999999942491</v>
      </c>
      <c r="S449" s="13">
        <f ca="1">SUMIF('2.9原液在庫'!B:H,C449,'2.9原液在庫'!H:H)</f>
        <v>179975.6889999994</v>
      </c>
      <c r="T449" s="16">
        <f ca="1">IFERROR(SUM(G450:K450)/(G449+H449+K449),0)</f>
        <v>1073.6472952617592</v>
      </c>
      <c r="U449" s="17" t="str">
        <f>C449</f>
        <v>49R</v>
      </c>
      <c r="V449" s="18">
        <f ca="1">IF(ISERROR(SUM(G450:K450)/SUM(L449:Q449,S449)),0,SUM(G450:K450)/SUM(L449:Q449,S449))</f>
        <v>1070.8962391838415</v>
      </c>
      <c r="W449" s="19">
        <f ca="1">V449</f>
        <v>1070.8962391838415</v>
      </c>
      <c r="X449" s="20">
        <f ca="1">W449/1000</f>
        <v>1.0708962391838415</v>
      </c>
    </row>
    <row r="450" spans="1:24">
      <c r="A450" s="212"/>
      <c r="B450" s="212"/>
      <c r="C450" s="201"/>
      <c r="D450" s="199"/>
      <c r="E450" s="199"/>
      <c r="F450" s="21" t="s">
        <v>247</v>
      </c>
      <c r="G450" s="22">
        <v>187426528.64618808</v>
      </c>
      <c r="H450" s="184"/>
      <c r="I450" s="23">
        <f ca="1">I449*労務費経費単価SC!D$7</f>
        <v>92000</v>
      </c>
      <c r="J450" s="23">
        <f ca="1">J449*労務費経費単価SC!D$11</f>
        <v>5390223.5699999994</v>
      </c>
      <c r="K450" s="22">
        <f ca="1">K449*$E449</f>
        <v>-2120.3232986462071</v>
      </c>
      <c r="L450" s="22">
        <f ca="1">L449*$E449</f>
        <v>0</v>
      </c>
      <c r="M450" s="22">
        <f t="shared" ref="M450" ca="1" si="1548">M449*$E449</f>
        <v>0</v>
      </c>
      <c r="N450" s="22">
        <f t="shared" ref="N450" ca="1" si="1549">N449*$E449</f>
        <v>175778.09729723405</v>
      </c>
      <c r="O450" s="22">
        <f t="shared" ref="O450" ca="1" si="1550">O449*$E449</f>
        <v>0</v>
      </c>
      <c r="P450" s="22">
        <f t="shared" ref="P450" ca="1" si="1551">P449*$E449</f>
        <v>0</v>
      </c>
      <c r="Q450" s="22">
        <f t="shared" ref="Q450" ca="1" si="1552">Q449*$E449</f>
        <v>0</v>
      </c>
      <c r="R450" s="22">
        <f t="shared" ref="R450" ca="1" si="1553">R449*$E449</f>
        <v>507086.8523086452</v>
      </c>
      <c r="S450" s="22">
        <f t="shared" ref="S450" ca="1" si="1554">S449*$E449</f>
        <v>197723651.07611644</v>
      </c>
      <c r="U450" s="17"/>
      <c r="V450" s="18"/>
      <c r="W450" s="19"/>
      <c r="X450" s="20"/>
    </row>
    <row r="451" spans="1:24">
      <c r="A451" s="200" t="s">
        <v>418</v>
      </c>
      <c r="B451" s="211">
        <v>50</v>
      </c>
      <c r="C451" s="200" t="s">
        <v>223</v>
      </c>
      <c r="D451" s="199" t="str">
        <f>VLOOKUP(C451,'仕掛品名寄（貼付）'!B:C,2,FALSE)</f>
        <v>R2</v>
      </c>
      <c r="E451" s="199">
        <f>VLOOKUP(D451,'仕掛品標準単価一覧表（貼付）'!B:G,6,FALSE)</f>
        <v>870.98600097717122</v>
      </c>
      <c r="F451" s="12" t="s">
        <v>246</v>
      </c>
      <c r="G451" s="24">
        <v>59762.000000000051</v>
      </c>
      <c r="H451" s="13">
        <f ca="1">SUMIF('1.3②原材料使用'!B:E,C451,'1.3②原材料使用'!E:E)</f>
        <v>32283.945699999993</v>
      </c>
      <c r="I451" s="13">
        <f ca="1">SUMIF('2.10原液別作業時間'!A:B,C451,'2.10原液別作業時間'!B:B)</f>
        <v>15970</v>
      </c>
      <c r="J451" s="13">
        <f ca="1">SUM(G451:H451,K451)</f>
        <v>92045.94570000004</v>
      </c>
      <c r="K451" s="13">
        <f ca="1">SUMIF('2.2⑤純増減→前工程費'!B:E,C451,'2.2⑤純増減→前工程費'!E:E)</f>
        <v>0</v>
      </c>
      <c r="L451" s="13">
        <f ca="1">SUMIF('2.6完成品'!C:D,C451,'2.6完成品'!D:D)</f>
        <v>0</v>
      </c>
      <c r="M451" s="13">
        <f ca="1">SUMIF('2.3研究費'!D:E,C451,'2.3研究費'!E:E)</f>
        <v>0</v>
      </c>
      <c r="N451" s="13">
        <f ca="1">SUMIF('2.4販促費'!D:E,C451,'2.4販促費'!E:E)</f>
        <v>0</v>
      </c>
      <c r="O451" s="13">
        <f ca="1">SUMIF('2.5廃棄処分'!D:E,C451,'2.5廃棄処分'!E:E)</f>
        <v>4</v>
      </c>
      <c r="P451" s="13">
        <f ca="1">SUMIF('2.1④異種原液'!D:E,C451,'2.1④異種原液'!E:E)</f>
        <v>0</v>
      </c>
      <c r="Q451" s="14">
        <f ca="1">SUMIF('2.7製造部生産分'!D:I,C451,'2.7製造部生産分'!H:H)</f>
        <v>0</v>
      </c>
      <c r="R451" s="15">
        <f ca="1">-(G451+H451+K451-L451-M451-N451-O451-P451-Q451-S451)</f>
        <v>9684.9732999995904</v>
      </c>
      <c r="S451" s="13">
        <f ca="1">SUMIF('2.9原液在庫'!B:H,C451,'2.9原液在庫'!H:H)</f>
        <v>101726.91899999963</v>
      </c>
      <c r="T451" s="16">
        <f ca="1">IFERROR(SUM(G452:K452)/(G451+H451+K451),0)</f>
        <v>314.26521339593546</v>
      </c>
      <c r="U451" s="17" t="str">
        <f>C451</f>
        <v>50R</v>
      </c>
      <c r="V451" s="18">
        <f ca="1">IF(ISERROR(SUM(G452:K452)/SUM(L451:Q451,S451)),0,SUM(G452:K452)/SUM(L451:Q451,S451))</f>
        <v>284.34657871950714</v>
      </c>
      <c r="W451" s="19">
        <f ca="1">V451</f>
        <v>284.34657871950714</v>
      </c>
      <c r="X451" s="20">
        <f ca="1">W451/1000</f>
        <v>0.28434657871950714</v>
      </c>
    </row>
    <row r="452" spans="1:24">
      <c r="A452" s="212"/>
      <c r="B452" s="212"/>
      <c r="C452" s="201"/>
      <c r="D452" s="199"/>
      <c r="E452" s="199"/>
      <c r="F452" s="21" t="s">
        <v>247</v>
      </c>
      <c r="G452" s="22">
        <v>18819260.396641199</v>
      </c>
      <c r="H452" s="184"/>
      <c r="I452" s="23">
        <f ca="1">I451*労務費経費単価SC!D$7</f>
        <v>7346200</v>
      </c>
      <c r="J452" s="23">
        <f ca="1">J451*労務費経費単価SC!D$11</f>
        <v>2761378.3710000012</v>
      </c>
      <c r="K452" s="22">
        <f ca="1">K451*$E451</f>
        <v>0</v>
      </c>
      <c r="L452" s="22">
        <f ca="1">L451*$E451</f>
        <v>0</v>
      </c>
      <c r="M452" s="22">
        <f t="shared" ref="M452" ca="1" si="1555">M451*$E451</f>
        <v>0</v>
      </c>
      <c r="N452" s="22">
        <f t="shared" ref="N452" ca="1" si="1556">N451*$E451</f>
        <v>0</v>
      </c>
      <c r="O452" s="22">
        <f t="shared" ref="O452" ca="1" si="1557">O451*$E451</f>
        <v>3483.9440039086849</v>
      </c>
      <c r="P452" s="22">
        <f t="shared" ref="P452" ca="1" si="1558">P451*$E451</f>
        <v>0</v>
      </c>
      <c r="Q452" s="22">
        <f t="shared" ref="Q452" ca="1" si="1559">Q451*$E451</f>
        <v>0</v>
      </c>
      <c r="R452" s="22">
        <f t="shared" ref="R452" ca="1" si="1560">R451*$E451</f>
        <v>8435476.1641373206</v>
      </c>
      <c r="S452" s="22">
        <f t="shared" ref="S452" ca="1" si="1561">S451*$E451</f>
        <v>88602722.371538296</v>
      </c>
      <c r="U452" s="17"/>
      <c r="V452" s="18"/>
      <c r="W452" s="19"/>
      <c r="X452" s="20"/>
    </row>
    <row r="453" spans="1:24">
      <c r="A453" s="215" t="s">
        <v>419</v>
      </c>
      <c r="B453" s="217">
        <v>51</v>
      </c>
      <c r="C453" s="215" t="s">
        <v>224</v>
      </c>
      <c r="D453" s="199" t="str">
        <f>VLOOKUP(C453,'仕掛品名寄（貼付）'!B:C,2,FALSE)</f>
        <v>R1</v>
      </c>
      <c r="E453" s="199">
        <f>VLOOKUP(D453,'仕掛品標準単価一覧表（貼付）'!B:G,6,FALSE)</f>
        <v>577.49762329823238</v>
      </c>
      <c r="F453" s="12" t="s">
        <v>246</v>
      </c>
      <c r="G453" s="13">
        <v>0</v>
      </c>
      <c r="H453" s="13">
        <f ca="1">SUMIF('1.3②原材料使用'!B:E,C453,'1.3②原材料使用'!E:E)</f>
        <v>51827.551299999999</v>
      </c>
      <c r="I453" s="13">
        <f ca="1">SUMIF('2.10原液別作業時間'!A:B,C453,'2.10原液別作業時間'!B:B)</f>
        <v>12755</v>
      </c>
      <c r="J453" s="13">
        <f ca="1">SUM(G453:H453,K453)</f>
        <v>51827.551299999999</v>
      </c>
      <c r="K453" s="13">
        <f ca="1">SUMIF('2.2⑤純増減→前工程費'!B:E,C453,'2.2⑤純増減→前工程費'!E:E)</f>
        <v>0</v>
      </c>
      <c r="L453" s="13">
        <f ca="1">SUMIF('2.6完成品'!C:D,C453,'2.6完成品'!D:D)</f>
        <v>0</v>
      </c>
      <c r="M453" s="13">
        <f ca="1">SUMIF('2.3研究費'!D:E,C453,'2.3研究費'!E:E)</f>
        <v>0</v>
      </c>
      <c r="N453" s="13">
        <f ca="1">SUMIF('2.4販促費'!D:E,C453,'2.4販促費'!E:E)</f>
        <v>0</v>
      </c>
      <c r="O453" s="13">
        <f ca="1">SUMIF('2.5廃棄処分'!D:E,C453,'2.5廃棄処分'!E:E)</f>
        <v>0</v>
      </c>
      <c r="P453" s="13">
        <f ca="1">SUMIF('2.1④異種原液'!D:E,C453,'2.1④異種原液'!E:E)</f>
        <v>0</v>
      </c>
      <c r="Q453" s="14">
        <f ca="1">SUMIF('2.7製造部生産分'!D:I,C453,'2.7製造部生産分'!H:H)</f>
        <v>0</v>
      </c>
      <c r="R453" s="15">
        <f ca="1">-(G453+H453+K453-L453-M453-N453-O453-P453-Q453-S453)</f>
        <v>5759.4087000000218</v>
      </c>
      <c r="S453" s="13">
        <f ca="1">SUMIF('2.9原液在庫'!B:H,C453,'2.9原液在庫'!H:H)</f>
        <v>57586.960000000021</v>
      </c>
      <c r="T453" s="16">
        <f ca="1">IFERROR(SUM(G454:K454)/(G453+H453+K453),0)</f>
        <v>143.20812681343099</v>
      </c>
      <c r="U453" s="17" t="str">
        <f>C453</f>
        <v>51R</v>
      </c>
      <c r="V453" s="18">
        <f ca="1">IF(ISERROR(SUM(G454:K454)/SUM(L453:Q453,S453)),0,SUM(G454:K454)/SUM(L453:Q453,S453))</f>
        <v>128.88554177890268</v>
      </c>
      <c r="W453" s="19">
        <f ca="1">V453</f>
        <v>128.88554177890268</v>
      </c>
      <c r="X453" s="20">
        <f ca="1">W453/1000</f>
        <v>0.12888554177890268</v>
      </c>
    </row>
    <row r="454" spans="1:24">
      <c r="A454" s="216"/>
      <c r="B454" s="216"/>
      <c r="C454" s="218"/>
      <c r="D454" s="199"/>
      <c r="E454" s="199"/>
      <c r="F454" s="21" t="s">
        <v>247</v>
      </c>
      <c r="G454" s="22" t="s">
        <v>254</v>
      </c>
      <c r="H454" s="184"/>
      <c r="I454" s="23">
        <f ca="1">I453*労務費経費単価SC!D$7</f>
        <v>5867300</v>
      </c>
      <c r="J454" s="23">
        <f ca="1">J453*労務費経費単価SC!D$11</f>
        <v>1554826.5389999999</v>
      </c>
      <c r="K454" s="22">
        <f ca="1">K453*$E453</f>
        <v>0</v>
      </c>
      <c r="L454" s="22">
        <f ca="1">L453*$E453</f>
        <v>0</v>
      </c>
      <c r="M454" s="22">
        <f t="shared" ref="M454" ca="1" si="1562">M453*$E453</f>
        <v>0</v>
      </c>
      <c r="N454" s="22">
        <f t="shared" ref="N454" ca="1" si="1563">N453*$E453</f>
        <v>0</v>
      </c>
      <c r="O454" s="22">
        <f t="shared" ref="O454" ca="1" si="1564">O453*$E453</f>
        <v>0</v>
      </c>
      <c r="P454" s="22">
        <f t="shared" ref="P454" ca="1" si="1565">P453*$E453</f>
        <v>0</v>
      </c>
      <c r="Q454" s="22">
        <f t="shared" ref="Q454" ca="1" si="1566">Q453*$E453</f>
        <v>0</v>
      </c>
      <c r="R454" s="22">
        <f t="shared" ref="R454" ca="1" si="1567">R453*$E453</f>
        <v>3326044.8358531748</v>
      </c>
      <c r="S454" s="22">
        <f t="shared" ref="S454" ca="1" si="1568">S453*$E453</f>
        <v>33256332.532970387</v>
      </c>
      <c r="U454" s="17"/>
      <c r="V454" s="18"/>
      <c r="W454" s="19"/>
      <c r="X454" s="20"/>
    </row>
    <row r="455" spans="1:24">
      <c r="A455" s="200"/>
      <c r="B455" s="211"/>
      <c r="C455" s="200" t="s">
        <v>420</v>
      </c>
      <c r="D455" s="199" t="str">
        <f>VLOOKUP(C455,'仕掛品名寄（貼付）'!B:C,2,FALSE)</f>
        <v>その他</v>
      </c>
      <c r="E455" s="199">
        <f>VLOOKUP(D455,'仕掛品標準単価一覧表（貼付）'!B:G,6,FALSE)</f>
        <v>1080</v>
      </c>
      <c r="F455" s="12" t="s">
        <v>246</v>
      </c>
      <c r="G455" s="13">
        <v>0</v>
      </c>
      <c r="H455" s="13">
        <f ca="1">SUMIF('1.3②原材料使用'!B:E,C455,'1.3②原材料使用'!E:E)</f>
        <v>0</v>
      </c>
      <c r="I455" s="13">
        <f ca="1">SUMIF('2.10原液別作業時間'!A:B,C455,'2.10原液別作業時間'!B:B)</f>
        <v>0</v>
      </c>
      <c r="J455" s="13">
        <f ca="1">SUM(G455:H455,K455)</f>
        <v>0</v>
      </c>
      <c r="K455" s="13">
        <f ca="1">SUMIF('2.2⑤純増減→前工程費'!B:E,C455,'2.2⑤純増減→前工程費'!E:E)</f>
        <v>0</v>
      </c>
      <c r="L455" s="13">
        <f ca="1">SUMIF('2.6完成品'!C:D,C455,'2.6完成品'!D:D)</f>
        <v>0</v>
      </c>
      <c r="M455" s="13">
        <f ca="1">SUMIF('2.3研究費'!D:E,C455,'2.3研究費'!E:E)</f>
        <v>0</v>
      </c>
      <c r="N455" s="13">
        <f ca="1">SUMIF('2.4販促費'!D:E,C455,'2.4販促費'!E:E)</f>
        <v>0</v>
      </c>
      <c r="O455" s="13">
        <f ca="1">SUMIF('2.5廃棄処分'!D:E,C455,'2.5廃棄処分'!E:E)</f>
        <v>0</v>
      </c>
      <c r="P455" s="13">
        <f ca="1">SUMIF('2.1④異種原液'!D:E,C455,'2.1④異種原液'!E:E)</f>
        <v>0</v>
      </c>
      <c r="Q455" s="14">
        <f ca="1">SUMIF('2.7製造部生産分'!D:I,C455,'2.7製造部生産分'!H:H)</f>
        <v>0</v>
      </c>
      <c r="R455" s="15">
        <f ca="1">-(G455+H455+K455-L455-M455-N455-O455-P455-Q455-S455)</f>
        <v>0</v>
      </c>
      <c r="S455" s="13">
        <f ca="1">SUMIF('2.9原液在庫'!B:H,C455,'2.9原液在庫'!H:H)</f>
        <v>0</v>
      </c>
      <c r="T455" s="16">
        <f ca="1">IFERROR(SUM(G456:K456)/(G455+H455+K455),0)</f>
        <v>0</v>
      </c>
      <c r="U455" s="17" t="str">
        <f>C455</f>
        <v>植</v>
      </c>
      <c r="V455" s="18">
        <f ca="1">IF(ISERROR(SUM(G456:K456)/SUM(L455:Q455,S455)),0,SUM(G456:K456)/SUM(L455:Q455,S455))</f>
        <v>0</v>
      </c>
      <c r="W455" s="19">
        <f ca="1">V455</f>
        <v>0</v>
      </c>
      <c r="X455" s="20">
        <f ca="1">W455/1000</f>
        <v>0</v>
      </c>
    </row>
    <row r="456" spans="1:24">
      <c r="A456" s="201"/>
      <c r="B456" s="201"/>
      <c r="C456" s="201"/>
      <c r="D456" s="199"/>
      <c r="E456" s="199"/>
      <c r="F456" s="21" t="s">
        <v>247</v>
      </c>
      <c r="G456" s="22" t="s">
        <v>254</v>
      </c>
      <c r="H456" s="184"/>
      <c r="I456" s="23">
        <f ca="1">I455*労務費経費単価SC!D$7</f>
        <v>0</v>
      </c>
      <c r="J456" s="23">
        <f ca="1">J455*労務費経費単価SC!D$11</f>
        <v>0</v>
      </c>
      <c r="K456" s="22">
        <f ca="1">K455*$E455</f>
        <v>0</v>
      </c>
      <c r="L456" s="22">
        <f ca="1">L455*$E455</f>
        <v>0</v>
      </c>
      <c r="M456" s="22">
        <f t="shared" ref="M456" ca="1" si="1569">M455*$E455</f>
        <v>0</v>
      </c>
      <c r="N456" s="22">
        <f t="shared" ref="N456" ca="1" si="1570">N455*$E455</f>
        <v>0</v>
      </c>
      <c r="O456" s="22">
        <f t="shared" ref="O456" ca="1" si="1571">O455*$E455</f>
        <v>0</v>
      </c>
      <c r="P456" s="22">
        <f t="shared" ref="P456" ca="1" si="1572">P455*$E455</f>
        <v>0</v>
      </c>
      <c r="Q456" s="22">
        <f t="shared" ref="Q456" ca="1" si="1573">Q455*$E455</f>
        <v>0</v>
      </c>
      <c r="R456" s="22">
        <f t="shared" ref="R456" ca="1" si="1574">R455*$E455</f>
        <v>0</v>
      </c>
      <c r="S456" s="22">
        <f t="shared" ref="S456" ca="1" si="1575">S455*$E455</f>
        <v>0</v>
      </c>
      <c r="U456" s="17"/>
      <c r="V456" s="18"/>
      <c r="W456" s="19"/>
      <c r="X456" s="20"/>
    </row>
    <row r="457" spans="1:24">
      <c r="A457" s="200"/>
      <c r="B457" s="211"/>
      <c r="C457" s="200" t="s">
        <v>421</v>
      </c>
      <c r="D457" s="199" t="str">
        <f>VLOOKUP(C457,'仕掛品名寄（貼付）'!B:C,2,FALSE)</f>
        <v>その他</v>
      </c>
      <c r="E457" s="199">
        <f>VLOOKUP(D457,'仕掛品標準単価一覧表（貼付）'!B:G,6,FALSE)</f>
        <v>1080</v>
      </c>
      <c r="F457" s="12" t="s">
        <v>246</v>
      </c>
      <c r="G457" s="13">
        <v>0</v>
      </c>
      <c r="H457" s="13">
        <f ca="1">SUMIF('1.3②原材料使用'!B:E,C457,'1.3②原材料使用'!E:E)</f>
        <v>0</v>
      </c>
      <c r="I457" s="13">
        <f ca="1">SUMIF('2.10原液別作業時間'!A:B,C457,'2.10原液別作業時間'!B:B)</f>
        <v>0</v>
      </c>
      <c r="J457" s="13">
        <f ca="1">SUM(G457:H457,K457)</f>
        <v>0</v>
      </c>
      <c r="K457" s="13">
        <f ca="1">SUMIF('2.2⑤純増減→前工程費'!B:E,C457,'2.2⑤純増減→前工程費'!E:E)</f>
        <v>0</v>
      </c>
      <c r="L457" s="13">
        <f ca="1">SUMIF('2.6完成品'!C:D,C457,'2.6完成品'!D:D)</f>
        <v>0</v>
      </c>
      <c r="M457" s="13">
        <f ca="1">SUMIF('2.3研究費'!D:E,C457,'2.3研究費'!E:E)</f>
        <v>0</v>
      </c>
      <c r="N457" s="13">
        <f ca="1">SUMIF('2.4販促費'!D:E,C457,'2.4販促費'!E:E)</f>
        <v>0</v>
      </c>
      <c r="O457" s="13">
        <f ca="1">SUMIF('2.5廃棄処分'!D:E,C457,'2.5廃棄処分'!E:E)</f>
        <v>0</v>
      </c>
      <c r="P457" s="13">
        <f ca="1">SUMIF('2.1④異種原液'!D:E,C457,'2.1④異種原液'!E:E)</f>
        <v>0</v>
      </c>
      <c r="Q457" s="14">
        <f ca="1">SUMIF('2.7製造部生産分'!D:I,C457,'2.7製造部生産分'!H:H)</f>
        <v>0</v>
      </c>
      <c r="R457" s="15">
        <f ca="1">-(G457+H457+K457-L457-M457-N457-O457-P457-Q457-S457)</f>
        <v>0</v>
      </c>
      <c r="S457" s="13">
        <f ca="1">SUMIF('2.9原液在庫'!B:H,C457,'2.9原液在庫'!H:H)</f>
        <v>0</v>
      </c>
      <c r="T457" s="16">
        <f ca="1">IFERROR(SUM(G458:K458)/(G457+H457+K457),0)</f>
        <v>0</v>
      </c>
      <c r="U457" s="17" t="str">
        <f>C457</f>
        <v>PEB</v>
      </c>
      <c r="V457" s="18">
        <f ca="1">IF(ISERROR(SUM(G458:K458)/SUM(L457:Q457,S457)),0,SUM(G458:K458)/SUM(L457:Q457,S457))</f>
        <v>0</v>
      </c>
      <c r="W457" s="19">
        <f ca="1">V457</f>
        <v>0</v>
      </c>
      <c r="X457" s="20">
        <f ca="1">W457/1000</f>
        <v>0</v>
      </c>
    </row>
    <row r="458" spans="1:24">
      <c r="A458" s="201"/>
      <c r="B458" s="201"/>
      <c r="C458" s="201"/>
      <c r="D458" s="199"/>
      <c r="E458" s="199"/>
      <c r="F458" s="21" t="s">
        <v>247</v>
      </c>
      <c r="G458" s="22" t="s">
        <v>254</v>
      </c>
      <c r="H458" s="184"/>
      <c r="I458" s="23">
        <f ca="1">I457*労務費経費単価SC!D$7</f>
        <v>0</v>
      </c>
      <c r="J458" s="23">
        <f ca="1">J457*労務費経費単価SC!D$11</f>
        <v>0</v>
      </c>
      <c r="K458" s="22">
        <f ca="1">K457*$E457</f>
        <v>0</v>
      </c>
      <c r="L458" s="22">
        <f ca="1">L457*$E457</f>
        <v>0</v>
      </c>
      <c r="M458" s="22">
        <f t="shared" ref="M458" ca="1" si="1576">M457*$E457</f>
        <v>0</v>
      </c>
      <c r="N458" s="22">
        <f t="shared" ref="N458" ca="1" si="1577">N457*$E457</f>
        <v>0</v>
      </c>
      <c r="O458" s="22">
        <f t="shared" ref="O458" ca="1" si="1578">O457*$E457</f>
        <v>0</v>
      </c>
      <c r="P458" s="22">
        <f t="shared" ref="P458" ca="1" si="1579">P457*$E457</f>
        <v>0</v>
      </c>
      <c r="Q458" s="22">
        <f t="shared" ref="Q458" ca="1" si="1580">Q457*$E457</f>
        <v>0</v>
      </c>
      <c r="R458" s="22">
        <f t="shared" ref="R458" ca="1" si="1581">R457*$E457</f>
        <v>0</v>
      </c>
      <c r="S458" s="22">
        <f t="shared" ref="S458" ca="1" si="1582">S457*$E457</f>
        <v>0</v>
      </c>
      <c r="U458" s="17"/>
      <c r="V458" s="18"/>
      <c r="W458" s="19"/>
      <c r="X458" s="20"/>
    </row>
    <row r="459" spans="1:24">
      <c r="A459" s="200"/>
      <c r="B459" s="211"/>
      <c r="C459" s="200" t="s">
        <v>422</v>
      </c>
      <c r="D459" s="199" t="str">
        <f>VLOOKUP(C459,'仕掛品名寄（貼付）'!B:C,2,FALSE)</f>
        <v>GB</v>
      </c>
      <c r="E459" s="199">
        <f>VLOOKUP(D459,'仕掛品標準単価一覧表（貼付）'!B:G,6,FALSE)</f>
        <v>2404.7183999999997</v>
      </c>
      <c r="F459" s="12" t="s">
        <v>246</v>
      </c>
      <c r="G459" s="24">
        <v>781</v>
      </c>
      <c r="H459" s="13">
        <f ca="1">SUMIF('1.3②原材料使用'!B:E,C459,'1.3②原材料使用'!E:E)</f>
        <v>0</v>
      </c>
      <c r="I459" s="13">
        <f ca="1">SUMIF('2.10原液別作業時間'!A:B,C459,'2.10原液別作業時間'!B:B)</f>
        <v>0</v>
      </c>
      <c r="J459" s="13">
        <f ca="1">SUM(G459:H459,K459)</f>
        <v>4321</v>
      </c>
      <c r="K459" s="13">
        <f ca="1">SUMIF('2.2⑤純増減→前工程費'!B:E,C459,'2.2⑤純増減→前工程費'!E:E)</f>
        <v>3540</v>
      </c>
      <c r="L459" s="13">
        <f ca="1">SUMIF('2.6完成品'!C:D,C459,'2.6完成品'!D:D)</f>
        <v>0</v>
      </c>
      <c r="M459" s="13">
        <f ca="1">SUMIF('2.3研究費'!D:E,C459,'2.3研究費'!E:E)</f>
        <v>0</v>
      </c>
      <c r="N459" s="13">
        <f ca="1">SUMIF('2.4販促費'!D:E,C459,'2.4販促費'!E:E)</f>
        <v>0</v>
      </c>
      <c r="O459" s="13">
        <f ca="1">SUMIF('2.5廃棄処分'!D:E,C459,'2.5廃棄処分'!E:E)</f>
        <v>0</v>
      </c>
      <c r="P459" s="13">
        <f ca="1">SUMIF('2.1④異種原液'!D:E,C459,'2.1④異種原液'!E:E)</f>
        <v>1971.5</v>
      </c>
      <c r="Q459" s="14">
        <f ca="1">SUMIF('2.7製造部生産分'!D:I,C459,'2.7製造部生産分'!H:H)</f>
        <v>0</v>
      </c>
      <c r="R459" s="15">
        <f ca="1">-(G459+H459+K459-L459-M459-N459-O459-P459-Q459-S459)</f>
        <v>0</v>
      </c>
      <c r="S459" s="13">
        <f ca="1">SUMIF('2.9原液在庫'!B:H,C459,'2.9原液在庫'!H:H)</f>
        <v>2349.5</v>
      </c>
      <c r="T459" s="16">
        <f ca="1">IFERROR(SUM(G460:K460)/(G459+H459+K459),0)</f>
        <v>2253.0684943910519</v>
      </c>
      <c r="U459" s="17" t="str">
        <f>C459</f>
        <v>GB</v>
      </c>
      <c r="V459" s="18">
        <f ca="1">IF(ISERROR(SUM(G460:K460)/SUM(L459:Q459,S459)),0,SUM(G460:K460)/SUM(L459:Q459,S459))</f>
        <v>2253.0684943910519</v>
      </c>
      <c r="W459" s="19">
        <f ca="1">V459</f>
        <v>2253.0684943910519</v>
      </c>
      <c r="X459" s="20">
        <f ca="1">W459/1000</f>
        <v>2.2530684943910519</v>
      </c>
    </row>
    <row r="460" spans="1:24">
      <c r="A460" s="201"/>
      <c r="B460" s="201"/>
      <c r="C460" s="201"/>
      <c r="D460" s="199"/>
      <c r="E460" s="199"/>
      <c r="F460" s="21" t="s">
        <v>247</v>
      </c>
      <c r="G460" s="22">
        <v>1093175.8282637354</v>
      </c>
      <c r="H460" s="184"/>
      <c r="I460" s="23">
        <f ca="1">I459*労務費経費単価SC!D$7</f>
        <v>0</v>
      </c>
      <c r="J460" s="23">
        <f ca="1">J459*労務費経費単価SC!D$11</f>
        <v>129630</v>
      </c>
      <c r="K460" s="22">
        <f ca="1">K459*$E459</f>
        <v>8512703.1359999999</v>
      </c>
      <c r="L460" s="22">
        <f ca="1">L459*$E459</f>
        <v>0</v>
      </c>
      <c r="M460" s="22">
        <f t="shared" ref="M460" ca="1" si="1583">M459*$E459</f>
        <v>0</v>
      </c>
      <c r="N460" s="22">
        <f t="shared" ref="N460" ca="1" si="1584">N459*$E459</f>
        <v>0</v>
      </c>
      <c r="O460" s="22">
        <f t="shared" ref="O460" ca="1" si="1585">O459*$E459</f>
        <v>0</v>
      </c>
      <c r="P460" s="22">
        <f t="shared" ref="P460" ca="1" si="1586">P459*$E459</f>
        <v>4740902.3255999992</v>
      </c>
      <c r="Q460" s="22">
        <f t="shared" ref="Q460" ca="1" si="1587">Q459*$E459</f>
        <v>0</v>
      </c>
      <c r="R460" s="22">
        <f t="shared" ref="R460" ca="1" si="1588">R459*$E459</f>
        <v>0</v>
      </c>
      <c r="S460" s="22">
        <f t="shared" ref="S460" ca="1" si="1589">S459*$E459</f>
        <v>5649885.8807999995</v>
      </c>
      <c r="U460" s="17"/>
      <c r="V460" s="18"/>
      <c r="W460" s="19"/>
      <c r="X460" s="20"/>
    </row>
    <row r="461" spans="1:24">
      <c r="A461" s="200"/>
      <c r="B461" s="211"/>
      <c r="C461" s="200" t="s">
        <v>158</v>
      </c>
      <c r="D461" s="199" t="str">
        <f>VLOOKUP(C461,'仕掛品名寄（貼付）'!B:C,2,FALSE)</f>
        <v>GP</v>
      </c>
      <c r="E461" s="199">
        <f>VLOOKUP(D461,'仕掛品標準単価一覧表（貼付）'!B:G,6,FALSE)</f>
        <v>1523.1183999999998</v>
      </c>
      <c r="F461" s="12" t="s">
        <v>246</v>
      </c>
      <c r="G461" s="13">
        <v>5978</v>
      </c>
      <c r="H461" s="13">
        <f ca="1">SUMIF('1.3②原材料使用'!B:E,C461,'1.3②原材料使用'!E:E)</f>
        <v>0</v>
      </c>
      <c r="I461" s="13">
        <f ca="1">SUMIF('2.10原液別作業時間'!A:B,C461,'2.10原液別作業時間'!B:B)</f>
        <v>5855</v>
      </c>
      <c r="J461" s="13">
        <f ca="1">SUM(G461:H461,K461)</f>
        <v>25608</v>
      </c>
      <c r="K461" s="13">
        <f ca="1">SUMIF('2.2⑤純増減→前工程費'!B:E,C461,'2.2⑤純増減→前工程費'!E:E)</f>
        <v>19630</v>
      </c>
      <c r="L461" s="13">
        <f ca="1">SUMIF('2.6完成品'!C:D,C461,'2.6完成品'!D:D)</f>
        <v>17994.099999999999</v>
      </c>
      <c r="M461" s="13">
        <f ca="1">SUMIF('2.3研究費'!D:E,C461,'2.3研究費'!E:E)</f>
        <v>30</v>
      </c>
      <c r="N461" s="13">
        <f ca="1">SUMIF('2.4販促費'!D:E,C461,'2.4販促費'!E:E)</f>
        <v>0.2</v>
      </c>
      <c r="O461" s="13">
        <f ca="1">SUMIF('2.5廃棄処分'!D:E,C461,'2.5廃棄処分'!E:E)</f>
        <v>0</v>
      </c>
      <c r="P461" s="13">
        <f ca="1">SUMIF('2.1④異種原液'!D:E,C461,'2.1④異種原液'!E:E)</f>
        <v>1032</v>
      </c>
      <c r="Q461" s="14">
        <f ca="1">SUMIF('2.7製造部生産分'!D:I,C461,'2.7製造部生産分'!H:H)</f>
        <v>0</v>
      </c>
      <c r="R461" s="15">
        <f ca="1">-(G461+H461+K461-L461-M461-N461-O461-P461-Q461-S461)</f>
        <v>-90.700000000001637</v>
      </c>
      <c r="S461" s="13">
        <f ca="1">SUMIF('2.9原液在庫'!B:H,C461,'2.9原液在庫'!H:H)</f>
        <v>6461</v>
      </c>
      <c r="T461" s="16">
        <f ca="1">IFERROR(SUM(G462:K462)/(G461+H461+K461),0)</f>
        <v>1542.9223968412334</v>
      </c>
      <c r="U461" s="17" t="str">
        <f>C461</f>
        <v>GP</v>
      </c>
      <c r="V461" s="18">
        <f ca="1">IF(ISERROR(SUM(G462:K462)/SUM(L461:Q461,S461)),0,SUM(G462:K462)/SUM(L461:Q461,S461))</f>
        <v>1548.4066393509622</v>
      </c>
      <c r="W461" s="19">
        <f ca="1">V461</f>
        <v>1548.4066393509622</v>
      </c>
      <c r="X461" s="20">
        <f ca="1">W461/1000</f>
        <v>1.5484066393509621</v>
      </c>
    </row>
    <row r="462" spans="1:24">
      <c r="A462" s="201"/>
      <c r="B462" s="201"/>
      <c r="C462" s="201"/>
      <c r="D462" s="199"/>
      <c r="E462" s="199"/>
      <c r="F462" s="21" t="s">
        <v>247</v>
      </c>
      <c r="G462" s="22">
        <v>6150802.5463103084</v>
      </c>
      <c r="H462" s="184"/>
      <c r="I462" s="23">
        <f ca="1">I461*労務費経費単価SC!D$7</f>
        <v>2693300</v>
      </c>
      <c r="J462" s="23">
        <f ca="1">J461*労務費経費単価SC!D$11</f>
        <v>768240</v>
      </c>
      <c r="K462" s="22">
        <f ca="1">K461*$E461</f>
        <v>29898814.191999998</v>
      </c>
      <c r="L462" s="22">
        <f ca="1">L461*$E461</f>
        <v>27407144.801439993</v>
      </c>
      <c r="M462" s="22">
        <f t="shared" ref="M462" ca="1" si="1590">M461*$E461</f>
        <v>45693.551999999996</v>
      </c>
      <c r="N462" s="22">
        <f t="shared" ref="N462" ca="1" si="1591">N461*$E461</f>
        <v>304.62367999999998</v>
      </c>
      <c r="O462" s="22">
        <f t="shared" ref="O462" ca="1" si="1592">O461*$E461</f>
        <v>0</v>
      </c>
      <c r="P462" s="22">
        <f t="shared" ref="P462" ca="1" si="1593">P461*$E461</f>
        <v>1571858.1887999999</v>
      </c>
      <c r="Q462" s="22">
        <f t="shared" ref="Q462" ca="1" si="1594">Q461*$E461</f>
        <v>0</v>
      </c>
      <c r="R462" s="22">
        <f t="shared" ref="R462" ca="1" si="1595">R461*$E461</f>
        <v>-138146.83888000247</v>
      </c>
      <c r="S462" s="22">
        <f t="shared" ref="S462" ca="1" si="1596">S461*$E461</f>
        <v>9840867.9823999982</v>
      </c>
      <c r="U462" s="17"/>
      <c r="V462" s="18"/>
      <c r="W462" s="19"/>
      <c r="X462" s="20"/>
    </row>
    <row r="463" spans="1:24">
      <c r="A463" s="200"/>
      <c r="B463" s="211"/>
      <c r="C463" s="200" t="s">
        <v>159</v>
      </c>
      <c r="D463" s="199" t="str">
        <f>VLOOKUP(C463,'仕掛品名寄（貼付）'!B:C,2,FALSE)</f>
        <v>その他</v>
      </c>
      <c r="E463" s="199">
        <f>VLOOKUP(D463,'仕掛品標準単価一覧表（貼付）'!B:G,6,FALSE)</f>
        <v>1080</v>
      </c>
      <c r="F463" s="12" t="s">
        <v>246</v>
      </c>
      <c r="G463" s="24">
        <v>1.7</v>
      </c>
      <c r="H463" s="13">
        <f ca="1">SUMIF('1.3②原材料使用'!B:E,C463,'1.3②原材料使用'!E:E)</f>
        <v>21.6</v>
      </c>
      <c r="I463" s="13">
        <f ca="1">SUMIF('2.10原液別作業時間'!A:B,C463,'2.10原液別作業時間'!B:B)</f>
        <v>375</v>
      </c>
      <c r="J463" s="13">
        <f ca="1">SUM(G463:H463,K463)</f>
        <v>1072.8</v>
      </c>
      <c r="K463" s="13">
        <f ca="1">SUMIF('2.2⑤純増減→前工程費'!B:E,C463,'2.2⑤純増減→前工程費'!E:E)</f>
        <v>1049.5</v>
      </c>
      <c r="L463" s="13">
        <f ca="1">SUMIF('2.6完成品'!C:D,C463,'2.6完成品'!D:D)</f>
        <v>0</v>
      </c>
      <c r="M463" s="13">
        <f ca="1">SUMIF('2.3研究費'!D:E,C463,'2.3研究費'!E:E)</f>
        <v>0</v>
      </c>
      <c r="N463" s="13">
        <f ca="1">SUMIF('2.4販促費'!D:E,C463,'2.4販促費'!E:E)</f>
        <v>0</v>
      </c>
      <c r="O463" s="13">
        <f ca="1">SUMIF('2.5廃棄処分'!D:E,C463,'2.5廃棄処分'!E:E)</f>
        <v>0</v>
      </c>
      <c r="P463" s="13">
        <f ca="1">SUMIF('2.1④異種原液'!D:E,C463,'2.1④異種原液'!E:E)</f>
        <v>0</v>
      </c>
      <c r="Q463" s="14">
        <f ca="1">SUMIF('2.7製造部生産分'!D:I,C463,'2.7製造部生産分'!H:H)</f>
        <v>522</v>
      </c>
      <c r="R463" s="15">
        <f ca="1">-(G463+H463+K463-L463-M463-N463-O463-P463-Q463-S463)</f>
        <v>-549.09999999999991</v>
      </c>
      <c r="S463" s="13">
        <f ca="1">SUMIF('2.9原液在庫'!B:H,C463,'2.9原液在庫'!H:H)</f>
        <v>1.7</v>
      </c>
      <c r="T463" s="16">
        <f ca="1">IFERROR(SUM(G464:K464)/(G463+H463+K463),0)</f>
        <v>1248.9789124555102</v>
      </c>
      <c r="U463" s="17" t="str">
        <f>C463</f>
        <v>GPA</v>
      </c>
      <c r="V463" s="18">
        <f ca="1">IF(ISERROR(SUM(G464:K464)/SUM(L463:Q463,S463)),0,SUM(G464:K464)/SUM(L463:Q463,S463))</f>
        <v>2558.5346138672353</v>
      </c>
      <c r="W463" s="19">
        <f ca="1">V463</f>
        <v>2558.5346138672353</v>
      </c>
      <c r="X463" s="20">
        <f ca="1">W463/1000</f>
        <v>2.5585346138672351</v>
      </c>
    </row>
    <row r="464" spans="1:24">
      <c r="A464" s="212"/>
      <c r="B464" s="212"/>
      <c r="C464" s="201"/>
      <c r="D464" s="199"/>
      <c r="E464" s="199"/>
      <c r="F464" s="21" t="s">
        <v>247</v>
      </c>
      <c r="G464" s="22">
        <v>1760.5772822713088</v>
      </c>
      <c r="H464" s="184"/>
      <c r="I464" s="23">
        <f ca="1">I463*労務費経費単価SC!D$7</f>
        <v>172500</v>
      </c>
      <c r="J464" s="23">
        <f ca="1">J463*労務費経費単価SC!D$11</f>
        <v>32184</v>
      </c>
      <c r="K464" s="22">
        <f ca="1">K463*$E463</f>
        <v>1133460</v>
      </c>
      <c r="L464" s="22">
        <f ca="1">L463*$E463</f>
        <v>0</v>
      </c>
      <c r="M464" s="22">
        <f t="shared" ref="M464" ca="1" si="1597">M463*$E463</f>
        <v>0</v>
      </c>
      <c r="N464" s="22">
        <f t="shared" ref="N464" ca="1" si="1598">N463*$E463</f>
        <v>0</v>
      </c>
      <c r="O464" s="22">
        <f t="shared" ref="O464" ca="1" si="1599">O463*$E463</f>
        <v>0</v>
      </c>
      <c r="P464" s="22">
        <f t="shared" ref="P464" ca="1" si="1600">P463*$E463</f>
        <v>0</v>
      </c>
      <c r="Q464" s="22">
        <f t="shared" ref="Q464" ca="1" si="1601">Q463*$E463</f>
        <v>563760</v>
      </c>
      <c r="R464" s="22">
        <f t="shared" ref="R464" ca="1" si="1602">R463*$E463</f>
        <v>-593027.99999999988</v>
      </c>
      <c r="S464" s="22">
        <f t="shared" ref="S464" ca="1" si="1603">S463*$E463</f>
        <v>1836</v>
      </c>
      <c r="U464" s="17"/>
      <c r="V464" s="18"/>
      <c r="W464" s="19"/>
      <c r="X464" s="20"/>
    </row>
    <row r="465" spans="1:24">
      <c r="A465" s="200"/>
      <c r="B465" s="211"/>
      <c r="C465" s="200" t="s">
        <v>160</v>
      </c>
      <c r="D465" s="199" t="str">
        <f>VLOOKUP(C465,'仕掛品名寄（貼付）'!B:C,2,FALSE)</f>
        <v>その他</v>
      </c>
      <c r="E465" s="199">
        <f>VLOOKUP(D465,'仕掛品標準単価一覧表（貼付）'!B:G,6,FALSE)</f>
        <v>1080</v>
      </c>
      <c r="F465" s="12" t="s">
        <v>246</v>
      </c>
      <c r="G465" s="24">
        <v>0</v>
      </c>
      <c r="H465" s="13">
        <f ca="1">SUMIF('1.3②原材料使用'!B:E,C465,'1.3②原材料使用'!E:E)</f>
        <v>0</v>
      </c>
      <c r="I465" s="13">
        <f ca="1">SUMIF('2.10原液別作業時間'!A:B,C465,'2.10原液別作業時間'!B:B)</f>
        <v>0</v>
      </c>
      <c r="J465" s="13">
        <f ca="1">SUM(G465:H465,K465)</f>
        <v>0</v>
      </c>
      <c r="K465" s="13">
        <f ca="1">SUMIF('2.2⑤純増減→前工程費'!B:E,C465,'2.2⑤純増減→前工程費'!E:E)</f>
        <v>0</v>
      </c>
      <c r="L465" s="13">
        <f ca="1">SUMIF('2.6完成品'!C:D,C465,'2.6完成品'!D:D)</f>
        <v>0</v>
      </c>
      <c r="M465" s="13">
        <f ca="1">SUMIF('2.3研究費'!D:E,C465,'2.3研究費'!E:E)</f>
        <v>0</v>
      </c>
      <c r="N465" s="13">
        <f ca="1">SUMIF('2.4販促費'!D:E,C465,'2.4販促費'!E:E)</f>
        <v>0</v>
      </c>
      <c r="O465" s="13">
        <f ca="1">SUMIF('2.5廃棄処分'!D:E,C465,'2.5廃棄処分'!E:E)</f>
        <v>0</v>
      </c>
      <c r="P465" s="13">
        <f ca="1">SUMIF('2.1④異種原液'!D:E,C465,'2.1④異種原液'!E:E)</f>
        <v>0</v>
      </c>
      <c r="Q465" s="14">
        <f ca="1">SUMIF('2.7製造部生産分'!D:I,C465,'2.7製造部生産分'!H:H)</f>
        <v>0</v>
      </c>
      <c r="R465" s="15">
        <f ca="1">-(G465+H465+K465-L465-M465-N465-O465-P465-Q465-S465)</f>
        <v>0</v>
      </c>
      <c r="S465" s="13">
        <f ca="1">SUMIF('2.9原液在庫'!B:H,C465,'2.9原液在庫'!H:H)</f>
        <v>0</v>
      </c>
      <c r="T465" s="16">
        <f ca="1">IFERROR(SUM(G466:K466)/(G465+H465+K465),0)</f>
        <v>0</v>
      </c>
      <c r="U465" s="17" t="str">
        <f>C465</f>
        <v>GPB</v>
      </c>
      <c r="V465" s="18">
        <f ca="1">IF(ISERROR(SUM(G466:K466)/SUM(L465:Q465,S465)),0,SUM(G466:K466)/SUM(L465:Q465,S465))</f>
        <v>0</v>
      </c>
      <c r="W465" s="19">
        <f ca="1">V465</f>
        <v>0</v>
      </c>
      <c r="X465" s="20">
        <f ca="1">W465/1000</f>
        <v>0</v>
      </c>
    </row>
    <row r="466" spans="1:24">
      <c r="A466" s="212"/>
      <c r="B466" s="212"/>
      <c r="C466" s="201"/>
      <c r="D466" s="199"/>
      <c r="E466" s="199"/>
      <c r="F466" s="21" t="s">
        <v>247</v>
      </c>
      <c r="G466" s="22">
        <v>0</v>
      </c>
      <c r="H466" s="184"/>
      <c r="I466" s="23">
        <f ca="1">I465*労務費経費単価SC!D$7</f>
        <v>0</v>
      </c>
      <c r="J466" s="23">
        <f ca="1">J465*労務費経費単価SC!D$11</f>
        <v>0</v>
      </c>
      <c r="K466" s="22">
        <f ca="1">K465*$E465</f>
        <v>0</v>
      </c>
      <c r="L466" s="22">
        <f ca="1">L465*$E465</f>
        <v>0</v>
      </c>
      <c r="M466" s="22">
        <f t="shared" ref="M466" ca="1" si="1604">M465*$E465</f>
        <v>0</v>
      </c>
      <c r="N466" s="22">
        <f t="shared" ref="N466" ca="1" si="1605">N465*$E465</f>
        <v>0</v>
      </c>
      <c r="O466" s="22">
        <f t="shared" ref="O466" ca="1" si="1606">O465*$E465</f>
        <v>0</v>
      </c>
      <c r="P466" s="22">
        <f t="shared" ref="P466" ca="1" si="1607">P465*$E465</f>
        <v>0</v>
      </c>
      <c r="Q466" s="22">
        <f t="shared" ref="Q466" ca="1" si="1608">Q465*$E465</f>
        <v>0</v>
      </c>
      <c r="R466" s="22">
        <f t="shared" ref="R466" ca="1" si="1609">R465*$E465</f>
        <v>0</v>
      </c>
      <c r="S466" s="22">
        <f t="shared" ref="S466" ca="1" si="1610">S465*$E465</f>
        <v>0</v>
      </c>
      <c r="U466" s="17"/>
      <c r="V466" s="18"/>
      <c r="W466" s="19"/>
      <c r="X466" s="20"/>
    </row>
    <row r="467" spans="1:24">
      <c r="A467" s="200"/>
      <c r="B467" s="211"/>
      <c r="C467" s="200" t="s">
        <v>423</v>
      </c>
      <c r="D467" s="199" t="str">
        <f>VLOOKUP(C467,'仕掛品名寄（貼付）'!B:C,2,FALSE)</f>
        <v>その他</v>
      </c>
      <c r="E467" s="199">
        <f>VLOOKUP(D467,'仕掛品標準単価一覧表（貼付）'!B:G,6,FALSE)</f>
        <v>1080</v>
      </c>
      <c r="F467" s="12" t="s">
        <v>246</v>
      </c>
      <c r="G467" s="13">
        <v>0</v>
      </c>
      <c r="H467" s="13">
        <f ca="1">SUMIF('1.3②原材料使用'!B:E,C467,'1.3②原材料使用'!E:E)</f>
        <v>0</v>
      </c>
      <c r="I467" s="13">
        <f ca="1">SUMIF('2.10原液別作業時間'!A:B,C467,'2.10原液別作業時間'!B:B)</f>
        <v>0</v>
      </c>
      <c r="J467" s="13">
        <f ca="1">SUM(G467:H467,K467)</f>
        <v>0</v>
      </c>
      <c r="K467" s="13">
        <f ca="1">SUMIF('2.2⑤純増減→前工程費'!B:E,C467,'2.2⑤純増減→前工程費'!E:E)</f>
        <v>0</v>
      </c>
      <c r="L467" s="13">
        <f ca="1">SUMIF('2.6完成品'!C:D,C467,'2.6完成品'!D:D)</f>
        <v>0</v>
      </c>
      <c r="M467" s="13">
        <f ca="1">SUMIF('2.3研究費'!D:E,C467,'2.3研究費'!E:E)</f>
        <v>0</v>
      </c>
      <c r="N467" s="13">
        <f ca="1">SUMIF('2.4販促費'!D:E,C467,'2.4販促費'!E:E)</f>
        <v>0</v>
      </c>
      <c r="O467" s="13">
        <f ca="1">SUMIF('2.5廃棄処分'!D:E,C467,'2.5廃棄処分'!E:E)</f>
        <v>0</v>
      </c>
      <c r="P467" s="13">
        <f ca="1">SUMIF('2.1④異種原液'!D:E,C467,'2.1④異種原液'!E:E)</f>
        <v>0</v>
      </c>
      <c r="Q467" s="14">
        <f ca="1">SUMIF('2.7製造部生産分'!D:I,C467,'2.7製造部生産分'!H:H)</f>
        <v>0</v>
      </c>
      <c r="R467" s="15">
        <f ca="1">-(G467+H467+K467-L467-M467-N467-O467-P467-Q467-S467)</f>
        <v>0</v>
      </c>
      <c r="S467" s="13">
        <f ca="1">SUMIF('2.9原液在庫'!B:H,C467,'2.9原液在庫'!H:H)</f>
        <v>0</v>
      </c>
      <c r="T467" s="16">
        <f ca="1">IFERROR(SUM(G468:K468)/(G467+H467+K467),0)</f>
        <v>0</v>
      </c>
      <c r="U467" s="17" t="str">
        <f>C467</f>
        <v>RTB</v>
      </c>
      <c r="V467" s="18">
        <f ca="1">IF(ISERROR(SUM(G468:K468)/SUM(L467:Q467,S467)),0,SUM(G468:K468)/SUM(L467:Q467,S467))</f>
        <v>0</v>
      </c>
      <c r="W467" s="19">
        <f ca="1">V467</f>
        <v>0</v>
      </c>
      <c r="X467" s="20">
        <f ca="1">W467/1000</f>
        <v>0</v>
      </c>
    </row>
    <row r="468" spans="1:24">
      <c r="A468" s="201"/>
      <c r="B468" s="201"/>
      <c r="C468" s="201"/>
      <c r="D468" s="199"/>
      <c r="E468" s="199"/>
      <c r="F468" s="21" t="s">
        <v>247</v>
      </c>
      <c r="G468" s="22" t="s">
        <v>254</v>
      </c>
      <c r="H468" s="184"/>
      <c r="I468" s="23">
        <f ca="1">I467*労務費経費単価SC!D$7</f>
        <v>0</v>
      </c>
      <c r="J468" s="23">
        <f ca="1">J467*労務費経費単価SC!D$11</f>
        <v>0</v>
      </c>
      <c r="K468" s="22">
        <f ca="1">K467*$E467</f>
        <v>0</v>
      </c>
      <c r="L468" s="22">
        <f ca="1">L467*$E467</f>
        <v>0</v>
      </c>
      <c r="M468" s="22">
        <f t="shared" ref="M468" ca="1" si="1611">M467*$E467</f>
        <v>0</v>
      </c>
      <c r="N468" s="22">
        <f t="shared" ref="N468" ca="1" si="1612">N467*$E467</f>
        <v>0</v>
      </c>
      <c r="O468" s="22">
        <f t="shared" ref="O468" ca="1" si="1613">O467*$E467</f>
        <v>0</v>
      </c>
      <c r="P468" s="22">
        <f t="shared" ref="P468" ca="1" si="1614">P467*$E467</f>
        <v>0</v>
      </c>
      <c r="Q468" s="22">
        <f t="shared" ref="Q468" ca="1" si="1615">Q467*$E467</f>
        <v>0</v>
      </c>
      <c r="R468" s="22">
        <f t="shared" ref="R468" ca="1" si="1616">R467*$E467</f>
        <v>0</v>
      </c>
      <c r="S468" s="22">
        <f t="shared" ref="S468" ca="1" si="1617">S467*$E467</f>
        <v>0</v>
      </c>
      <c r="U468" s="17"/>
      <c r="V468" s="18"/>
      <c r="W468" s="19"/>
      <c r="X468" s="20"/>
    </row>
    <row r="469" spans="1:24">
      <c r="A469" s="200"/>
      <c r="B469" s="211"/>
      <c r="C469" s="200" t="s">
        <v>424</v>
      </c>
      <c r="D469" s="199" t="str">
        <f>VLOOKUP(C469,'仕掛品名寄（貼付）'!B:C,2,FALSE)</f>
        <v>その他</v>
      </c>
      <c r="E469" s="199">
        <f>VLOOKUP(D469,'仕掛品標準単価一覧表（貼付）'!B:G,6,FALSE)</f>
        <v>1080</v>
      </c>
      <c r="F469" s="12" t="s">
        <v>246</v>
      </c>
      <c r="G469" s="13">
        <v>0</v>
      </c>
      <c r="H469" s="13">
        <f ca="1">SUMIF('1.3②原材料使用'!B:E,C469,'1.3②原材料使用'!E:E)</f>
        <v>0</v>
      </c>
      <c r="I469" s="13">
        <f ca="1">SUMIF('2.10原液別作業時間'!A:B,C469,'2.10原液別作業時間'!B:B)</f>
        <v>0</v>
      </c>
      <c r="J469" s="13">
        <f ca="1">SUM(G469:H469,K469)</f>
        <v>0</v>
      </c>
      <c r="K469" s="13">
        <f ca="1">SUMIF('2.2⑤純増減→前工程費'!B:E,C469,'2.2⑤純増減→前工程費'!E:E)</f>
        <v>0</v>
      </c>
      <c r="L469" s="13">
        <f ca="1">SUMIF('2.6完成品'!C:D,C469,'2.6完成品'!D:D)</f>
        <v>0</v>
      </c>
      <c r="M469" s="13">
        <f ca="1">SUMIF('2.3研究費'!D:E,C469,'2.3研究費'!E:E)</f>
        <v>0</v>
      </c>
      <c r="N469" s="13">
        <f ca="1">SUMIF('2.4販促費'!D:E,C469,'2.4販促費'!E:E)</f>
        <v>0</v>
      </c>
      <c r="O469" s="13">
        <f ca="1">SUMIF('2.5廃棄処分'!D:E,C469,'2.5廃棄処分'!E:E)</f>
        <v>0</v>
      </c>
      <c r="P469" s="13">
        <f ca="1">SUMIF('2.1④異種原液'!D:E,C469,'2.1④異種原液'!E:E)</f>
        <v>0</v>
      </c>
      <c r="Q469" s="14">
        <f ca="1">SUMIF('2.7製造部生産分'!D:I,C469,'2.7製造部生産分'!H:H)</f>
        <v>0</v>
      </c>
      <c r="R469" s="15">
        <f ca="1">-(G469+H469+K469-L469-M469-N469-O469-P469-Q469-S469)</f>
        <v>0</v>
      </c>
      <c r="S469" s="13">
        <f ca="1">SUMIF('2.9原液在庫'!B:H,C469,'2.9原液在庫'!H:H)</f>
        <v>0</v>
      </c>
      <c r="T469" s="16">
        <f ca="1">IFERROR(SUM(G470:K470)/(G469+H469+K469),0)</f>
        <v>0</v>
      </c>
      <c r="U469" s="17" t="str">
        <f>C469</f>
        <v>RYB</v>
      </c>
      <c r="V469" s="18">
        <f ca="1">IF(ISERROR(SUM(G470:K470)/SUM(L469:Q469,S469)),0,SUM(G470:K470)/SUM(L469:Q469,S469))</f>
        <v>0</v>
      </c>
      <c r="W469" s="19">
        <f ca="1">V469</f>
        <v>0</v>
      </c>
      <c r="X469" s="20">
        <f ca="1">W469/1000</f>
        <v>0</v>
      </c>
    </row>
    <row r="470" spans="1:24">
      <c r="A470" s="201"/>
      <c r="B470" s="201"/>
      <c r="C470" s="201"/>
      <c r="D470" s="199"/>
      <c r="E470" s="199"/>
      <c r="F470" s="21" t="s">
        <v>247</v>
      </c>
      <c r="G470" s="22" t="s">
        <v>254</v>
      </c>
      <c r="H470" s="184"/>
      <c r="I470" s="23">
        <f ca="1">I469*労務費経費単価SC!D$7</f>
        <v>0</v>
      </c>
      <c r="J470" s="23">
        <f ca="1">J469*労務費経費単価SC!D$11</f>
        <v>0</v>
      </c>
      <c r="K470" s="22">
        <f ca="1">K469*$E469</f>
        <v>0</v>
      </c>
      <c r="L470" s="22">
        <f ca="1">L469*$E469</f>
        <v>0</v>
      </c>
      <c r="M470" s="22">
        <f t="shared" ref="M470" ca="1" si="1618">M469*$E469</f>
        <v>0</v>
      </c>
      <c r="N470" s="22">
        <f t="shared" ref="N470" ca="1" si="1619">N469*$E469</f>
        <v>0</v>
      </c>
      <c r="O470" s="22">
        <f t="shared" ref="O470" ca="1" si="1620">O469*$E469</f>
        <v>0</v>
      </c>
      <c r="P470" s="22">
        <f t="shared" ref="P470" ca="1" si="1621">P469*$E469</f>
        <v>0</v>
      </c>
      <c r="Q470" s="22">
        <f t="shared" ref="Q470" ca="1" si="1622">Q469*$E469</f>
        <v>0</v>
      </c>
      <c r="R470" s="22">
        <f t="shared" ref="R470" ca="1" si="1623">R469*$E469</f>
        <v>0</v>
      </c>
      <c r="S470" s="22">
        <f t="shared" ref="S470" ca="1" si="1624">S469*$E469</f>
        <v>0</v>
      </c>
      <c r="U470" s="17"/>
      <c r="V470" s="18"/>
      <c r="W470" s="19"/>
      <c r="X470" s="20"/>
    </row>
    <row r="471" spans="1:24">
      <c r="A471" s="200"/>
      <c r="B471" s="211"/>
      <c r="C471" s="200" t="s">
        <v>109</v>
      </c>
      <c r="D471" s="199" t="str">
        <f>VLOOKUP(C471,'仕掛品名寄（貼付）'!B:C,2,FALSE)</f>
        <v>その他</v>
      </c>
      <c r="E471" s="199">
        <f>VLOOKUP(D471,'仕掛品標準単価一覧表（貼付）'!B:G,6,FALSE)</f>
        <v>1080</v>
      </c>
      <c r="F471" s="12" t="s">
        <v>246</v>
      </c>
      <c r="G471" s="24">
        <v>1406.5</v>
      </c>
      <c r="H471" s="13">
        <f ca="1">SUMIF('1.3②原材料使用'!B:E,C471,'1.3②原材料使用'!E:E)</f>
        <v>0</v>
      </c>
      <c r="I471" s="13">
        <f ca="1">SUMIF('2.10原液別作業時間'!A:B,C471,'2.10原液別作業時間'!B:B)</f>
        <v>0</v>
      </c>
      <c r="J471" s="13">
        <f ca="1">SUM(G471:H471,K471)</f>
        <v>1406.5</v>
      </c>
      <c r="K471" s="13">
        <f ca="1">SUMIF('2.2⑤純増減→前工程費'!B:E,C471,'2.2⑤純増減→前工程費'!E:E)</f>
        <v>0</v>
      </c>
      <c r="L471" s="13">
        <f ca="1">SUMIF('2.6完成品'!C:D,C471,'2.6完成品'!D:D)</f>
        <v>0</v>
      </c>
      <c r="M471" s="13">
        <f ca="1">SUMIF('2.3研究費'!D:E,C471,'2.3研究費'!E:E)</f>
        <v>0</v>
      </c>
      <c r="N471" s="13">
        <f ca="1">SUMIF('2.4販促費'!D:E,C471,'2.4販促費'!E:E)</f>
        <v>0</v>
      </c>
      <c r="O471" s="13">
        <f ca="1">SUMIF('2.5廃棄処分'!D:E,C471,'2.5廃棄処分'!E:E)</f>
        <v>0</v>
      </c>
      <c r="P471" s="13">
        <f ca="1">SUMIF('2.1④異種原液'!D:E,C471,'2.1④異種原液'!E:E)</f>
        <v>552</v>
      </c>
      <c r="Q471" s="14">
        <f ca="1">SUMIF('2.7製造部生産分'!D:I,C471,'2.7製造部生産分'!H:H)</f>
        <v>0</v>
      </c>
      <c r="R471" s="15">
        <f ca="1">-(G471+H471+K471-L471-M471-N471-O471-P471-Q471-S471)</f>
        <v>0</v>
      </c>
      <c r="S471" s="13">
        <f ca="1">SUMIF('2.9原液在庫'!B:H,C471,'2.9原液在庫'!H:H)</f>
        <v>854.5</v>
      </c>
      <c r="T471" s="16">
        <f ca="1">IFERROR(SUM(G472:K472)/(G471+H471+K471),0)</f>
        <v>1046.0338919965791</v>
      </c>
      <c r="U471" s="17" t="str">
        <f>C471</f>
        <v>SPB</v>
      </c>
      <c r="V471" s="18">
        <f ca="1">IF(ISERROR(SUM(G472:K472)/SUM(L471:Q471,S471)),0,SUM(G472:K472)/SUM(L471:Q471,S471))</f>
        <v>1046.0338919965791</v>
      </c>
      <c r="W471" s="19">
        <f ca="1">V471</f>
        <v>1046.0338919965791</v>
      </c>
      <c r="X471" s="20">
        <f ca="1">W471/1000</f>
        <v>1.046033891996579</v>
      </c>
    </row>
    <row r="472" spans="1:24">
      <c r="A472" s="201"/>
      <c r="B472" s="201"/>
      <c r="C472" s="201"/>
      <c r="D472" s="199"/>
      <c r="E472" s="199"/>
      <c r="F472" s="21" t="s">
        <v>247</v>
      </c>
      <c r="G472" s="22">
        <v>1429051.6690931886</v>
      </c>
      <c r="H472" s="184"/>
      <c r="I472" s="23">
        <f ca="1">I471*労務費経費単価SC!D$7</f>
        <v>0</v>
      </c>
      <c r="J472" s="23">
        <f ca="1">J471*労務費経費単価SC!D$11</f>
        <v>42195</v>
      </c>
      <c r="K472" s="22">
        <f ca="1">K471*$E471</f>
        <v>0</v>
      </c>
      <c r="L472" s="22">
        <f ca="1">L471*$E471</f>
        <v>0</v>
      </c>
      <c r="M472" s="22">
        <f t="shared" ref="M472" ca="1" si="1625">M471*$E471</f>
        <v>0</v>
      </c>
      <c r="N472" s="22">
        <f t="shared" ref="N472" ca="1" si="1626">N471*$E471</f>
        <v>0</v>
      </c>
      <c r="O472" s="22">
        <f t="shared" ref="O472" ca="1" si="1627">O471*$E471</f>
        <v>0</v>
      </c>
      <c r="P472" s="22">
        <f t="shared" ref="P472" ca="1" si="1628">P471*$E471</f>
        <v>596160</v>
      </c>
      <c r="Q472" s="22">
        <f t="shared" ref="Q472" ca="1" si="1629">Q471*$E471</f>
        <v>0</v>
      </c>
      <c r="R472" s="22">
        <f t="shared" ref="R472" ca="1" si="1630">R471*$E471</f>
        <v>0</v>
      </c>
      <c r="S472" s="22">
        <f t="shared" ref="S472" ca="1" si="1631">S471*$E471</f>
        <v>922860</v>
      </c>
      <c r="U472" s="17"/>
      <c r="V472" s="18"/>
      <c r="W472" s="19"/>
      <c r="X472" s="20"/>
    </row>
    <row r="473" spans="1:24">
      <c r="A473" s="200"/>
      <c r="B473" s="211"/>
      <c r="C473" s="200" t="s">
        <v>425</v>
      </c>
      <c r="D473" s="199" t="str">
        <f>VLOOKUP(C473,'仕掛品名寄（貼付）'!B:C,2,FALSE)</f>
        <v>その他</v>
      </c>
      <c r="E473" s="199">
        <f>VLOOKUP(D473,'仕掛品標準単価一覧表（貼付）'!B:G,6,FALSE)</f>
        <v>1080</v>
      </c>
      <c r="F473" s="12" t="s">
        <v>246</v>
      </c>
      <c r="G473" s="13">
        <v>1306</v>
      </c>
      <c r="H473" s="13">
        <f ca="1">SUMIF('1.3②原材料使用'!B:E,C473,'1.3②原材料使用'!E:E)</f>
        <v>0</v>
      </c>
      <c r="I473" s="13">
        <f ca="1">SUMIF('2.10原液別作業時間'!A:B,C473,'2.10原液別作業時間'!B:B)</f>
        <v>0</v>
      </c>
      <c r="J473" s="13">
        <f ca="1">SUM(G473:H473,K473)</f>
        <v>1306</v>
      </c>
      <c r="K473" s="13">
        <f ca="1">SUMIF('2.2⑤純増減→前工程費'!B:E,C473,'2.2⑤純増減→前工程費'!E:E)</f>
        <v>0</v>
      </c>
      <c r="L473" s="13">
        <f ca="1">SUMIF('2.6完成品'!C:D,C473,'2.6完成品'!D:D)</f>
        <v>0</v>
      </c>
      <c r="M473" s="13">
        <f ca="1">SUMIF('2.3研究費'!D:E,C473,'2.3研究費'!E:E)</f>
        <v>0</v>
      </c>
      <c r="N473" s="13">
        <f ca="1">SUMIF('2.4販促費'!D:E,C473,'2.4販促費'!E:E)</f>
        <v>0</v>
      </c>
      <c r="O473" s="13">
        <f ca="1">SUMIF('2.5廃棄処分'!D:E,C473,'2.5廃棄処分'!E:E)</f>
        <v>0</v>
      </c>
      <c r="P473" s="13">
        <f ca="1">SUMIF('2.1④異種原液'!D:E,C473,'2.1④異種原液'!E:E)</f>
        <v>442</v>
      </c>
      <c r="Q473" s="14">
        <f ca="1">SUMIF('2.7製造部生産分'!D:I,C473,'2.7製造部生産分'!H:H)</f>
        <v>0</v>
      </c>
      <c r="R473" s="15">
        <f ca="1">-(G473+H473+K473-L473-M473-N473-O473-P473-Q473-S473)</f>
        <v>-13.5</v>
      </c>
      <c r="S473" s="13">
        <f ca="1">SUMIF('2.9原液在庫'!B:H,C473,'2.9原液在庫'!H:H)</f>
        <v>850.5</v>
      </c>
      <c r="T473" s="16">
        <f ca="1">IFERROR(SUM(G474:K474)/(G473+H473+K473),0)</f>
        <v>1314.7779211256268</v>
      </c>
      <c r="U473" s="17" t="str">
        <f>C473</f>
        <v>YB</v>
      </c>
      <c r="V473" s="18">
        <f ca="1">IF(ISERROR(SUM(G474:K474)/SUM(L473:Q473,S473)),0,SUM(G474:K474)/SUM(L473:Q473,S473))</f>
        <v>1328.5106112108849</v>
      </c>
      <c r="W473" s="19">
        <f ca="1">V473</f>
        <v>1328.5106112108849</v>
      </c>
      <c r="X473" s="20">
        <f ca="1">W473/1000</f>
        <v>1.3285106112108849</v>
      </c>
    </row>
    <row r="474" spans="1:24">
      <c r="A474" s="201"/>
      <c r="B474" s="201"/>
      <c r="C474" s="201"/>
      <c r="D474" s="199"/>
      <c r="E474" s="199"/>
      <c r="F474" s="21" t="s">
        <v>247</v>
      </c>
      <c r="G474" s="22">
        <v>1677919.9649900687</v>
      </c>
      <c r="H474" s="184"/>
      <c r="I474" s="23">
        <f ca="1">I473*労務費経費単価SC!D$7</f>
        <v>0</v>
      </c>
      <c r="J474" s="23">
        <f ca="1">J473*労務費経費単価SC!D$11</f>
        <v>39180</v>
      </c>
      <c r="K474" s="22">
        <f ca="1">K473*$E473</f>
        <v>0</v>
      </c>
      <c r="L474" s="22">
        <f ca="1">L473*$E473</f>
        <v>0</v>
      </c>
      <c r="M474" s="22">
        <f t="shared" ref="M474" ca="1" si="1632">M473*$E473</f>
        <v>0</v>
      </c>
      <c r="N474" s="22">
        <f t="shared" ref="N474" ca="1" si="1633">N473*$E473</f>
        <v>0</v>
      </c>
      <c r="O474" s="22">
        <f t="shared" ref="O474" ca="1" si="1634">O473*$E473</f>
        <v>0</v>
      </c>
      <c r="P474" s="22">
        <f t="shared" ref="P474" ca="1" si="1635">P473*$E473</f>
        <v>477360</v>
      </c>
      <c r="Q474" s="22">
        <f t="shared" ref="Q474" ca="1" si="1636">Q473*$E473</f>
        <v>0</v>
      </c>
      <c r="R474" s="22">
        <f t="shared" ref="R474" ca="1" si="1637">R473*$E473</f>
        <v>-14580</v>
      </c>
      <c r="S474" s="22">
        <f t="shared" ref="S474" ca="1" si="1638">S473*$E473</f>
        <v>918540</v>
      </c>
      <c r="U474" s="17"/>
      <c r="V474" s="18"/>
      <c r="W474" s="19"/>
      <c r="X474" s="20"/>
    </row>
    <row r="475" spans="1:24">
      <c r="A475" s="200"/>
      <c r="B475" s="211"/>
      <c r="C475" s="200" t="s">
        <v>106</v>
      </c>
      <c r="D475" s="199" t="str">
        <f>VLOOKUP(C475,'仕掛品名寄（貼付）'!B:C,2,FALSE)</f>
        <v>その他</v>
      </c>
      <c r="E475" s="199">
        <f>VLOOKUP(D475,'仕掛品標準単価一覧表（貼付）'!B:G,6,FALSE)</f>
        <v>1080</v>
      </c>
      <c r="F475" s="12" t="s">
        <v>246</v>
      </c>
      <c r="G475" s="13">
        <v>0</v>
      </c>
      <c r="H475" s="13">
        <f ca="1">SUMIF('1.3②原材料使用'!B:E,C475,'1.3②原材料使用'!E:E)</f>
        <v>0</v>
      </c>
      <c r="I475" s="13">
        <f ca="1">SUMIF('2.10原液別作業時間'!A:B,C475,'2.10原液別作業時間'!B:B)</f>
        <v>0</v>
      </c>
      <c r="J475" s="13">
        <f ca="1">SUM(G475:H475,K475)</f>
        <v>0</v>
      </c>
      <c r="K475" s="13">
        <f ca="1">SUMIF('2.2⑤純増減→前工程費'!B:E,C475,'2.2⑤純増減→前工程費'!E:E)</f>
        <v>0</v>
      </c>
      <c r="L475" s="13">
        <f ca="1">SUMIF('2.6完成品'!C:D,C475,'2.6完成品'!D:D)</f>
        <v>0</v>
      </c>
      <c r="M475" s="13">
        <f ca="1">SUMIF('2.3研究費'!D:E,C475,'2.3研究費'!E:E)</f>
        <v>0</v>
      </c>
      <c r="N475" s="13">
        <f ca="1">SUMIF('2.4販促費'!D:E,C475,'2.4販促費'!E:E)</f>
        <v>0</v>
      </c>
      <c r="O475" s="13">
        <f ca="1">SUMIF('2.5廃棄処分'!D:E,C475,'2.5廃棄処分'!E:E)</f>
        <v>0</v>
      </c>
      <c r="P475" s="13">
        <f ca="1">SUMIF('2.1④異種原液'!D:E,C475,'2.1④異種原液'!E:E)</f>
        <v>0</v>
      </c>
      <c r="Q475" s="14">
        <f ca="1">SUMIF('2.7製造部生産分'!D:I,C475,'2.7製造部生産分'!H:H)</f>
        <v>0</v>
      </c>
      <c r="R475" s="15">
        <f ca="1">-(G475+H475+K475-L475-M475-N475-O475-P475-Q475-S475)</f>
        <v>0</v>
      </c>
      <c r="S475" s="13">
        <f ca="1">SUMIF('2.9原液在庫'!B:H,C475,'2.9原液在庫'!H:H)</f>
        <v>0</v>
      </c>
      <c r="T475" s="16">
        <f ca="1">IFERROR(SUM(G476:K476)/(G475+H475+K475),0)</f>
        <v>0</v>
      </c>
      <c r="U475" s="17" t="str">
        <f>C475</f>
        <v>16RﾊﾟB</v>
      </c>
      <c r="V475" s="18">
        <f ca="1">IF(ISERROR(SUM(G476:K476)/SUM(L475:Q475,S475)),0,SUM(G476:K476)/SUM(L475:Q475,S475))</f>
        <v>0</v>
      </c>
      <c r="W475" s="19">
        <f ca="1">V475</f>
        <v>0</v>
      </c>
      <c r="X475" s="20">
        <f ca="1">W475/1000</f>
        <v>0</v>
      </c>
    </row>
    <row r="476" spans="1:24">
      <c r="A476" s="201"/>
      <c r="B476" s="201"/>
      <c r="C476" s="201"/>
      <c r="D476" s="199"/>
      <c r="E476" s="199"/>
      <c r="F476" s="21" t="s">
        <v>247</v>
      </c>
      <c r="G476" s="22" t="s">
        <v>254</v>
      </c>
      <c r="H476" s="184"/>
      <c r="I476" s="23">
        <f ca="1">I475*労務費経費単価SC!D$7</f>
        <v>0</v>
      </c>
      <c r="J476" s="23">
        <f ca="1">J475*労務費経費単価SC!D$11</f>
        <v>0</v>
      </c>
      <c r="K476" s="22">
        <f ca="1">K475*$E475</f>
        <v>0</v>
      </c>
      <c r="L476" s="22">
        <f ca="1">L475*$E475</f>
        <v>0</v>
      </c>
      <c r="M476" s="22">
        <f t="shared" ref="M476" ca="1" si="1639">M475*$E475</f>
        <v>0</v>
      </c>
      <c r="N476" s="22">
        <f t="shared" ref="N476" ca="1" si="1640">N475*$E475</f>
        <v>0</v>
      </c>
      <c r="O476" s="22">
        <f t="shared" ref="O476" ca="1" si="1641">O475*$E475</f>
        <v>0</v>
      </c>
      <c r="P476" s="22">
        <f t="shared" ref="P476" ca="1" si="1642">P475*$E475</f>
        <v>0</v>
      </c>
      <c r="Q476" s="22">
        <f t="shared" ref="Q476" ca="1" si="1643">Q475*$E475</f>
        <v>0</v>
      </c>
      <c r="R476" s="22">
        <f t="shared" ref="R476" ca="1" si="1644">R475*$E475</f>
        <v>0</v>
      </c>
      <c r="S476" s="22">
        <f t="shared" ref="S476" ca="1" si="1645">S475*$E475</f>
        <v>0</v>
      </c>
      <c r="U476" s="17"/>
      <c r="V476" s="18"/>
      <c r="W476" s="19"/>
      <c r="X476" s="20"/>
    </row>
    <row r="477" spans="1:24">
      <c r="A477" s="200"/>
      <c r="B477" s="211"/>
      <c r="C477" s="200" t="s">
        <v>107</v>
      </c>
      <c r="D477" s="199" t="str">
        <f>VLOOKUP(C477,'仕掛品名寄（貼付）'!B:C,2,FALSE)</f>
        <v>HIB</v>
      </c>
      <c r="E477" s="199">
        <f>VLOOKUP(D477,'仕掛品標準単価一覧表（貼付）'!B:G,6,FALSE)</f>
        <v>1284</v>
      </c>
      <c r="F477" s="12" t="s">
        <v>246</v>
      </c>
      <c r="G477" s="13">
        <v>0</v>
      </c>
      <c r="H477" s="13">
        <f ca="1">SUMIF('1.3②原材料使用'!B:E,C477,'1.3②原材料使用'!E:E)</f>
        <v>0</v>
      </c>
      <c r="I477" s="13">
        <f ca="1">SUMIF('2.10原液別作業時間'!A:B,C477,'2.10原液別作業時間'!B:B)</f>
        <v>0</v>
      </c>
      <c r="J477" s="13">
        <f ca="1">SUM(G477:H477,K477)</f>
        <v>0</v>
      </c>
      <c r="K477" s="13">
        <f ca="1">SUMIF('2.2⑤純増減→前工程費'!B:E,C477,'2.2⑤純増減→前工程費'!E:E)</f>
        <v>0</v>
      </c>
      <c r="L477" s="13">
        <f ca="1">SUMIF('2.6完成品'!C:D,C477,'2.6完成品'!D:D)</f>
        <v>0</v>
      </c>
      <c r="M477" s="13">
        <f ca="1">SUMIF('2.3研究費'!D:E,C477,'2.3研究費'!E:E)</f>
        <v>0</v>
      </c>
      <c r="N477" s="13">
        <f ca="1">SUMIF('2.4販促費'!D:E,C477,'2.4販促費'!E:E)</f>
        <v>0</v>
      </c>
      <c r="O477" s="13">
        <f ca="1">SUMIF('2.5廃棄処分'!D:E,C477,'2.5廃棄処分'!E:E)</f>
        <v>0</v>
      </c>
      <c r="P477" s="13">
        <f ca="1">SUMIF('2.1④異種原液'!D:E,C477,'2.1④異種原液'!E:E)</f>
        <v>0</v>
      </c>
      <c r="Q477" s="14">
        <f ca="1">SUMIF('2.7製造部生産分'!D:I,C477,'2.7製造部生産分'!H:H)</f>
        <v>0</v>
      </c>
      <c r="R477" s="15">
        <f ca="1">-(G477+H477+K477-L477-M477-N477-O477-P477-Q477-S477)</f>
        <v>0</v>
      </c>
      <c r="S477" s="13">
        <f ca="1">SUMIF('2.9原液在庫'!B:H,C477,'2.9原液在庫'!H:H)</f>
        <v>0</v>
      </c>
      <c r="T477" s="16">
        <f ca="1">IFERROR(SUM(G478:K478)/(G477+H477+K477),0)</f>
        <v>0</v>
      </c>
      <c r="U477" s="17" t="str">
        <f>C477</f>
        <v>16HIB</v>
      </c>
      <c r="V477" s="18">
        <f ca="1">IF(ISERROR(SUM(G478:K478)/SUM(L477:Q477,S477)),0,SUM(G478:K478)/SUM(L477:Q477,S477))</f>
        <v>0</v>
      </c>
      <c r="W477" s="19">
        <f ca="1">V477</f>
        <v>0</v>
      </c>
      <c r="X477" s="20">
        <f ca="1">W477/1000</f>
        <v>0</v>
      </c>
    </row>
    <row r="478" spans="1:24">
      <c r="A478" s="201"/>
      <c r="B478" s="201"/>
      <c r="C478" s="201"/>
      <c r="D478" s="199"/>
      <c r="E478" s="199"/>
      <c r="F478" s="21" t="s">
        <v>247</v>
      </c>
      <c r="G478" s="22" t="s">
        <v>254</v>
      </c>
      <c r="H478" s="184"/>
      <c r="I478" s="23">
        <f ca="1">I477*労務費経費単価SC!D$7</f>
        <v>0</v>
      </c>
      <c r="J478" s="23">
        <f ca="1">J477*労務費経費単価SC!D$11</f>
        <v>0</v>
      </c>
      <c r="K478" s="22">
        <f ca="1">K477*$E477</f>
        <v>0</v>
      </c>
      <c r="L478" s="22">
        <f ca="1">L477*$E477</f>
        <v>0</v>
      </c>
      <c r="M478" s="22">
        <f t="shared" ref="M478" ca="1" si="1646">M477*$E477</f>
        <v>0</v>
      </c>
      <c r="N478" s="22">
        <f t="shared" ref="N478" ca="1" si="1647">N477*$E477</f>
        <v>0</v>
      </c>
      <c r="O478" s="22">
        <f t="shared" ref="O478" ca="1" si="1648">O477*$E477</f>
        <v>0</v>
      </c>
      <c r="P478" s="22">
        <f t="shared" ref="P478" ca="1" si="1649">P477*$E477</f>
        <v>0</v>
      </c>
      <c r="Q478" s="22">
        <f t="shared" ref="Q478" ca="1" si="1650">Q477*$E477</f>
        <v>0</v>
      </c>
      <c r="R478" s="22">
        <f t="shared" ref="R478" ca="1" si="1651">R477*$E477</f>
        <v>0</v>
      </c>
      <c r="S478" s="22">
        <f t="shared" ref="S478" ca="1" si="1652">S477*$E477</f>
        <v>0</v>
      </c>
      <c r="U478" s="17"/>
      <c r="V478" s="18"/>
      <c r="W478" s="19"/>
      <c r="X478" s="20"/>
    </row>
    <row r="479" spans="1:24">
      <c r="A479" s="200"/>
      <c r="B479" s="211"/>
      <c r="C479" s="200" t="s">
        <v>108</v>
      </c>
      <c r="D479" s="199" t="str">
        <f>VLOOKUP(C479,'仕掛品名寄（貼付）'!B:C,2,FALSE)</f>
        <v>その他</v>
      </c>
      <c r="E479" s="199">
        <f>VLOOKUP(D479,'仕掛品標準単価一覧表（貼付）'!B:G,6,FALSE)</f>
        <v>1080</v>
      </c>
      <c r="F479" s="12" t="s">
        <v>246</v>
      </c>
      <c r="G479" s="13">
        <v>1096</v>
      </c>
      <c r="H479" s="13">
        <f ca="1">SUMIF('1.3②原材料使用'!B:E,C479,'1.3②原材料使用'!E:E)</f>
        <v>0</v>
      </c>
      <c r="I479" s="13">
        <f ca="1">SUMIF('2.10原液別作業時間'!A:B,C479,'2.10原液別作業時間'!B:B)</f>
        <v>0</v>
      </c>
      <c r="J479" s="13">
        <f ca="1">SUM(G479:H479,K479)</f>
        <v>1096</v>
      </c>
      <c r="K479" s="13">
        <f ca="1">SUMIF('2.2⑤純増減→前工程費'!B:E,C479,'2.2⑤純増減→前工程費'!E:E)</f>
        <v>0</v>
      </c>
      <c r="L479" s="13">
        <f ca="1">SUMIF('2.6完成品'!C:D,C479,'2.6完成品'!D:D)</f>
        <v>0</v>
      </c>
      <c r="M479" s="13">
        <f ca="1">SUMIF('2.3研究費'!D:E,C479,'2.3研究費'!E:E)</f>
        <v>0</v>
      </c>
      <c r="N479" s="13">
        <f ca="1">SUMIF('2.4販促費'!D:E,C479,'2.4販促費'!E:E)</f>
        <v>0</v>
      </c>
      <c r="O479" s="13">
        <f ca="1">SUMIF('2.5廃棄処分'!D:E,C479,'2.5廃棄処分'!E:E)</f>
        <v>0</v>
      </c>
      <c r="P479" s="13">
        <f ca="1">SUMIF('2.1④異種原液'!D:E,C479,'2.1④異種原液'!E:E)</f>
        <v>0</v>
      </c>
      <c r="Q479" s="14">
        <f ca="1">SUMIF('2.7製造部生産分'!D:I,C479,'2.7製造部生産分'!H:H)</f>
        <v>0</v>
      </c>
      <c r="R479" s="15">
        <f ca="1">-(G479+H479+K479-L479-M479-N479-O479-P479-Q479-S479)</f>
        <v>0</v>
      </c>
      <c r="S479" s="13">
        <f ca="1">SUMIF('2.9原液在庫'!B:H,C479,'2.9原液在庫'!H:H)</f>
        <v>1096</v>
      </c>
      <c r="T479" s="16">
        <f ca="1">IFERROR(SUM(G480:K480)/(G479+H479+K479),0)</f>
        <v>1160.1077217336606</v>
      </c>
      <c r="U479" s="17" t="str">
        <f>C479</f>
        <v>16HIﾊﾟB</v>
      </c>
      <c r="V479" s="18">
        <f ca="1">IF(ISERROR(SUM(G480:K480)/SUM(L479:Q479,S479)),0,SUM(G480:K480)/SUM(L479:Q479,S479))</f>
        <v>1160.1077217336606</v>
      </c>
      <c r="W479" s="19">
        <f ca="1">V479</f>
        <v>1160.1077217336606</v>
      </c>
      <c r="X479" s="20">
        <f ca="1">W479/1000</f>
        <v>1.1601077217336606</v>
      </c>
    </row>
    <row r="480" spans="1:24">
      <c r="A480" s="201"/>
      <c r="B480" s="201"/>
      <c r="C480" s="201"/>
      <c r="D480" s="199"/>
      <c r="E480" s="199"/>
      <c r="F480" s="21" t="s">
        <v>247</v>
      </c>
      <c r="G480" s="22">
        <v>1238598.063020092</v>
      </c>
      <c r="H480" s="184"/>
      <c r="I480" s="23">
        <f ca="1">I479*労務費経費単価SC!D$7</f>
        <v>0</v>
      </c>
      <c r="J480" s="23">
        <f ca="1">J479*労務費経費単価SC!D$11</f>
        <v>32880</v>
      </c>
      <c r="K480" s="22">
        <f ca="1">K479*$E479</f>
        <v>0</v>
      </c>
      <c r="L480" s="22">
        <f ca="1">L479*$E479</f>
        <v>0</v>
      </c>
      <c r="M480" s="22">
        <f t="shared" ref="M480" ca="1" si="1653">M479*$E479</f>
        <v>0</v>
      </c>
      <c r="N480" s="22">
        <f t="shared" ref="N480" ca="1" si="1654">N479*$E479</f>
        <v>0</v>
      </c>
      <c r="O480" s="22">
        <f t="shared" ref="O480" ca="1" si="1655">O479*$E479</f>
        <v>0</v>
      </c>
      <c r="P480" s="22">
        <f t="shared" ref="P480" ca="1" si="1656">P479*$E479</f>
        <v>0</v>
      </c>
      <c r="Q480" s="22">
        <f t="shared" ref="Q480" ca="1" si="1657">Q479*$E479</f>
        <v>0</v>
      </c>
      <c r="R480" s="22">
        <f t="shared" ref="R480" ca="1" si="1658">R479*$E479</f>
        <v>0</v>
      </c>
      <c r="S480" s="22">
        <f t="shared" ref="S480" ca="1" si="1659">S479*$E479</f>
        <v>1183680</v>
      </c>
      <c r="U480" s="17"/>
      <c r="V480" s="18"/>
      <c r="W480" s="19"/>
      <c r="X480" s="20"/>
    </row>
    <row r="481" spans="1:25">
      <c r="A481" s="200"/>
      <c r="B481" s="211"/>
      <c r="C481" s="200" t="s">
        <v>426</v>
      </c>
      <c r="D481" s="199" t="str">
        <f>VLOOKUP(C481,'仕掛品名寄（貼付）'!B:C,2,FALSE)</f>
        <v>RB</v>
      </c>
      <c r="E481" s="199">
        <f>VLOOKUP(D481,'仕掛品標準単価一覧表（貼付）'!B:G,6,FALSE)</f>
        <v>1026.5183999999999</v>
      </c>
      <c r="F481" s="12" t="s">
        <v>246</v>
      </c>
      <c r="G481" s="13">
        <v>0</v>
      </c>
      <c r="H481" s="13">
        <f ca="1">SUMIF('1.3②原材料使用'!B:E,C481,'1.3②原材料使用'!E:E)</f>
        <v>0</v>
      </c>
      <c r="I481" s="13">
        <f ca="1">SUMIF('2.10原液別作業時間'!A:B,C481,'2.10原液別作業時間'!B:B)</f>
        <v>0</v>
      </c>
      <c r="J481" s="13">
        <f ca="1">SUM(G481:H481,K481)</f>
        <v>0</v>
      </c>
      <c r="K481" s="13">
        <f ca="1">SUMIF('2.2⑤純増減→前工程費'!B:E,C481,'2.2⑤純増減→前工程費'!E:E)</f>
        <v>0</v>
      </c>
      <c r="L481" s="13">
        <f ca="1">SUMIF('2.6完成品'!C:D,C481,'2.6完成品'!D:D)</f>
        <v>0</v>
      </c>
      <c r="M481" s="13">
        <f ca="1">SUMIF('2.3研究費'!D:E,C481,'2.3研究費'!E:E)</f>
        <v>0</v>
      </c>
      <c r="N481" s="13">
        <f ca="1">SUMIF('2.4販促費'!D:E,C481,'2.4販促費'!E:E)</f>
        <v>0</v>
      </c>
      <c r="O481" s="13">
        <f ca="1">SUMIF('2.5廃棄処分'!D:E,C481,'2.5廃棄処分'!E:E)</f>
        <v>0</v>
      </c>
      <c r="P481" s="13">
        <f ca="1">SUMIF('2.1④異種原液'!D:E,C481,'2.1④異種原液'!E:E)</f>
        <v>0</v>
      </c>
      <c r="Q481" s="14">
        <f ca="1">SUMIF('2.7製造部生産分'!D:I,C481,'2.7製造部生産分'!H:H)</f>
        <v>0</v>
      </c>
      <c r="R481" s="15">
        <f ca="1">-(G481+H481+K481-L481-M481-N481-O481-P481-Q481-S481)</f>
        <v>0</v>
      </c>
      <c r="S481" s="13">
        <f ca="1">SUMIF('2.9原液在庫'!B:H,C481,'2.9原液在庫'!H:H)</f>
        <v>0</v>
      </c>
      <c r="T481" s="16">
        <f ca="1">IFERROR(SUM(G482:K482)/(G481+H481+K481),0)</f>
        <v>0</v>
      </c>
      <c r="U481" s="17" t="str">
        <f>C481</f>
        <v>17RB</v>
      </c>
      <c r="V481" s="18">
        <f ca="1">IF(ISERROR(SUM(G482:K482)/SUM(L481:Q481,S481)),0,SUM(G482:K482)/SUM(L481:Q481,S481))</f>
        <v>0</v>
      </c>
      <c r="W481" s="19">
        <f ca="1">V481</f>
        <v>0</v>
      </c>
      <c r="X481" s="20">
        <f ca="1">W481/1000</f>
        <v>0</v>
      </c>
    </row>
    <row r="482" spans="1:25">
      <c r="A482" s="201"/>
      <c r="B482" s="201"/>
      <c r="C482" s="201"/>
      <c r="D482" s="199"/>
      <c r="E482" s="199"/>
      <c r="F482" s="21" t="s">
        <v>247</v>
      </c>
      <c r="G482" s="22" t="s">
        <v>254</v>
      </c>
      <c r="H482" s="184"/>
      <c r="I482" s="23">
        <f ca="1">I481*労務費経費単価SC!D$7</f>
        <v>0</v>
      </c>
      <c r="J482" s="23">
        <f ca="1">J481*労務費経費単価SC!D$11</f>
        <v>0</v>
      </c>
      <c r="K482" s="22">
        <f ca="1">K481*$E481</f>
        <v>0</v>
      </c>
      <c r="L482" s="22">
        <f ca="1">L481*$E481</f>
        <v>0</v>
      </c>
      <c r="M482" s="22">
        <f t="shared" ref="M482" ca="1" si="1660">M481*$E481</f>
        <v>0</v>
      </c>
      <c r="N482" s="22">
        <f t="shared" ref="N482" ca="1" si="1661">N481*$E481</f>
        <v>0</v>
      </c>
      <c r="O482" s="22">
        <f t="shared" ref="O482" ca="1" si="1662">O481*$E481</f>
        <v>0</v>
      </c>
      <c r="P482" s="22">
        <f t="shared" ref="P482" ca="1" si="1663">P481*$E481</f>
        <v>0</v>
      </c>
      <c r="Q482" s="22">
        <f t="shared" ref="Q482" ca="1" si="1664">Q481*$E481</f>
        <v>0</v>
      </c>
      <c r="R482" s="22">
        <f t="shared" ref="R482" ca="1" si="1665">R481*$E481</f>
        <v>0</v>
      </c>
      <c r="S482" s="22">
        <f t="shared" ref="S482" ca="1" si="1666">S481*$E481</f>
        <v>0</v>
      </c>
      <c r="U482" s="17"/>
      <c r="V482" s="18"/>
      <c r="W482" s="19"/>
      <c r="X482" s="20"/>
    </row>
    <row r="483" spans="1:25" ht="18">
      <c r="A483" s="200"/>
      <c r="B483" s="211"/>
      <c r="C483" s="200" t="s">
        <v>110</v>
      </c>
      <c r="D483" s="199" t="str">
        <f>VLOOKUP(C483,'仕掛品名寄（貼付）'!B:C,2,FALSE)</f>
        <v>HIB</v>
      </c>
      <c r="E483" s="199">
        <f>VLOOKUP(D483,'仕掛品標準単価一覧表（貼付）'!B:G,6,FALSE)</f>
        <v>1284</v>
      </c>
      <c r="F483" s="12" t="s">
        <v>246</v>
      </c>
      <c r="G483" s="13">
        <v>0</v>
      </c>
      <c r="H483" s="13">
        <f ca="1">SUMIF('1.3②原材料使用'!B:E,C483,'1.3②原材料使用'!E:E)</f>
        <v>0</v>
      </c>
      <c r="I483" s="13">
        <f ca="1">SUMIF('2.10原液別作業時間'!A:B,C483,'2.10原液別作業時間'!B:B)</f>
        <v>0</v>
      </c>
      <c r="J483" s="13">
        <f ca="1">SUM(G483:H483,K483)</f>
        <v>0</v>
      </c>
      <c r="K483" s="13">
        <f ca="1">SUMIF('2.2⑤純増減→前工程費'!B:E,C483,'2.2⑤純増減→前工程費'!E:E)</f>
        <v>0</v>
      </c>
      <c r="L483" s="13">
        <f ca="1">SUMIF('2.6完成品'!C:D,C483,'2.6完成品'!D:D)</f>
        <v>0</v>
      </c>
      <c r="M483" s="13">
        <f ca="1">SUMIF('2.3研究費'!D:E,C483,'2.3研究費'!E:E)</f>
        <v>0</v>
      </c>
      <c r="N483" s="13">
        <f ca="1">SUMIF('2.4販促費'!D:E,C483,'2.4販促費'!E:E)</f>
        <v>0</v>
      </c>
      <c r="O483" s="13">
        <f ca="1">SUMIF('2.5廃棄処分'!D:E,C483,'2.5廃棄処分'!E:E)</f>
        <v>0</v>
      </c>
      <c r="P483" s="13">
        <f ca="1">SUMIF('2.1④異種原液'!D:E,C483,'2.1④異種原液'!E:E)</f>
        <v>0</v>
      </c>
      <c r="Q483" s="14">
        <f ca="1">SUMIF('2.7製造部生産分'!D:I,C483,'2.7製造部生産分'!H:H)</f>
        <v>0</v>
      </c>
      <c r="R483" s="15">
        <f ca="1">-(G483+H483+K483-L483-M483-N483-O483-P483-Q483-S483)</f>
        <v>0</v>
      </c>
      <c r="S483" s="13">
        <f ca="1">SUMIF('2.9原液在庫'!B:H,C483,'2.9原液在庫'!H:H)</f>
        <v>0</v>
      </c>
      <c r="T483" s="16">
        <f ca="1">IFERROR(SUM(G484:K484)/(G483+H483+K483),0)</f>
        <v>0</v>
      </c>
      <c r="U483" s="17" t="str">
        <f>C483</f>
        <v>17HIB</v>
      </c>
      <c r="V483" s="18">
        <f ca="1">IF(ISERROR(SUM(G484:K484)/SUM(L483:Q483,S483)),0,SUM(G484:K484)/SUM(L483:Q483,S483))</f>
        <v>0</v>
      </c>
      <c r="W483" s="19">
        <f ca="1">V483</f>
        <v>0</v>
      </c>
      <c r="X483" s="20">
        <f ca="1">W483/1000</f>
        <v>0</v>
      </c>
      <c r="Y483" s="26" t="s">
        <v>427</v>
      </c>
    </row>
    <row r="484" spans="1:25">
      <c r="A484" s="201"/>
      <c r="B484" s="201"/>
      <c r="C484" s="201"/>
      <c r="D484" s="199"/>
      <c r="E484" s="199"/>
      <c r="F484" s="21" t="s">
        <v>247</v>
      </c>
      <c r="G484" s="22" t="s">
        <v>254</v>
      </c>
      <c r="H484" s="184"/>
      <c r="I484" s="23">
        <f ca="1">I483*労務費経費単価SC!D$7</f>
        <v>0</v>
      </c>
      <c r="J484" s="23">
        <f ca="1">J483*労務費経費単価SC!D$11</f>
        <v>0</v>
      </c>
      <c r="K484" s="22">
        <f ca="1">K483*$E483</f>
        <v>0</v>
      </c>
      <c r="L484" s="22">
        <f ca="1">L483*$E483</f>
        <v>0</v>
      </c>
      <c r="M484" s="22">
        <f t="shared" ref="M484" ca="1" si="1667">M483*$E483</f>
        <v>0</v>
      </c>
      <c r="N484" s="22">
        <f t="shared" ref="N484" ca="1" si="1668">N483*$E483</f>
        <v>0</v>
      </c>
      <c r="O484" s="22">
        <f t="shared" ref="O484" ca="1" si="1669">O483*$E483</f>
        <v>0</v>
      </c>
      <c r="P484" s="22">
        <f t="shared" ref="P484" ca="1" si="1670">P483*$E483</f>
        <v>0</v>
      </c>
      <c r="Q484" s="22">
        <f t="shared" ref="Q484" ca="1" si="1671">Q483*$E483</f>
        <v>0</v>
      </c>
      <c r="R484" s="22">
        <f t="shared" ref="R484" ca="1" si="1672">R483*$E483</f>
        <v>0</v>
      </c>
      <c r="S484" s="22">
        <f t="shared" ref="S484" ca="1" si="1673">S483*$E483</f>
        <v>0</v>
      </c>
      <c r="U484" s="17"/>
      <c r="V484" s="18"/>
      <c r="W484" s="19"/>
      <c r="X484" s="20"/>
    </row>
    <row r="485" spans="1:25">
      <c r="A485" s="200"/>
      <c r="B485" s="211"/>
      <c r="C485" s="200" t="s">
        <v>111</v>
      </c>
      <c r="D485" s="199" t="str">
        <f>VLOOKUP(C485,'仕掛品名寄（貼付）'!B:C,2,FALSE)</f>
        <v>その他</v>
      </c>
      <c r="E485" s="199">
        <f>VLOOKUP(D485,'仕掛品標準単価一覧表（貼付）'!B:G,6,FALSE)</f>
        <v>1080</v>
      </c>
      <c r="F485" s="12" t="s">
        <v>246</v>
      </c>
      <c r="G485" s="13">
        <v>0</v>
      </c>
      <c r="H485" s="13">
        <f ca="1">SUMIF('1.3②原材料使用'!B:E,C485,'1.3②原材料使用'!E:E)</f>
        <v>0</v>
      </c>
      <c r="I485" s="13">
        <f ca="1">SUMIF('2.10原液別作業時間'!A:B,C485,'2.10原液別作業時間'!B:B)</f>
        <v>0</v>
      </c>
      <c r="J485" s="13">
        <f ca="1">SUM(G485:H485,K485)</f>
        <v>0</v>
      </c>
      <c r="K485" s="13">
        <f ca="1">SUMIF('2.2⑤純増減→前工程費'!B:E,C485,'2.2⑤純増減→前工程費'!E:E)</f>
        <v>0</v>
      </c>
      <c r="L485" s="13">
        <f ca="1">SUMIF('2.6完成品'!C:D,C485,'2.6完成品'!D:D)</f>
        <v>0</v>
      </c>
      <c r="M485" s="13">
        <f ca="1">SUMIF('2.3研究費'!D:E,C485,'2.3研究費'!E:E)</f>
        <v>0</v>
      </c>
      <c r="N485" s="13">
        <f ca="1">SUMIF('2.4販促費'!D:E,C485,'2.4販促費'!E:E)</f>
        <v>0</v>
      </c>
      <c r="O485" s="13">
        <f ca="1">SUMIF('2.5廃棄処分'!D:E,C485,'2.5廃棄処分'!E:E)</f>
        <v>0</v>
      </c>
      <c r="P485" s="13">
        <f ca="1">SUMIF('2.1④異種原液'!D:E,C485,'2.1④異種原液'!E:E)</f>
        <v>0</v>
      </c>
      <c r="Q485" s="14">
        <f ca="1">SUMIF('2.7製造部生産分'!D:I,C485,'2.7製造部生産分'!H:H)</f>
        <v>0</v>
      </c>
      <c r="R485" s="15">
        <f ca="1">-(G485+H485+K485-L485-M485-N485-O485-P485-Q485-S485)</f>
        <v>0</v>
      </c>
      <c r="S485" s="13">
        <f ca="1">SUMIF('2.9原液在庫'!B:H,C485,'2.9原液在庫'!H:H)</f>
        <v>0</v>
      </c>
      <c r="T485" s="16">
        <f ca="1">IFERROR(SUM(G486:K486)/(G485+H485+K485),0)</f>
        <v>0</v>
      </c>
      <c r="U485" s="17" t="str">
        <f>C485</f>
        <v>BLB</v>
      </c>
      <c r="V485" s="18">
        <f ca="1">IF(ISERROR(SUM(G486:K486)/SUM(L485:Q485,S485)),0,SUM(G486:K486)/SUM(L485:Q485,S485))</f>
        <v>0</v>
      </c>
      <c r="W485" s="19">
        <f ca="1">V485</f>
        <v>0</v>
      </c>
      <c r="X485" s="20">
        <f ca="1">W485/1000</f>
        <v>0</v>
      </c>
    </row>
    <row r="486" spans="1:25">
      <c r="A486" s="201"/>
      <c r="B486" s="201"/>
      <c r="C486" s="201"/>
      <c r="D486" s="199"/>
      <c r="E486" s="199"/>
      <c r="F486" s="21" t="s">
        <v>247</v>
      </c>
      <c r="G486" s="22" t="s">
        <v>254</v>
      </c>
      <c r="H486" s="184"/>
      <c r="I486" s="23">
        <f ca="1">I485*労務費経費単価SC!D$7</f>
        <v>0</v>
      </c>
      <c r="J486" s="23">
        <f ca="1">J485*労務費経費単価SC!D$11</f>
        <v>0</v>
      </c>
      <c r="K486" s="22">
        <f ca="1">K485*$E485</f>
        <v>0</v>
      </c>
      <c r="L486" s="22">
        <f ca="1">L485*$E485</f>
        <v>0</v>
      </c>
      <c r="M486" s="22">
        <f t="shared" ref="M486" ca="1" si="1674">M485*$E485</f>
        <v>0</v>
      </c>
      <c r="N486" s="22">
        <f t="shared" ref="N486" ca="1" si="1675">N485*$E485</f>
        <v>0</v>
      </c>
      <c r="O486" s="22">
        <f t="shared" ref="O486" ca="1" si="1676">O485*$E485</f>
        <v>0</v>
      </c>
      <c r="P486" s="22">
        <f t="shared" ref="P486" ca="1" si="1677">P485*$E485</f>
        <v>0</v>
      </c>
      <c r="Q486" s="22">
        <f t="shared" ref="Q486" ca="1" si="1678">Q485*$E485</f>
        <v>0</v>
      </c>
      <c r="R486" s="22">
        <f t="shared" ref="R486" ca="1" si="1679">R485*$E485</f>
        <v>0</v>
      </c>
      <c r="S486" s="22">
        <f t="shared" ref="S486" ca="1" si="1680">S485*$E485</f>
        <v>0</v>
      </c>
      <c r="U486" s="17"/>
      <c r="V486" s="18"/>
      <c r="W486" s="19"/>
      <c r="X486" s="20"/>
    </row>
    <row r="487" spans="1:25">
      <c r="A487" s="200"/>
      <c r="B487" s="211"/>
      <c r="C487" s="200" t="s">
        <v>112</v>
      </c>
      <c r="D487" s="199" t="str">
        <f>VLOOKUP(C487,'仕掛品名寄（貼付）'!B:C,2,FALSE)</f>
        <v>その他</v>
      </c>
      <c r="E487" s="199">
        <f>VLOOKUP(D487,'仕掛品標準単価一覧表（貼付）'!B:G,6,FALSE)</f>
        <v>1080</v>
      </c>
      <c r="F487" s="12" t="s">
        <v>246</v>
      </c>
      <c r="G487" s="13">
        <v>392.5</v>
      </c>
      <c r="H487" s="13">
        <f ca="1">SUMIF('1.3②原材料使用'!B:E,C487,'1.3②原材料使用'!E:E)</f>
        <v>0</v>
      </c>
      <c r="I487" s="13">
        <f ca="1">SUMIF('2.10原液別作業時間'!A:B,C487,'2.10原液別作業時間'!B:B)</f>
        <v>0</v>
      </c>
      <c r="J487" s="13">
        <f ca="1">SUM(G487:H487,K487)</f>
        <v>794.5</v>
      </c>
      <c r="K487" s="13">
        <f ca="1">SUMIF('2.2⑤純増減→前工程費'!B:E,C487,'2.2⑤純増減→前工程費'!E:E)</f>
        <v>402</v>
      </c>
      <c r="L487" s="13">
        <f ca="1">SUMIF('2.6完成品'!C:D,C487,'2.6完成品'!D:D)</f>
        <v>0</v>
      </c>
      <c r="M487" s="13">
        <f ca="1">SUMIF('2.3研究費'!D:E,C487,'2.3研究費'!E:E)</f>
        <v>0</v>
      </c>
      <c r="N487" s="13">
        <f ca="1">SUMIF('2.4販促費'!D:E,C487,'2.4販促費'!E:E)</f>
        <v>0</v>
      </c>
      <c r="O487" s="13">
        <f ca="1">SUMIF('2.5廃棄処分'!D:E,C487,'2.5廃棄処分'!E:E)</f>
        <v>0</v>
      </c>
      <c r="P487" s="13">
        <f ca="1">SUMIF('2.1④異種原液'!D:E,C487,'2.1④異種原液'!E:E)</f>
        <v>402</v>
      </c>
      <c r="Q487" s="14">
        <f ca="1">SUMIF('2.7製造部生産分'!D:I,C487,'2.7製造部生産分'!H:H)</f>
        <v>0</v>
      </c>
      <c r="R487" s="15">
        <f ca="1">-(G487+H487+K487-L487-M487-N487-O487-P487-Q487-S487)</f>
        <v>0</v>
      </c>
      <c r="S487" s="13">
        <f ca="1">SUMIF('2.9原液在庫'!B:H,C487,'2.9原液在庫'!H:H)</f>
        <v>392.5</v>
      </c>
      <c r="T487" s="16">
        <f ca="1">IFERROR(SUM(G488:K488)/(G487+H487+K487),0)</f>
        <v>1207.3500435742587</v>
      </c>
      <c r="U487" s="17" t="str">
        <f>C487</f>
        <v>231B</v>
      </c>
      <c r="V487" s="18">
        <f ca="1">IF(ISERROR(SUM(G488:K488)/SUM(L487:Q487,S487)),0,SUM(G488:K488)/SUM(L487:Q487,S487))</f>
        <v>1207.3500435742587</v>
      </c>
      <c r="W487" s="19">
        <f ca="1">V487</f>
        <v>1207.3500435742587</v>
      </c>
      <c r="X487" s="20">
        <f ca="1">W487/1000</f>
        <v>1.2073500435742588</v>
      </c>
    </row>
    <row r="488" spans="1:25">
      <c r="A488" s="201"/>
      <c r="B488" s="201"/>
      <c r="C488" s="201"/>
      <c r="D488" s="199"/>
      <c r="E488" s="199"/>
      <c r="F488" s="21" t="s">
        <v>247</v>
      </c>
      <c r="G488" s="22">
        <v>501244.60961974855</v>
      </c>
      <c r="H488" s="184"/>
      <c r="I488" s="23">
        <f ca="1">I487*労務費経費単価SC!D$7</f>
        <v>0</v>
      </c>
      <c r="J488" s="23">
        <f ca="1">J487*労務費経費単価SC!D$11</f>
        <v>23835</v>
      </c>
      <c r="K488" s="22">
        <f ca="1">K487*$E487</f>
        <v>434160</v>
      </c>
      <c r="L488" s="22">
        <f ca="1">L487*$E487</f>
        <v>0</v>
      </c>
      <c r="M488" s="22">
        <f t="shared" ref="M488" ca="1" si="1681">M487*$E487</f>
        <v>0</v>
      </c>
      <c r="N488" s="22">
        <f t="shared" ref="N488" ca="1" si="1682">N487*$E487</f>
        <v>0</v>
      </c>
      <c r="O488" s="22">
        <f t="shared" ref="O488" ca="1" si="1683">O487*$E487</f>
        <v>0</v>
      </c>
      <c r="P488" s="22">
        <f t="shared" ref="P488" ca="1" si="1684">P487*$E487</f>
        <v>434160</v>
      </c>
      <c r="Q488" s="22">
        <f t="shared" ref="Q488" ca="1" si="1685">Q487*$E487</f>
        <v>0</v>
      </c>
      <c r="R488" s="22">
        <f t="shared" ref="R488" ca="1" si="1686">R487*$E487</f>
        <v>0</v>
      </c>
      <c r="S488" s="22">
        <f t="shared" ref="S488" ca="1" si="1687">S487*$E487</f>
        <v>423900</v>
      </c>
      <c r="U488" s="17"/>
      <c r="V488" s="18"/>
      <c r="W488" s="19"/>
      <c r="X488" s="20"/>
    </row>
    <row r="489" spans="1:25">
      <c r="A489" s="200"/>
      <c r="B489" s="211"/>
      <c r="C489" s="200" t="s">
        <v>113</v>
      </c>
      <c r="D489" s="199" t="str">
        <f>VLOOKUP(C489,'仕掛品名寄（貼付）'!B:C,2,FALSE)</f>
        <v>RB</v>
      </c>
      <c r="E489" s="199">
        <f>VLOOKUP(D489,'仕掛品標準単価一覧表（貼付）'!B:G,6,FALSE)</f>
        <v>1026.5183999999999</v>
      </c>
      <c r="F489" s="12" t="s">
        <v>246</v>
      </c>
      <c r="G489" s="13">
        <v>0</v>
      </c>
      <c r="H489" s="13">
        <f ca="1">SUMIF('1.3②原材料使用'!B:E,C489,'1.3②原材料使用'!E:E)</f>
        <v>0</v>
      </c>
      <c r="I489" s="13">
        <f ca="1">SUMIF('2.10原液別作業時間'!A:B,C489,'2.10原液別作業時間'!B:B)</f>
        <v>0</v>
      </c>
      <c r="J489" s="13">
        <f ca="1">SUM(G489:H489,K489)</f>
        <v>0</v>
      </c>
      <c r="K489" s="13">
        <f ca="1">SUMIF('2.2⑤純増減→前工程費'!B:E,C489,'2.2⑤純増減→前工程費'!E:E)</f>
        <v>0</v>
      </c>
      <c r="L489" s="13">
        <f ca="1">SUMIF('2.6完成品'!C:D,C489,'2.6完成品'!D:D)</f>
        <v>0</v>
      </c>
      <c r="M489" s="13">
        <f ca="1">SUMIF('2.3研究費'!D:E,C489,'2.3研究費'!E:E)</f>
        <v>0</v>
      </c>
      <c r="N489" s="13">
        <f ca="1">SUMIF('2.4販促費'!D:E,C489,'2.4販促費'!E:E)</f>
        <v>0</v>
      </c>
      <c r="O489" s="13">
        <f ca="1">SUMIF('2.5廃棄処分'!D:E,C489,'2.5廃棄処分'!E:E)</f>
        <v>0</v>
      </c>
      <c r="P489" s="13">
        <f ca="1">SUMIF('2.1④異種原液'!D:E,C489,'2.1④異種原液'!E:E)</f>
        <v>0</v>
      </c>
      <c r="Q489" s="14">
        <f ca="1">SUMIF('2.7製造部生産分'!D:I,C489,'2.7製造部生産分'!H:H)</f>
        <v>0</v>
      </c>
      <c r="R489" s="15">
        <f ca="1">-(G489+H489+K489-L489-M489-N489-O489-P489-Q489-S489)</f>
        <v>0</v>
      </c>
      <c r="S489" s="13">
        <f ca="1">SUMIF('2.9原液在庫'!B:H,C489,'2.9原液在庫'!H:H)</f>
        <v>0</v>
      </c>
      <c r="T489" s="16">
        <f ca="1">IFERROR(SUM(G490:K490)/(G489+H489+K489),0)</f>
        <v>0</v>
      </c>
      <c r="U489" s="17" t="str">
        <f>C489</f>
        <v>18RB</v>
      </c>
      <c r="V489" s="18">
        <f ca="1">IF(ISERROR(SUM(G490:K490)/SUM(L489:Q489,S489)),0,SUM(G490:K490)/SUM(L489:Q489,S489))</f>
        <v>0</v>
      </c>
      <c r="W489" s="19">
        <f ca="1">V489</f>
        <v>0</v>
      </c>
      <c r="X489" s="20">
        <f ca="1">W489/1000</f>
        <v>0</v>
      </c>
    </row>
    <row r="490" spans="1:25">
      <c r="A490" s="201"/>
      <c r="B490" s="201"/>
      <c r="C490" s="201"/>
      <c r="D490" s="199"/>
      <c r="E490" s="199"/>
      <c r="F490" s="21" t="s">
        <v>247</v>
      </c>
      <c r="G490" s="22" t="s">
        <v>254</v>
      </c>
      <c r="H490" s="184"/>
      <c r="I490" s="23">
        <f ca="1">I489*労務費経費単価SC!D$7</f>
        <v>0</v>
      </c>
      <c r="J490" s="23">
        <f ca="1">J489*労務費経費単価SC!D$11</f>
        <v>0</v>
      </c>
      <c r="K490" s="22">
        <f ca="1">K489*$E489</f>
        <v>0</v>
      </c>
      <c r="L490" s="22">
        <f ca="1">L489*$E489</f>
        <v>0</v>
      </c>
      <c r="M490" s="22">
        <f t="shared" ref="M490" ca="1" si="1688">M489*$E489</f>
        <v>0</v>
      </c>
      <c r="N490" s="22">
        <f t="shared" ref="N490" ca="1" si="1689">N489*$E489</f>
        <v>0</v>
      </c>
      <c r="O490" s="22">
        <f t="shared" ref="O490" ca="1" si="1690">O489*$E489</f>
        <v>0</v>
      </c>
      <c r="P490" s="22">
        <f t="shared" ref="P490" ca="1" si="1691">P489*$E489</f>
        <v>0</v>
      </c>
      <c r="Q490" s="22">
        <f t="shared" ref="Q490" ca="1" si="1692">Q489*$E489</f>
        <v>0</v>
      </c>
      <c r="R490" s="22">
        <f t="shared" ref="R490" ca="1" si="1693">R489*$E489</f>
        <v>0</v>
      </c>
      <c r="S490" s="22">
        <f t="shared" ref="S490" ca="1" si="1694">S489*$E489</f>
        <v>0</v>
      </c>
      <c r="U490" s="17"/>
      <c r="V490" s="18"/>
      <c r="W490" s="19"/>
      <c r="X490" s="20"/>
    </row>
    <row r="491" spans="1:25">
      <c r="A491" s="200"/>
      <c r="B491" s="211"/>
      <c r="C491" s="200" t="s">
        <v>114</v>
      </c>
      <c r="D491" s="199" t="str">
        <f>VLOOKUP(C491,'仕掛品名寄（貼付）'!B:C,2,FALSE)</f>
        <v>その他</v>
      </c>
      <c r="E491" s="199">
        <f>VLOOKUP(D491,'仕掛品標準単価一覧表（貼付）'!B:G,6,FALSE)</f>
        <v>1080</v>
      </c>
      <c r="F491" s="12" t="s">
        <v>246</v>
      </c>
      <c r="G491" s="13">
        <v>0</v>
      </c>
      <c r="H491" s="13">
        <f ca="1">SUMIF('1.3②原材料使用'!B:E,C491,'1.3②原材料使用'!E:E)</f>
        <v>0</v>
      </c>
      <c r="I491" s="13">
        <f ca="1">SUMIF('2.10原液別作業時間'!A:B,C491,'2.10原液別作業時間'!B:B)</f>
        <v>0</v>
      </c>
      <c r="J491" s="13">
        <f ca="1">SUM(G491:H491,K491)</f>
        <v>0</v>
      </c>
      <c r="K491" s="13">
        <f ca="1">SUMIF('2.2⑤純増減→前工程費'!B:E,C491,'2.2⑤純増減→前工程費'!E:E)</f>
        <v>0</v>
      </c>
      <c r="L491" s="13">
        <f ca="1">SUMIF('2.6完成品'!C:D,C491,'2.6完成品'!D:D)</f>
        <v>0</v>
      </c>
      <c r="M491" s="13">
        <f ca="1">SUMIF('2.3研究費'!D:E,C491,'2.3研究費'!E:E)</f>
        <v>0</v>
      </c>
      <c r="N491" s="13">
        <f ca="1">SUMIF('2.4販促費'!D:E,C491,'2.4販促費'!E:E)</f>
        <v>0</v>
      </c>
      <c r="O491" s="13">
        <f ca="1">SUMIF('2.5廃棄処分'!D:E,C491,'2.5廃棄処分'!E:E)</f>
        <v>0</v>
      </c>
      <c r="P491" s="13">
        <f ca="1">SUMIF('2.1④異種原液'!D:E,C491,'2.1④異種原液'!E:E)</f>
        <v>0</v>
      </c>
      <c r="Q491" s="14">
        <f ca="1">SUMIF('2.7製造部生産分'!D:I,C491,'2.7製造部生産分'!H:H)</f>
        <v>0</v>
      </c>
      <c r="R491" s="15">
        <f ca="1">-(G491+H491+K491-L491-M491-N491-O491-P491-Q491-S491)</f>
        <v>0</v>
      </c>
      <c r="S491" s="13">
        <f ca="1">SUMIF('2.9原液在庫'!B:H,C491,'2.9原液在庫'!H:H)</f>
        <v>0</v>
      </c>
      <c r="T491" s="16">
        <f ca="1">IFERROR(SUM(G492:K492)/(G491+H491+K491),0)</f>
        <v>0</v>
      </c>
      <c r="U491" s="17" t="str">
        <f>C491</f>
        <v>赤No.18RB</v>
      </c>
      <c r="V491" s="18">
        <f ca="1">IF(ISERROR(SUM(G492:K492)/SUM(L491:Q491,S491)),0,SUM(G492:K492)/SUM(L491:Q491,S491))</f>
        <v>0</v>
      </c>
      <c r="W491" s="19">
        <f ca="1">V491</f>
        <v>0</v>
      </c>
      <c r="X491" s="20">
        <f ca="1">W491/1000</f>
        <v>0</v>
      </c>
    </row>
    <row r="492" spans="1:25">
      <c r="A492" s="201"/>
      <c r="B492" s="201"/>
      <c r="C492" s="201"/>
      <c r="D492" s="199"/>
      <c r="E492" s="199"/>
      <c r="F492" s="21" t="s">
        <v>247</v>
      </c>
      <c r="G492" s="22" t="s">
        <v>254</v>
      </c>
      <c r="H492" s="184"/>
      <c r="I492" s="23">
        <f ca="1">I491*労務費経費単価SC!D$7</f>
        <v>0</v>
      </c>
      <c r="J492" s="23">
        <f ca="1">J491*労務費経費単価SC!D$11</f>
        <v>0</v>
      </c>
      <c r="K492" s="22">
        <f ca="1">K491*$E491</f>
        <v>0</v>
      </c>
      <c r="L492" s="22">
        <f ca="1">L491*$E491</f>
        <v>0</v>
      </c>
      <c r="M492" s="22">
        <f t="shared" ref="M492" ca="1" si="1695">M491*$E491</f>
        <v>0</v>
      </c>
      <c r="N492" s="22">
        <f t="shared" ref="N492" ca="1" si="1696">N491*$E491</f>
        <v>0</v>
      </c>
      <c r="O492" s="22">
        <f t="shared" ref="O492" ca="1" si="1697">O491*$E491</f>
        <v>0</v>
      </c>
      <c r="P492" s="22">
        <f t="shared" ref="P492" ca="1" si="1698">P491*$E491</f>
        <v>0</v>
      </c>
      <c r="Q492" s="22">
        <f t="shared" ref="Q492" ca="1" si="1699">Q491*$E491</f>
        <v>0</v>
      </c>
      <c r="R492" s="22">
        <f t="shared" ref="R492" ca="1" si="1700">R491*$E491</f>
        <v>0</v>
      </c>
      <c r="S492" s="22">
        <f t="shared" ref="S492" ca="1" si="1701">S491*$E491</f>
        <v>0</v>
      </c>
      <c r="U492" s="17"/>
      <c r="V492" s="18"/>
      <c r="W492" s="19"/>
      <c r="X492" s="20"/>
    </row>
    <row r="493" spans="1:25" ht="18">
      <c r="A493" s="200"/>
      <c r="B493" s="211"/>
      <c r="C493" s="200" t="s">
        <v>115</v>
      </c>
      <c r="D493" s="199" t="str">
        <f>VLOOKUP(C493,'仕掛品名寄（貼付）'!B:C,2,FALSE)</f>
        <v>RB</v>
      </c>
      <c r="E493" s="199">
        <f>VLOOKUP(D493,'仕掛品標準単価一覧表（貼付）'!B:G,6,FALSE)</f>
        <v>1026.5183999999999</v>
      </c>
      <c r="F493" s="12" t="s">
        <v>246</v>
      </c>
      <c r="G493" s="13">
        <v>0</v>
      </c>
      <c r="H493" s="13">
        <f ca="1">SUMIF('1.3②原材料使用'!B:E,C493,'1.3②原材料使用'!E:E)</f>
        <v>0</v>
      </c>
      <c r="I493" s="13">
        <f ca="1">SUMIF('2.10原液別作業時間'!A:B,C493,'2.10原液別作業時間'!B:B)</f>
        <v>0</v>
      </c>
      <c r="J493" s="13">
        <f ca="1">SUM(G493:H493,K493)</f>
        <v>0</v>
      </c>
      <c r="K493" s="13">
        <f ca="1">SUMIF('2.2⑤純増減→前工程費'!B:E,C493,'2.2⑤純増減→前工程費'!E:E)</f>
        <v>0</v>
      </c>
      <c r="L493" s="13">
        <f ca="1">SUMIF('2.6完成品'!C:D,C493,'2.6完成品'!D:D)</f>
        <v>0</v>
      </c>
      <c r="M493" s="13">
        <f ca="1">SUMIF('2.3研究費'!D:E,C493,'2.3研究費'!E:E)</f>
        <v>0</v>
      </c>
      <c r="N493" s="13">
        <f ca="1">SUMIF('2.4販促費'!D:E,C493,'2.4販促費'!E:E)</f>
        <v>0</v>
      </c>
      <c r="O493" s="13">
        <f ca="1">SUMIF('2.5廃棄処分'!D:E,C493,'2.5廃棄処分'!E:E)</f>
        <v>0</v>
      </c>
      <c r="P493" s="13">
        <f ca="1">SUMIF('2.1④異種原液'!D:E,C493,'2.1④異種原液'!E:E)</f>
        <v>0</v>
      </c>
      <c r="Q493" s="14">
        <f ca="1">SUMIF('2.7製造部生産分'!D:I,C493,'2.7製造部生産分'!H:H)</f>
        <v>0</v>
      </c>
      <c r="R493" s="15">
        <f ca="1">-(G493+H493+K493-L493-M493-N493-O493-P493-Q493-S493)</f>
        <v>0</v>
      </c>
      <c r="S493" s="13">
        <f ca="1">SUMIF('2.9原液在庫'!B:H,C493,'2.9原液在庫'!H:H)</f>
        <v>0</v>
      </c>
      <c r="T493" s="16">
        <f ca="1">IFERROR(SUM(G494:K494)/(G493+H493+K493),0)</f>
        <v>0</v>
      </c>
      <c r="U493" s="17" t="str">
        <f>C493</f>
        <v>19RB</v>
      </c>
      <c r="V493" s="18">
        <f ca="1">IF(ISERROR(SUM(G494:K494)/SUM(L493:Q493,S493)),0,SUM(G494:K494)/SUM(L493:Q493,S493))</f>
        <v>0</v>
      </c>
      <c r="W493" s="19">
        <f ca="1">V493</f>
        <v>0</v>
      </c>
      <c r="X493" s="20">
        <f ca="1">W493/1000</f>
        <v>0</v>
      </c>
      <c r="Y493" s="26" t="s">
        <v>427</v>
      </c>
    </row>
    <row r="494" spans="1:25">
      <c r="A494" s="201"/>
      <c r="B494" s="201"/>
      <c r="C494" s="201"/>
      <c r="D494" s="199"/>
      <c r="E494" s="199"/>
      <c r="F494" s="21" t="s">
        <v>247</v>
      </c>
      <c r="G494" s="22" t="s">
        <v>254</v>
      </c>
      <c r="H494" s="184"/>
      <c r="I494" s="23">
        <f ca="1">I493*労務費経費単価SC!D$7</f>
        <v>0</v>
      </c>
      <c r="J494" s="23">
        <f ca="1">J493*労務費経費単価SC!D$11</f>
        <v>0</v>
      </c>
      <c r="K494" s="22">
        <f ca="1">K493*$E493</f>
        <v>0</v>
      </c>
      <c r="L494" s="22">
        <f ca="1">L493*$E493</f>
        <v>0</v>
      </c>
      <c r="M494" s="22">
        <f t="shared" ref="M494" ca="1" si="1702">M493*$E493</f>
        <v>0</v>
      </c>
      <c r="N494" s="22">
        <f t="shared" ref="N494" ca="1" si="1703">N493*$E493</f>
        <v>0</v>
      </c>
      <c r="O494" s="22">
        <f t="shared" ref="O494" ca="1" si="1704">O493*$E493</f>
        <v>0</v>
      </c>
      <c r="P494" s="22">
        <f t="shared" ref="P494" ca="1" si="1705">P493*$E493</f>
        <v>0</v>
      </c>
      <c r="Q494" s="22">
        <f t="shared" ref="Q494" ca="1" si="1706">Q493*$E493</f>
        <v>0</v>
      </c>
      <c r="R494" s="22">
        <f t="shared" ref="R494" ca="1" si="1707">R493*$E493</f>
        <v>0</v>
      </c>
      <c r="S494" s="22">
        <f t="shared" ref="S494" ca="1" si="1708">S493*$E493</f>
        <v>0</v>
      </c>
      <c r="U494" s="17"/>
      <c r="V494" s="18"/>
      <c r="W494" s="19"/>
      <c r="X494" s="20"/>
    </row>
    <row r="495" spans="1:25">
      <c r="A495" s="200"/>
      <c r="B495" s="211"/>
      <c r="C495" s="200" t="s">
        <v>116</v>
      </c>
      <c r="D495" s="199" t="str">
        <f>VLOOKUP(C495,'仕掛品名寄（貼付）'!B:C,2,FALSE)</f>
        <v>RB</v>
      </c>
      <c r="E495" s="199">
        <f>VLOOKUP(D495,'仕掛品標準単価一覧表（貼付）'!B:G,6,FALSE)</f>
        <v>1026.5183999999999</v>
      </c>
      <c r="F495" s="12" t="s">
        <v>246</v>
      </c>
      <c r="G495" s="13">
        <v>0</v>
      </c>
      <c r="H495" s="13">
        <f ca="1">SUMIF('1.3②原材料使用'!B:E,C495,'1.3②原材料使用'!E:E)</f>
        <v>0</v>
      </c>
      <c r="I495" s="13">
        <f ca="1">SUMIF('2.10原液別作業時間'!A:B,C495,'2.10原液別作業時間'!B:B)</f>
        <v>0</v>
      </c>
      <c r="J495" s="13">
        <f ca="1">SUM(G495:H495,K495)</f>
        <v>0</v>
      </c>
      <c r="K495" s="13">
        <f ca="1">SUMIF('2.2⑤純増減→前工程費'!B:E,C495,'2.2⑤純増減→前工程費'!E:E)</f>
        <v>0</v>
      </c>
      <c r="L495" s="13">
        <f ca="1">SUMIF('2.6完成品'!C:D,C495,'2.6完成品'!D:D)</f>
        <v>0</v>
      </c>
      <c r="M495" s="13">
        <f ca="1">SUMIF('2.3研究費'!D:E,C495,'2.3研究費'!E:E)</f>
        <v>0</v>
      </c>
      <c r="N495" s="13">
        <f ca="1">SUMIF('2.4販促費'!D:E,C495,'2.4販促費'!E:E)</f>
        <v>0</v>
      </c>
      <c r="O495" s="13">
        <f ca="1">SUMIF('2.5廃棄処分'!D:E,C495,'2.5廃棄処分'!E:E)</f>
        <v>0</v>
      </c>
      <c r="P495" s="13">
        <f ca="1">SUMIF('2.1④異種原液'!D:E,C495,'2.1④異種原液'!E:E)</f>
        <v>0</v>
      </c>
      <c r="Q495" s="14">
        <f ca="1">SUMIF('2.7製造部生産分'!D:I,C495,'2.7製造部生産分'!H:H)</f>
        <v>0</v>
      </c>
      <c r="R495" s="15">
        <f ca="1">-(G495+H495+K495-L495-M495-N495-O495-P495-Q495-S495)</f>
        <v>0</v>
      </c>
      <c r="S495" s="13">
        <f ca="1">SUMIF('2.9原液在庫'!B:H,C495,'2.9原液在庫'!H:H)</f>
        <v>0</v>
      </c>
      <c r="T495" s="16">
        <f ca="1">IFERROR(SUM(G496:K496)/(G495+H495+K495),0)</f>
        <v>0</v>
      </c>
      <c r="U495" s="17" t="str">
        <f>C495</f>
        <v>20RB</v>
      </c>
      <c r="V495" s="18">
        <f ca="1">IF(ISERROR(SUM(G496:K496)/SUM(L495:Q495,S495)),0,SUM(G496:K496)/SUM(L495:Q495,S495))</f>
        <v>0</v>
      </c>
      <c r="W495" s="19">
        <f ca="1">V495</f>
        <v>0</v>
      </c>
      <c r="X495" s="20">
        <f ca="1">W495/1000</f>
        <v>0</v>
      </c>
    </row>
    <row r="496" spans="1:25">
      <c r="A496" s="201"/>
      <c r="B496" s="201"/>
      <c r="C496" s="201"/>
      <c r="D496" s="199"/>
      <c r="E496" s="199"/>
      <c r="F496" s="21" t="s">
        <v>247</v>
      </c>
      <c r="G496" s="22" t="s">
        <v>254</v>
      </c>
      <c r="H496" s="184"/>
      <c r="I496" s="23">
        <f ca="1">I495*労務費経費単価SC!D$7</f>
        <v>0</v>
      </c>
      <c r="J496" s="23">
        <f ca="1">J495*労務費経費単価SC!D$11</f>
        <v>0</v>
      </c>
      <c r="K496" s="22">
        <f ca="1">K495*$E495</f>
        <v>0</v>
      </c>
      <c r="L496" s="22">
        <f ca="1">L495*$E495</f>
        <v>0</v>
      </c>
      <c r="M496" s="22">
        <f t="shared" ref="M496" ca="1" si="1709">M495*$E495</f>
        <v>0</v>
      </c>
      <c r="N496" s="22">
        <f t="shared" ref="N496" ca="1" si="1710">N495*$E495</f>
        <v>0</v>
      </c>
      <c r="O496" s="22">
        <f t="shared" ref="O496" ca="1" si="1711">O495*$E495</f>
        <v>0</v>
      </c>
      <c r="P496" s="22">
        <f t="shared" ref="P496" ca="1" si="1712">P495*$E495</f>
        <v>0</v>
      </c>
      <c r="Q496" s="22">
        <f t="shared" ref="Q496" ca="1" si="1713">Q495*$E495</f>
        <v>0</v>
      </c>
      <c r="R496" s="22">
        <f t="shared" ref="R496" ca="1" si="1714">R495*$E495</f>
        <v>0</v>
      </c>
      <c r="S496" s="22">
        <f t="shared" ref="S496" ca="1" si="1715">S495*$E495</f>
        <v>0</v>
      </c>
      <c r="U496" s="17"/>
      <c r="V496" s="18"/>
      <c r="W496" s="19"/>
      <c r="X496" s="20"/>
    </row>
    <row r="497" spans="1:24">
      <c r="A497" s="200"/>
      <c r="B497" s="211"/>
      <c r="C497" s="200" t="s">
        <v>117</v>
      </c>
      <c r="D497" s="199" t="str">
        <f>VLOOKUP(C497,'仕掛品名寄（貼付）'!B:C,2,FALSE)</f>
        <v>その他</v>
      </c>
      <c r="E497" s="199">
        <f>VLOOKUP(D497,'仕掛品標準単価一覧表（貼付）'!B:G,6,FALSE)</f>
        <v>1080</v>
      </c>
      <c r="F497" s="12" t="s">
        <v>246</v>
      </c>
      <c r="G497" s="13">
        <v>0</v>
      </c>
      <c r="H497" s="13">
        <f ca="1">SUMIF('1.3②原材料使用'!B:E,C497,'1.3②原材料使用'!E:E)</f>
        <v>0</v>
      </c>
      <c r="I497" s="13">
        <f ca="1">SUMIF('2.10原液別作業時間'!A:B,C497,'2.10原液別作業時間'!B:B)</f>
        <v>0</v>
      </c>
      <c r="J497" s="13">
        <f ca="1">SUM(G497:H497,K497)</f>
        <v>0</v>
      </c>
      <c r="K497" s="13">
        <f ca="1">SUMIF('2.2⑤純増減→前工程費'!B:E,C497,'2.2⑤純増減→前工程費'!E:E)</f>
        <v>0</v>
      </c>
      <c r="L497" s="13">
        <f ca="1">SUMIF('2.6完成品'!C:D,C497,'2.6完成品'!D:D)</f>
        <v>0</v>
      </c>
      <c r="M497" s="13">
        <f ca="1">SUMIF('2.3研究費'!D:E,C497,'2.3研究費'!E:E)</f>
        <v>0</v>
      </c>
      <c r="N497" s="13">
        <f ca="1">SUMIF('2.4販促費'!D:E,C497,'2.4販促費'!E:E)</f>
        <v>0</v>
      </c>
      <c r="O497" s="13">
        <f ca="1">SUMIF('2.5廃棄処分'!D:E,C497,'2.5廃棄処分'!E:E)</f>
        <v>0</v>
      </c>
      <c r="P497" s="13">
        <f ca="1">SUMIF('2.1④異種原液'!D:E,C497,'2.1④異種原液'!E:E)</f>
        <v>0</v>
      </c>
      <c r="Q497" s="14">
        <f ca="1">SUMIF('2.7製造部生産分'!D:I,C497,'2.7製造部生産分'!H:H)</f>
        <v>0</v>
      </c>
      <c r="R497" s="15">
        <f ca="1">-(G497+H497+K497-L497-M497-N497-O497-P497-Q497-S497)</f>
        <v>0</v>
      </c>
      <c r="S497" s="13">
        <f ca="1">SUMIF('2.9原液在庫'!B:H,C497,'2.9原液在庫'!H:H)</f>
        <v>0</v>
      </c>
      <c r="T497" s="16">
        <f ca="1">IFERROR(SUM(G498:K498)/(G497+H497+K497),0)</f>
        <v>0</v>
      </c>
      <c r="U497" s="17" t="str">
        <f>C497</f>
        <v>20RB海</v>
      </c>
      <c r="V497" s="18">
        <f ca="1">IF(ISERROR(SUM(G498:K498)/SUM(L497:Q497,S497)),0,SUM(G498:K498)/SUM(L497:Q497,S497))</f>
        <v>0</v>
      </c>
      <c r="W497" s="19">
        <f ca="1">V497</f>
        <v>0</v>
      </c>
      <c r="X497" s="20">
        <f ca="1">W497/1000</f>
        <v>0</v>
      </c>
    </row>
    <row r="498" spans="1:24">
      <c r="A498" s="201"/>
      <c r="B498" s="201"/>
      <c r="C498" s="201"/>
      <c r="D498" s="199"/>
      <c r="E498" s="199"/>
      <c r="F498" s="21" t="s">
        <v>247</v>
      </c>
      <c r="G498" s="22" t="s">
        <v>254</v>
      </c>
      <c r="H498" s="184"/>
      <c r="I498" s="23">
        <f ca="1">I497*労務費経費単価SC!D$7</f>
        <v>0</v>
      </c>
      <c r="J498" s="23">
        <f ca="1">J497*労務費経費単価SC!D$11</f>
        <v>0</v>
      </c>
      <c r="K498" s="22">
        <f ca="1">K497*$E497</f>
        <v>0</v>
      </c>
      <c r="L498" s="22">
        <f ca="1">L497*$E497</f>
        <v>0</v>
      </c>
      <c r="M498" s="22">
        <f t="shared" ref="M498" ca="1" si="1716">M497*$E497</f>
        <v>0</v>
      </c>
      <c r="N498" s="22">
        <f t="shared" ref="N498" ca="1" si="1717">N497*$E497</f>
        <v>0</v>
      </c>
      <c r="O498" s="22">
        <f t="shared" ref="O498" ca="1" si="1718">O497*$E497</f>
        <v>0</v>
      </c>
      <c r="P498" s="22">
        <f t="shared" ref="P498" ca="1" si="1719">P497*$E497</f>
        <v>0</v>
      </c>
      <c r="Q498" s="22">
        <f t="shared" ref="Q498" ca="1" si="1720">Q497*$E497</f>
        <v>0</v>
      </c>
      <c r="R498" s="22">
        <f t="shared" ref="R498" ca="1" si="1721">R497*$E497</f>
        <v>0</v>
      </c>
      <c r="S498" s="22">
        <f t="shared" ref="S498" ca="1" si="1722">S497*$E497</f>
        <v>0</v>
      </c>
      <c r="U498" s="17"/>
      <c r="V498" s="18"/>
      <c r="W498" s="19"/>
      <c r="X498" s="20"/>
    </row>
    <row r="499" spans="1:24">
      <c r="A499" s="200"/>
      <c r="B499" s="211"/>
      <c r="C499" s="200" t="s">
        <v>118</v>
      </c>
      <c r="D499" s="199" t="str">
        <f>VLOOKUP(C499,'仕掛品名寄（貼付）'!B:C,2,FALSE)</f>
        <v>RB</v>
      </c>
      <c r="E499" s="199">
        <f>VLOOKUP(D499,'仕掛品標準単価一覧表（貼付）'!B:G,6,FALSE)</f>
        <v>1026.5183999999999</v>
      </c>
      <c r="F499" s="12" t="s">
        <v>246</v>
      </c>
      <c r="G499" s="13">
        <v>0</v>
      </c>
      <c r="H499" s="13">
        <f ca="1">SUMIF('1.3②原材料使用'!B:E,C499,'1.3②原材料使用'!E:E)</f>
        <v>0</v>
      </c>
      <c r="I499" s="13">
        <f ca="1">SUMIF('2.10原液別作業時間'!A:B,C499,'2.10原液別作業時間'!B:B)</f>
        <v>0</v>
      </c>
      <c r="J499" s="13">
        <f ca="1">SUM(G499:H499,K499)</f>
        <v>0</v>
      </c>
      <c r="K499" s="13">
        <f ca="1">SUMIF('2.2⑤純増減→前工程費'!B:E,C499,'2.2⑤純増減→前工程費'!E:E)</f>
        <v>0</v>
      </c>
      <c r="L499" s="13">
        <f ca="1">SUMIF('2.6完成品'!C:D,C499,'2.6完成品'!D:D)</f>
        <v>0</v>
      </c>
      <c r="M499" s="13">
        <f ca="1">SUMIF('2.3研究費'!D:E,C499,'2.3研究費'!E:E)</f>
        <v>0</v>
      </c>
      <c r="N499" s="13">
        <f ca="1">SUMIF('2.4販促費'!D:E,C499,'2.4販促費'!E:E)</f>
        <v>0</v>
      </c>
      <c r="O499" s="13">
        <f ca="1">SUMIF('2.5廃棄処分'!D:E,C499,'2.5廃棄処分'!E:E)</f>
        <v>0</v>
      </c>
      <c r="P499" s="13">
        <f ca="1">SUMIF('2.1④異種原液'!D:E,C499,'2.1④異種原液'!E:E)</f>
        <v>0</v>
      </c>
      <c r="Q499" s="14">
        <f ca="1">SUMIF('2.7製造部生産分'!D:I,C499,'2.7製造部生産分'!H:H)</f>
        <v>0</v>
      </c>
      <c r="R499" s="15">
        <f ca="1">-(G499+H499+K499-L499-M499-N499-O499-P499-Q499-S499)</f>
        <v>0</v>
      </c>
      <c r="S499" s="13">
        <f ca="1">SUMIF('2.9原液在庫'!B:H,C499,'2.9原液在庫'!H:H)</f>
        <v>0</v>
      </c>
      <c r="T499" s="16">
        <f ca="1">IFERROR(SUM(G500:K500)/(G499+H499+K499),0)</f>
        <v>0</v>
      </c>
      <c r="U499" s="17" t="str">
        <f>C499</f>
        <v>22RB</v>
      </c>
      <c r="V499" s="18">
        <f ca="1">IF(ISERROR(SUM(G500:K500)/SUM(L499:Q499,S499)),0,SUM(G500:K500)/SUM(L499:Q499,S499))</f>
        <v>0</v>
      </c>
      <c r="W499" s="19">
        <f ca="1">V499</f>
        <v>0</v>
      </c>
      <c r="X499" s="20">
        <f ca="1">W499/1000</f>
        <v>0</v>
      </c>
    </row>
    <row r="500" spans="1:24">
      <c r="A500" s="201"/>
      <c r="B500" s="201"/>
      <c r="C500" s="201"/>
      <c r="D500" s="199"/>
      <c r="E500" s="199"/>
      <c r="F500" s="21" t="s">
        <v>247</v>
      </c>
      <c r="G500" s="22" t="s">
        <v>254</v>
      </c>
      <c r="H500" s="184"/>
      <c r="I500" s="23">
        <f ca="1">I499*労務費経費単価SC!D$7</f>
        <v>0</v>
      </c>
      <c r="J500" s="23">
        <f ca="1">J499*労務費経費単価SC!D$11</f>
        <v>0</v>
      </c>
      <c r="K500" s="22">
        <f ca="1">K499*$E499</f>
        <v>0</v>
      </c>
      <c r="L500" s="22">
        <f ca="1">L499*$E499</f>
        <v>0</v>
      </c>
      <c r="M500" s="22">
        <f t="shared" ref="M500" ca="1" si="1723">M499*$E499</f>
        <v>0</v>
      </c>
      <c r="N500" s="22">
        <f t="shared" ref="N500" ca="1" si="1724">N499*$E499</f>
        <v>0</v>
      </c>
      <c r="O500" s="22">
        <f t="shared" ref="O500" ca="1" si="1725">O499*$E499</f>
        <v>0</v>
      </c>
      <c r="P500" s="22">
        <f t="shared" ref="P500" ca="1" si="1726">P499*$E499</f>
        <v>0</v>
      </c>
      <c r="Q500" s="22">
        <f t="shared" ref="Q500" ca="1" si="1727">Q499*$E499</f>
        <v>0</v>
      </c>
      <c r="R500" s="22">
        <f t="shared" ref="R500" ca="1" si="1728">R499*$E499</f>
        <v>0</v>
      </c>
      <c r="S500" s="22">
        <f t="shared" ref="S500" ca="1" si="1729">S499*$E499</f>
        <v>0</v>
      </c>
      <c r="U500" s="17"/>
      <c r="V500" s="18"/>
      <c r="W500" s="19"/>
      <c r="X500" s="20"/>
    </row>
    <row r="501" spans="1:24">
      <c r="A501" s="200"/>
      <c r="B501" s="211"/>
      <c r="C501" s="200" t="s">
        <v>428</v>
      </c>
      <c r="D501" s="199" t="str">
        <f>VLOOKUP(C501,'仕掛品名寄（貼付）'!B:C,2,FALSE)</f>
        <v>RB</v>
      </c>
      <c r="E501" s="199">
        <f>VLOOKUP(D501,'仕掛品標準単価一覧表（貼付）'!B:G,6,FALSE)</f>
        <v>1026.5183999999999</v>
      </c>
      <c r="F501" s="12" t="s">
        <v>246</v>
      </c>
      <c r="G501" s="13">
        <v>0</v>
      </c>
      <c r="H501" s="13">
        <f ca="1">SUMIF('1.3②原材料使用'!B:E,C501,'1.3②原材料使用'!E:E)</f>
        <v>0</v>
      </c>
      <c r="I501" s="13">
        <f ca="1">SUMIF('2.10原液別作業時間'!A:B,C501,'2.10原液別作業時間'!B:B)</f>
        <v>0</v>
      </c>
      <c r="J501" s="13">
        <f ca="1">SUM(G501:H501,K501)</f>
        <v>0</v>
      </c>
      <c r="K501" s="13">
        <f ca="1">SUMIF('2.2⑤純増減→前工程費'!B:E,C501,'2.2⑤純増減→前工程費'!E:E)</f>
        <v>0</v>
      </c>
      <c r="L501" s="13">
        <f ca="1">SUMIF('2.6完成品'!C:D,C501,'2.6完成品'!D:D)</f>
        <v>0</v>
      </c>
      <c r="M501" s="13">
        <f ca="1">SUMIF('2.3研究費'!D:E,C501,'2.3研究費'!E:E)</f>
        <v>0</v>
      </c>
      <c r="N501" s="13">
        <f ca="1">SUMIF('2.4販促費'!D:E,C501,'2.4販促費'!E:E)</f>
        <v>0</v>
      </c>
      <c r="O501" s="13">
        <f ca="1">SUMIF('2.5廃棄処分'!D:E,C501,'2.5廃棄処分'!E:E)</f>
        <v>0</v>
      </c>
      <c r="P501" s="13">
        <f ca="1">SUMIF('2.1④異種原液'!D:E,C501,'2.1④異種原液'!E:E)</f>
        <v>0</v>
      </c>
      <c r="Q501" s="14">
        <f ca="1">SUMIF('2.7製造部生産分'!D:I,C501,'2.7製造部生産分'!H:H)</f>
        <v>0</v>
      </c>
      <c r="R501" s="15">
        <f ca="1">-(G501+H501+K501-L501-M501-N501-O501-P501-Q501-S501)</f>
        <v>0</v>
      </c>
      <c r="S501" s="13">
        <f ca="1">SUMIF('2.9原液在庫'!B:H,C501,'2.9原液在庫'!H:H)</f>
        <v>0</v>
      </c>
      <c r="T501" s="16">
        <f ca="1">IFERROR(SUM(G502:K502)/(G501+H501+K501),0)</f>
        <v>0</v>
      </c>
      <c r="U501" s="17" t="str">
        <f>C501</f>
        <v>28RB</v>
      </c>
      <c r="V501" s="18">
        <f ca="1">IF(ISERROR(SUM(G502:K502)/SUM(L501:Q501,S501)),0,SUM(G502:K502)/SUM(L501:Q501,S501))</f>
        <v>0</v>
      </c>
      <c r="W501" s="19">
        <f ca="1">V501</f>
        <v>0</v>
      </c>
      <c r="X501" s="20">
        <f ca="1">W501/1000</f>
        <v>0</v>
      </c>
    </row>
    <row r="502" spans="1:24">
      <c r="A502" s="201"/>
      <c r="B502" s="201"/>
      <c r="C502" s="201"/>
      <c r="D502" s="199"/>
      <c r="E502" s="199"/>
      <c r="F502" s="21" t="s">
        <v>247</v>
      </c>
      <c r="G502" s="22" t="s">
        <v>254</v>
      </c>
      <c r="H502" s="184"/>
      <c r="I502" s="23">
        <f ca="1">I501*労務費経費単価SC!D$7</f>
        <v>0</v>
      </c>
      <c r="J502" s="23">
        <f ca="1">J501*労務費経費単価SC!D$11</f>
        <v>0</v>
      </c>
      <c r="K502" s="22">
        <f ca="1">K501*$E501</f>
        <v>0</v>
      </c>
      <c r="L502" s="22">
        <f ca="1">L501*$E501</f>
        <v>0</v>
      </c>
      <c r="M502" s="22">
        <f t="shared" ref="M502" ca="1" si="1730">M501*$E501</f>
        <v>0</v>
      </c>
      <c r="N502" s="22">
        <f t="shared" ref="N502" ca="1" si="1731">N501*$E501</f>
        <v>0</v>
      </c>
      <c r="O502" s="22">
        <f t="shared" ref="O502" ca="1" si="1732">O501*$E501</f>
        <v>0</v>
      </c>
      <c r="P502" s="22">
        <f t="shared" ref="P502" ca="1" si="1733">P501*$E501</f>
        <v>0</v>
      </c>
      <c r="Q502" s="22">
        <f t="shared" ref="Q502" ca="1" si="1734">Q501*$E501</f>
        <v>0</v>
      </c>
      <c r="R502" s="22">
        <f t="shared" ref="R502" ca="1" si="1735">R501*$E501</f>
        <v>0</v>
      </c>
      <c r="S502" s="22">
        <f t="shared" ref="S502" ca="1" si="1736">S501*$E501</f>
        <v>0</v>
      </c>
      <c r="U502" s="17"/>
      <c r="V502" s="18"/>
      <c r="W502" s="19"/>
      <c r="X502" s="20"/>
    </row>
    <row r="503" spans="1:24">
      <c r="A503" s="200"/>
      <c r="B503" s="211"/>
      <c r="C503" s="200" t="s">
        <v>119</v>
      </c>
      <c r="D503" s="199" t="str">
        <f>VLOOKUP(C503,'仕掛品名寄（貼付）'!B:C,2,FALSE)</f>
        <v>RB</v>
      </c>
      <c r="E503" s="199">
        <f>VLOOKUP(D503,'仕掛品標準単価一覧表（貼付）'!B:G,6,FALSE)</f>
        <v>1026.5183999999999</v>
      </c>
      <c r="F503" s="12" t="s">
        <v>246</v>
      </c>
      <c r="G503" s="13">
        <v>330</v>
      </c>
      <c r="H503" s="13">
        <f ca="1">SUMIF('1.3②原材料使用'!B:E,C503,'1.3②原材料使用'!E:E)</f>
        <v>0</v>
      </c>
      <c r="I503" s="13">
        <f ca="1">SUMIF('2.10原液別作業時間'!A:B,C503,'2.10原液別作業時間'!B:B)</f>
        <v>0</v>
      </c>
      <c r="J503" s="13">
        <f ca="1">SUM(G503:H503,K503)</f>
        <v>330</v>
      </c>
      <c r="K503" s="13">
        <f ca="1">SUMIF('2.2⑤純増減→前工程費'!B:E,C503,'2.2⑤純増減→前工程費'!E:E)</f>
        <v>0</v>
      </c>
      <c r="L503" s="13">
        <f ca="1">SUMIF('2.6完成品'!C:D,C503,'2.6完成品'!D:D)</f>
        <v>0</v>
      </c>
      <c r="M503" s="13">
        <f ca="1">SUMIF('2.3研究費'!D:E,C503,'2.3研究費'!E:E)</f>
        <v>0</v>
      </c>
      <c r="N503" s="13">
        <f ca="1">SUMIF('2.4販促費'!D:E,C503,'2.4販促費'!E:E)</f>
        <v>0</v>
      </c>
      <c r="O503" s="13">
        <f ca="1">SUMIF('2.5廃棄処分'!D:E,C503,'2.5廃棄処分'!E:E)</f>
        <v>0</v>
      </c>
      <c r="P503" s="13">
        <f ca="1">SUMIF('2.1④異種原液'!D:E,C503,'2.1④異種原液'!E:E)</f>
        <v>0</v>
      </c>
      <c r="Q503" s="14">
        <f ca="1">SUMIF('2.7製造部生産分'!D:I,C503,'2.7製造部生産分'!H:H)</f>
        <v>0</v>
      </c>
      <c r="R503" s="15">
        <f ca="1">-(G503+H503+K503-L503-M503-N503-O503-P503-Q503-S503)</f>
        <v>0</v>
      </c>
      <c r="S503" s="13">
        <f ca="1">SUMIF('2.9原液在庫'!B:H,C503,'2.9原液在庫'!H:H)</f>
        <v>330</v>
      </c>
      <c r="T503" s="16">
        <f ca="1">IFERROR(SUM(G504:K504)/(G503+H503+K503),0)</f>
        <v>1282.0477565121253</v>
      </c>
      <c r="U503" s="17" t="str">
        <f>C503</f>
        <v>29RB</v>
      </c>
      <c r="V503" s="18">
        <f ca="1">IF(ISERROR(SUM(G504:K504)/SUM(L503:Q503,S503)),0,SUM(G504:K504)/SUM(L503:Q503,S503))</f>
        <v>1282.0477565121253</v>
      </c>
      <c r="W503" s="19">
        <f ca="1">V503</f>
        <v>1282.0477565121253</v>
      </c>
      <c r="X503" s="20">
        <f ca="1">W503/1000</f>
        <v>1.2820477565121253</v>
      </c>
    </row>
    <row r="504" spans="1:24">
      <c r="A504" s="201"/>
      <c r="B504" s="201"/>
      <c r="C504" s="201"/>
      <c r="D504" s="199"/>
      <c r="E504" s="199"/>
      <c r="F504" s="21" t="s">
        <v>247</v>
      </c>
      <c r="G504" s="22">
        <v>413175.75964900135</v>
      </c>
      <c r="H504" s="184"/>
      <c r="I504" s="23">
        <f ca="1">I503*労務費経費単価SC!D$7</f>
        <v>0</v>
      </c>
      <c r="J504" s="23">
        <f ca="1">J503*労務費経費単価SC!D$11</f>
        <v>9900</v>
      </c>
      <c r="K504" s="22">
        <f ca="1">K503*$E503</f>
        <v>0</v>
      </c>
      <c r="L504" s="22">
        <f ca="1">L503*$E503</f>
        <v>0</v>
      </c>
      <c r="M504" s="22">
        <f t="shared" ref="M504" ca="1" si="1737">M503*$E503</f>
        <v>0</v>
      </c>
      <c r="N504" s="22">
        <f t="shared" ref="N504" ca="1" si="1738">N503*$E503</f>
        <v>0</v>
      </c>
      <c r="O504" s="22">
        <f t="shared" ref="O504" ca="1" si="1739">O503*$E503</f>
        <v>0</v>
      </c>
      <c r="P504" s="22">
        <f t="shared" ref="P504" ca="1" si="1740">P503*$E503</f>
        <v>0</v>
      </c>
      <c r="Q504" s="22">
        <f t="shared" ref="Q504" ca="1" si="1741">Q503*$E503</f>
        <v>0</v>
      </c>
      <c r="R504" s="22">
        <f t="shared" ref="R504" ca="1" si="1742">R503*$E503</f>
        <v>0</v>
      </c>
      <c r="S504" s="22">
        <f t="shared" ref="S504" ca="1" si="1743">S503*$E503</f>
        <v>338751.07199999999</v>
      </c>
      <c r="U504" s="17"/>
      <c r="V504" s="18"/>
      <c r="W504" s="19"/>
      <c r="X504" s="20"/>
    </row>
    <row r="505" spans="1:24">
      <c r="A505" s="200"/>
      <c r="B505" s="211"/>
      <c r="C505" s="200" t="s">
        <v>120</v>
      </c>
      <c r="D505" s="199" t="str">
        <f>VLOOKUP(C505,'仕掛品名寄（貼付）'!B:C,2,FALSE)</f>
        <v>RB</v>
      </c>
      <c r="E505" s="199">
        <f>VLOOKUP(D505,'仕掛品標準単価一覧表（貼付）'!B:G,6,FALSE)</f>
        <v>1026.5183999999999</v>
      </c>
      <c r="F505" s="12" t="s">
        <v>246</v>
      </c>
      <c r="G505" s="13">
        <v>0</v>
      </c>
      <c r="H505" s="13">
        <f ca="1">SUMIF('1.3②原材料使用'!B:E,C505,'1.3②原材料使用'!E:E)</f>
        <v>0</v>
      </c>
      <c r="I505" s="13">
        <f ca="1">SUMIF('2.10原液別作業時間'!A:B,C505,'2.10原液別作業時間'!B:B)</f>
        <v>0</v>
      </c>
      <c r="J505" s="13">
        <f ca="1">SUM(G505:H505,K505)</f>
        <v>0</v>
      </c>
      <c r="K505" s="13">
        <f ca="1">SUMIF('2.2⑤純増減→前工程費'!B:E,C505,'2.2⑤純増減→前工程費'!E:E)</f>
        <v>0</v>
      </c>
      <c r="L505" s="13">
        <f ca="1">SUMIF('2.6完成品'!C:D,C505,'2.6完成品'!D:D)</f>
        <v>0</v>
      </c>
      <c r="M505" s="13">
        <f ca="1">SUMIF('2.3研究費'!D:E,C505,'2.3研究費'!E:E)</f>
        <v>0</v>
      </c>
      <c r="N505" s="13">
        <f ca="1">SUMIF('2.4販促費'!D:E,C505,'2.4販促費'!E:E)</f>
        <v>0</v>
      </c>
      <c r="O505" s="13">
        <f ca="1">SUMIF('2.5廃棄処分'!D:E,C505,'2.5廃棄処分'!E:E)</f>
        <v>0</v>
      </c>
      <c r="P505" s="13">
        <f ca="1">SUMIF('2.1④異種原液'!D:E,C505,'2.1④異種原液'!E:E)</f>
        <v>0</v>
      </c>
      <c r="Q505" s="14">
        <f ca="1">SUMIF('2.7製造部生産分'!D:I,C505,'2.7製造部生産分'!H:H)</f>
        <v>0</v>
      </c>
      <c r="R505" s="15">
        <f ca="1">-(G505+H505+K505-L505-M505-N505-O505-P505-Q505-S505)</f>
        <v>0</v>
      </c>
      <c r="S505" s="13">
        <f ca="1">SUMIF('2.9原液在庫'!B:H,C505,'2.9原液在庫'!H:H)</f>
        <v>0</v>
      </c>
      <c r="T505" s="16">
        <f ca="1">IFERROR(SUM(G506:K506)/(G505+H505+K505),0)</f>
        <v>0</v>
      </c>
      <c r="U505" s="17" t="str">
        <f>C505</f>
        <v>30RB</v>
      </c>
      <c r="V505" s="18">
        <f ca="1">IF(ISERROR(SUM(G506:K506)/SUM(L505:Q505,S505)),0,SUM(G506:K506)/SUM(L505:Q505,S505))</f>
        <v>0</v>
      </c>
      <c r="W505" s="19">
        <f ca="1">V505</f>
        <v>0</v>
      </c>
      <c r="X505" s="20">
        <f ca="1">W505/1000</f>
        <v>0</v>
      </c>
    </row>
    <row r="506" spans="1:24">
      <c r="A506" s="201"/>
      <c r="B506" s="201"/>
      <c r="C506" s="201"/>
      <c r="D506" s="199"/>
      <c r="E506" s="199"/>
      <c r="F506" s="21" t="s">
        <v>247</v>
      </c>
      <c r="G506" s="22" t="s">
        <v>254</v>
      </c>
      <c r="H506" s="184"/>
      <c r="I506" s="23">
        <f ca="1">I505*労務費経費単価SC!D$7</f>
        <v>0</v>
      </c>
      <c r="J506" s="23">
        <f ca="1">J505*労務費経費単価SC!D$11</f>
        <v>0</v>
      </c>
      <c r="K506" s="22">
        <f ca="1">K505*$E505</f>
        <v>0</v>
      </c>
      <c r="L506" s="22">
        <f ca="1">L505*$E505</f>
        <v>0</v>
      </c>
      <c r="M506" s="22">
        <f t="shared" ref="M506" ca="1" si="1744">M505*$E505</f>
        <v>0</v>
      </c>
      <c r="N506" s="22">
        <f t="shared" ref="N506" ca="1" si="1745">N505*$E505</f>
        <v>0</v>
      </c>
      <c r="O506" s="22">
        <f t="shared" ref="O506" ca="1" si="1746">O505*$E505</f>
        <v>0</v>
      </c>
      <c r="P506" s="22">
        <f t="shared" ref="P506" ca="1" si="1747">P505*$E505</f>
        <v>0</v>
      </c>
      <c r="Q506" s="22">
        <f t="shared" ref="Q506" ca="1" si="1748">Q505*$E505</f>
        <v>0</v>
      </c>
      <c r="R506" s="22">
        <f t="shared" ref="R506" ca="1" si="1749">R505*$E505</f>
        <v>0</v>
      </c>
      <c r="S506" s="22">
        <f t="shared" ref="S506" ca="1" si="1750">S505*$E505</f>
        <v>0</v>
      </c>
      <c r="U506" s="17"/>
      <c r="V506" s="18"/>
      <c r="W506" s="19"/>
      <c r="X506" s="20"/>
    </row>
    <row r="507" spans="1:24">
      <c r="A507" s="200"/>
      <c r="B507" s="211"/>
      <c r="C507" s="200" t="s">
        <v>121</v>
      </c>
      <c r="D507" s="199" t="str">
        <f>VLOOKUP(C507,'仕掛品名寄（貼付）'!B:C,2,FALSE)</f>
        <v>その他</v>
      </c>
      <c r="E507" s="199">
        <f>VLOOKUP(D507,'仕掛品標準単価一覧表（貼付）'!B:G,6,FALSE)</f>
        <v>1080</v>
      </c>
      <c r="F507" s="12" t="s">
        <v>246</v>
      </c>
      <c r="G507" s="13">
        <v>0</v>
      </c>
      <c r="H507" s="13">
        <f ca="1">SUMIF('1.3②原材料使用'!B:E,C507,'1.3②原材料使用'!E:E)</f>
        <v>0</v>
      </c>
      <c r="I507" s="13">
        <f ca="1">SUMIF('2.10原液別作業時間'!A:B,C507,'2.10原液別作業時間'!B:B)</f>
        <v>0</v>
      </c>
      <c r="J507" s="13">
        <f ca="1">SUM(G507:H507,K507)</f>
        <v>0</v>
      </c>
      <c r="K507" s="13">
        <f ca="1">SUMIF('2.2⑤純増減→前工程費'!B:E,C507,'2.2⑤純増減→前工程費'!E:E)</f>
        <v>0</v>
      </c>
      <c r="L507" s="13">
        <f ca="1">SUMIF('2.6完成品'!C:D,C507,'2.6完成品'!D:D)</f>
        <v>0</v>
      </c>
      <c r="M507" s="13">
        <f ca="1">SUMIF('2.3研究費'!D:E,C507,'2.3研究費'!E:E)</f>
        <v>0</v>
      </c>
      <c r="N507" s="13">
        <f ca="1">SUMIF('2.4販促費'!D:E,C507,'2.4販促費'!E:E)</f>
        <v>0</v>
      </c>
      <c r="O507" s="13">
        <f ca="1">SUMIF('2.5廃棄処分'!D:E,C507,'2.5廃棄処分'!E:E)</f>
        <v>0</v>
      </c>
      <c r="P507" s="13">
        <f ca="1">SUMIF('2.1④異種原液'!D:E,C507,'2.1④異種原液'!E:E)</f>
        <v>0</v>
      </c>
      <c r="Q507" s="14">
        <f ca="1">SUMIF('2.7製造部生産分'!D:I,C507,'2.7製造部生産分'!H:H)</f>
        <v>0</v>
      </c>
      <c r="R507" s="15">
        <f ca="1">-(G507+H507+K507-L507-M507-N507-O507-P507-Q507-S507)</f>
        <v>0</v>
      </c>
      <c r="S507" s="13">
        <f ca="1">SUMIF('2.9原液在庫'!B:H,C507,'2.9原液在庫'!H:H)</f>
        <v>0</v>
      </c>
      <c r="T507" s="16">
        <f ca="1">IFERROR(SUM(G508:K508)/(G507+H507+K507),0)</f>
        <v>0</v>
      </c>
      <c r="U507" s="17" t="str">
        <f>C507</f>
        <v>20畜産用</v>
      </c>
      <c r="V507" s="18">
        <f ca="1">IF(ISERROR(SUM(G508:K508)/SUM(L507:Q507,S507)),0,SUM(G508:K508)/SUM(L507:Q507,S507))</f>
        <v>0</v>
      </c>
      <c r="W507" s="19">
        <f ca="1">V507</f>
        <v>0</v>
      </c>
      <c r="X507" s="20">
        <f ca="1">W507/1000</f>
        <v>0</v>
      </c>
    </row>
    <row r="508" spans="1:24">
      <c r="A508" s="201"/>
      <c r="B508" s="201"/>
      <c r="C508" s="201"/>
      <c r="D508" s="199"/>
      <c r="E508" s="199"/>
      <c r="F508" s="21" t="s">
        <v>247</v>
      </c>
      <c r="G508" s="22" t="s">
        <v>254</v>
      </c>
      <c r="H508" s="184"/>
      <c r="I508" s="23">
        <f ca="1">I507*労務費経費単価SC!D$7</f>
        <v>0</v>
      </c>
      <c r="J508" s="23">
        <f ca="1">J507*労務費経費単価SC!D$11</f>
        <v>0</v>
      </c>
      <c r="K508" s="22">
        <f ca="1">K507*$E507</f>
        <v>0</v>
      </c>
      <c r="L508" s="22">
        <f ca="1">L507*$E507</f>
        <v>0</v>
      </c>
      <c r="M508" s="22">
        <f t="shared" ref="M508" ca="1" si="1751">M507*$E507</f>
        <v>0</v>
      </c>
      <c r="N508" s="22">
        <f t="shared" ref="N508" ca="1" si="1752">N507*$E507</f>
        <v>0</v>
      </c>
      <c r="O508" s="22">
        <f t="shared" ref="O508" ca="1" si="1753">O507*$E507</f>
        <v>0</v>
      </c>
      <c r="P508" s="22">
        <f t="shared" ref="P508" ca="1" si="1754">P507*$E507</f>
        <v>0</v>
      </c>
      <c r="Q508" s="22">
        <f t="shared" ref="Q508" ca="1" si="1755">Q507*$E507</f>
        <v>0</v>
      </c>
      <c r="R508" s="22">
        <f t="shared" ref="R508" ca="1" si="1756">R507*$E507</f>
        <v>0</v>
      </c>
      <c r="S508" s="22">
        <f t="shared" ref="S508" ca="1" si="1757">S507*$E507</f>
        <v>0</v>
      </c>
      <c r="U508" s="17"/>
      <c r="V508" s="18"/>
      <c r="W508" s="19"/>
      <c r="X508" s="20"/>
    </row>
    <row r="509" spans="1:24">
      <c r="A509" s="200"/>
      <c r="B509" s="211"/>
      <c r="C509" s="200" t="s">
        <v>429</v>
      </c>
      <c r="D509" s="199" t="str">
        <f>VLOOKUP(C509,'仕掛品名寄（貼付）'!B:C,2,FALSE)</f>
        <v>その他</v>
      </c>
      <c r="E509" s="199">
        <f>VLOOKUP(D509,'仕掛品標準単価一覧表（貼付）'!B:G,6,FALSE)</f>
        <v>1080</v>
      </c>
      <c r="F509" s="12" t="s">
        <v>246</v>
      </c>
      <c r="G509" s="13">
        <v>0</v>
      </c>
      <c r="H509" s="13">
        <f ca="1">SUMIF('1.3②原材料使用'!B:E,C509,'1.3②原材料使用'!E:E)</f>
        <v>0</v>
      </c>
      <c r="I509" s="13">
        <f ca="1">SUMIF('2.10原液別作業時間'!A:B,C509,'2.10原液別作業時間'!B:B)</f>
        <v>0</v>
      </c>
      <c r="J509" s="13">
        <f ca="1">SUM(G509:H509,K509)</f>
        <v>0</v>
      </c>
      <c r="K509" s="13">
        <f ca="1">SUMIF('2.2⑤純増減→前工程費'!B:E,C509,'2.2⑤純増減→前工程費'!E:E)</f>
        <v>0</v>
      </c>
      <c r="L509" s="13">
        <f ca="1">SUMIF('2.6完成品'!C:D,C509,'2.6完成品'!D:D)</f>
        <v>0</v>
      </c>
      <c r="M509" s="13">
        <f ca="1">SUMIF('2.3研究費'!D:E,C509,'2.3研究費'!E:E)</f>
        <v>0</v>
      </c>
      <c r="N509" s="13">
        <f ca="1">SUMIF('2.4販促費'!D:E,C509,'2.4販促費'!E:E)</f>
        <v>0</v>
      </c>
      <c r="O509" s="13">
        <f ca="1">SUMIF('2.5廃棄処分'!D:E,C509,'2.5廃棄処分'!E:E)</f>
        <v>0</v>
      </c>
      <c r="P509" s="13">
        <f ca="1">SUMIF('2.1④異種原液'!D:E,C509,'2.1④異種原液'!E:E)</f>
        <v>0</v>
      </c>
      <c r="Q509" s="14">
        <f ca="1">SUMIF('2.7製造部生産分'!D:I,C509,'2.7製造部生産分'!H:H)</f>
        <v>0</v>
      </c>
      <c r="R509" s="15">
        <f ca="1">-(G509+H509+K509-L509-M509-N509-O509-P509-Q509-S509)</f>
        <v>0</v>
      </c>
      <c r="S509" s="13">
        <f ca="1">SUMIF('2.9原液在庫'!B:H,C509,'2.9原液在庫'!H:H)</f>
        <v>0</v>
      </c>
      <c r="T509" s="16">
        <f ca="1">IFERROR(SUM(G510:K510)/(G509+H509+K509),0)</f>
        <v>0</v>
      </c>
      <c r="U509" s="17" t="str">
        <f>C509</f>
        <v>PLB</v>
      </c>
      <c r="V509" s="18">
        <f ca="1">IF(ISERROR(SUM(G510:K510)/SUM(L509:Q509,S509)),0,SUM(G510:K510)/SUM(L509:Q509,S509))</f>
        <v>0</v>
      </c>
      <c r="W509" s="19">
        <f ca="1">V509</f>
        <v>0</v>
      </c>
      <c r="X509" s="20">
        <f ca="1">W509/1000</f>
        <v>0</v>
      </c>
    </row>
    <row r="510" spans="1:24">
      <c r="A510" s="201"/>
      <c r="B510" s="201"/>
      <c r="C510" s="201"/>
      <c r="D510" s="199"/>
      <c r="E510" s="199"/>
      <c r="F510" s="21" t="s">
        <v>247</v>
      </c>
      <c r="G510" s="22" t="s">
        <v>254</v>
      </c>
      <c r="H510" s="184"/>
      <c r="I510" s="23">
        <f ca="1">I509*労務費経費単価SC!D$7</f>
        <v>0</v>
      </c>
      <c r="J510" s="23">
        <f ca="1">J509*労務費経費単価SC!D$11</f>
        <v>0</v>
      </c>
      <c r="K510" s="22">
        <f ca="1">K509*$E509</f>
        <v>0</v>
      </c>
      <c r="L510" s="22">
        <f ca="1">L509*$E509</f>
        <v>0</v>
      </c>
      <c r="M510" s="22">
        <f t="shared" ref="M510" ca="1" si="1758">M509*$E509</f>
        <v>0</v>
      </c>
      <c r="N510" s="22">
        <f t="shared" ref="N510" ca="1" si="1759">N509*$E509</f>
        <v>0</v>
      </c>
      <c r="O510" s="22">
        <f t="shared" ref="O510" ca="1" si="1760">O509*$E509</f>
        <v>0</v>
      </c>
      <c r="P510" s="22">
        <f t="shared" ref="P510" ca="1" si="1761">P509*$E509</f>
        <v>0</v>
      </c>
      <c r="Q510" s="22">
        <f t="shared" ref="Q510" ca="1" si="1762">Q509*$E509</f>
        <v>0</v>
      </c>
      <c r="R510" s="22">
        <f t="shared" ref="R510" ca="1" si="1763">R509*$E509</f>
        <v>0</v>
      </c>
      <c r="S510" s="22">
        <f t="shared" ref="S510" ca="1" si="1764">S509*$E509</f>
        <v>0</v>
      </c>
      <c r="U510" s="17"/>
      <c r="V510" s="18"/>
      <c r="W510" s="19"/>
      <c r="X510" s="20"/>
    </row>
    <row r="511" spans="1:24">
      <c r="A511" s="200"/>
      <c r="B511" s="211"/>
      <c r="C511" s="200" t="s">
        <v>122</v>
      </c>
      <c r="D511" s="199" t="str">
        <f>VLOOKUP(C511,'仕掛品名寄（貼付）'!B:C,2,FALSE)</f>
        <v>その他</v>
      </c>
      <c r="E511" s="199">
        <f>VLOOKUP(D511,'仕掛品標準単価一覧表（貼付）'!B:G,6,FALSE)</f>
        <v>1080</v>
      </c>
      <c r="F511" s="12" t="s">
        <v>246</v>
      </c>
      <c r="G511" s="24">
        <v>492.5</v>
      </c>
      <c r="H511" s="13">
        <f ca="1">SUMIF('1.3②原材料使用'!B:E,C511,'1.3②原材料使用'!E:E)</f>
        <v>0</v>
      </c>
      <c r="I511" s="13">
        <f ca="1">SUMIF('2.10原液別作業時間'!A:B,C511,'2.10原液別作業時間'!B:B)</f>
        <v>0</v>
      </c>
      <c r="J511" s="13">
        <f ca="1">SUM(G511:H511,K511)</f>
        <v>492.5</v>
      </c>
      <c r="K511" s="13">
        <f ca="1">SUMIF('2.2⑤純増減→前工程費'!B:E,C511,'2.2⑤純増減→前工程費'!E:E)</f>
        <v>0</v>
      </c>
      <c r="L511" s="13">
        <f ca="1">SUMIF('2.6完成品'!C:D,C511,'2.6完成品'!D:D)</f>
        <v>0</v>
      </c>
      <c r="M511" s="13">
        <f ca="1">SUMIF('2.3研究費'!D:E,C511,'2.3研究費'!E:E)</f>
        <v>0</v>
      </c>
      <c r="N511" s="13">
        <f ca="1">SUMIF('2.4販促費'!D:E,C511,'2.4販促費'!E:E)</f>
        <v>0</v>
      </c>
      <c r="O511" s="13">
        <f ca="1">SUMIF('2.5廃棄処分'!D:E,C511,'2.5廃棄処分'!E:E)</f>
        <v>0</v>
      </c>
      <c r="P511" s="13">
        <f ca="1">SUMIF('2.1④異種原液'!D:E,C511,'2.1④異種原液'!E:E)</f>
        <v>0</v>
      </c>
      <c r="Q511" s="14">
        <f ca="1">SUMIF('2.7製造部生産分'!D:I,C511,'2.7製造部生産分'!H:H)</f>
        <v>0</v>
      </c>
      <c r="R511" s="15">
        <f ca="1">-(G511+H511+K511-L511-M511-N511-O511-P511-Q511-S511)</f>
        <v>0</v>
      </c>
      <c r="S511" s="13">
        <f ca="1">SUMIF('2.9原液在庫'!B:H,C511,'2.9原液在庫'!H:H)</f>
        <v>492.5</v>
      </c>
      <c r="T511" s="16">
        <f ca="1">IFERROR(SUM(G512:K512)/(G511+H511+K511),0)</f>
        <v>1235.1549240345437</v>
      </c>
      <c r="U511" s="17" t="str">
        <f>C511</f>
        <v>29R田B</v>
      </c>
      <c r="V511" s="18">
        <f ca="1">IF(ISERROR(SUM(G512:K512)/SUM(L511:Q511,S511)),0,SUM(G512:K512)/SUM(L511:Q511,S511))</f>
        <v>1235.1549240345437</v>
      </c>
      <c r="W511" s="19">
        <f ca="1">V511</f>
        <v>1235.1549240345437</v>
      </c>
      <c r="X511" s="20">
        <f ca="1">W511/1000</f>
        <v>1.2351549240345436</v>
      </c>
    </row>
    <row r="512" spans="1:24">
      <c r="A512" s="201"/>
      <c r="B512" s="201"/>
      <c r="C512" s="201"/>
      <c r="D512" s="199"/>
      <c r="E512" s="199"/>
      <c r="F512" s="21" t="s">
        <v>247</v>
      </c>
      <c r="G512" s="22">
        <v>593538.80008701282</v>
      </c>
      <c r="H512" s="184"/>
      <c r="I512" s="23">
        <f ca="1">I511*労務費経費単価SC!D$7</f>
        <v>0</v>
      </c>
      <c r="J512" s="23">
        <f ca="1">J511*労務費経費単価SC!D$11</f>
        <v>14775</v>
      </c>
      <c r="K512" s="22">
        <f ca="1">K511*$E511</f>
        <v>0</v>
      </c>
      <c r="L512" s="22">
        <f ca="1">L511*$E511</f>
        <v>0</v>
      </c>
      <c r="M512" s="22">
        <f t="shared" ref="M512" ca="1" si="1765">M511*$E511</f>
        <v>0</v>
      </c>
      <c r="N512" s="22">
        <f t="shared" ref="N512" ca="1" si="1766">N511*$E511</f>
        <v>0</v>
      </c>
      <c r="O512" s="22">
        <f t="shared" ref="O512" ca="1" si="1767">O511*$E511</f>
        <v>0</v>
      </c>
      <c r="P512" s="22">
        <f t="shared" ref="P512" ca="1" si="1768">P511*$E511</f>
        <v>0</v>
      </c>
      <c r="Q512" s="22">
        <f t="shared" ref="Q512" ca="1" si="1769">Q511*$E511</f>
        <v>0</v>
      </c>
      <c r="R512" s="22">
        <f t="shared" ref="R512" ca="1" si="1770">R511*$E511</f>
        <v>0</v>
      </c>
      <c r="S512" s="22">
        <f t="shared" ref="S512" ca="1" si="1771">S511*$E511</f>
        <v>531900</v>
      </c>
      <c r="U512" s="17"/>
      <c r="V512" s="18"/>
      <c r="W512" s="19"/>
      <c r="X512" s="20"/>
    </row>
    <row r="513" spans="1:24">
      <c r="A513" s="200"/>
      <c r="B513" s="211"/>
      <c r="C513" s="200" t="s">
        <v>430</v>
      </c>
      <c r="D513" s="199" t="str">
        <f>VLOOKUP(C513,'仕掛品名寄（貼付）'!B:C,2,FALSE)</f>
        <v>その他</v>
      </c>
      <c r="E513" s="199">
        <f>VLOOKUP(D513,'仕掛品標準単価一覧表（貼付）'!B:G,6,FALSE)</f>
        <v>1080</v>
      </c>
      <c r="F513" s="12" t="s">
        <v>246</v>
      </c>
      <c r="G513" s="13">
        <v>0</v>
      </c>
      <c r="H513" s="13">
        <f ca="1">SUMIF('1.3②原材料使用'!B:E,C513,'1.3②原材料使用'!E:E)</f>
        <v>0</v>
      </c>
      <c r="I513" s="13">
        <f ca="1">SUMIF('2.10原液別作業時間'!A:B,C513,'2.10原液別作業時間'!B:B)</f>
        <v>0</v>
      </c>
      <c r="J513" s="13">
        <f ca="1">SUM(G513:H513,K513)</f>
        <v>0</v>
      </c>
      <c r="K513" s="13">
        <f ca="1">SUMIF('2.2⑤純増減→前工程費'!B:E,C513,'2.2⑤純増減→前工程費'!E:E)</f>
        <v>0</v>
      </c>
      <c r="L513" s="13">
        <f ca="1">SUMIF('2.6完成品'!C:D,C513,'2.6完成品'!D:D)</f>
        <v>0</v>
      </c>
      <c r="M513" s="13">
        <f ca="1">SUMIF('2.3研究費'!D:E,C513,'2.3研究費'!E:E)</f>
        <v>0</v>
      </c>
      <c r="N513" s="13">
        <f ca="1">SUMIF('2.4販促費'!D:E,C513,'2.4販促費'!E:E)</f>
        <v>0</v>
      </c>
      <c r="O513" s="13">
        <f ca="1">SUMIF('2.5廃棄処分'!D:E,C513,'2.5廃棄処分'!E:E)</f>
        <v>0</v>
      </c>
      <c r="P513" s="13">
        <f ca="1">SUMIF('2.1④異種原液'!D:E,C513,'2.1④異種原液'!E:E)</f>
        <v>0</v>
      </c>
      <c r="Q513" s="14">
        <f ca="1">SUMIF('2.7製造部生産分'!D:I,C513,'2.7製造部生産分'!H:H)</f>
        <v>0</v>
      </c>
      <c r="R513" s="15">
        <f ca="1">-(G513+H513+K513-L513-M513-N513-O513-P513-Q513-S513)</f>
        <v>0</v>
      </c>
      <c r="S513" s="13">
        <f ca="1">SUMIF('2.9原液在庫'!B:H,C513,'2.9原液在庫'!H:H)</f>
        <v>0</v>
      </c>
      <c r="T513" s="16">
        <f ca="1">IFERROR(SUM(G514:K514)/(G513+H513+K513),0)</f>
        <v>0</v>
      </c>
      <c r="U513" s="17" t="str">
        <f>C513</f>
        <v>ﾊﾞｰﾄﾞ</v>
      </c>
      <c r="V513" s="18">
        <f ca="1">IF(ISERROR(SUM(G514:K514)/SUM(L513:Q513,S513)),0,SUM(G514:K514)/SUM(L513:Q513,S513))</f>
        <v>0</v>
      </c>
      <c r="W513" s="19">
        <f ca="1">V513</f>
        <v>0</v>
      </c>
      <c r="X513" s="20">
        <f ca="1">W513/1000</f>
        <v>0</v>
      </c>
    </row>
    <row r="514" spans="1:24">
      <c r="A514" s="201"/>
      <c r="B514" s="201"/>
      <c r="C514" s="201"/>
      <c r="D514" s="199"/>
      <c r="E514" s="199"/>
      <c r="F514" s="21" t="s">
        <v>247</v>
      </c>
      <c r="G514" s="22" t="s">
        <v>254</v>
      </c>
      <c r="H514" s="184"/>
      <c r="I514" s="23">
        <f ca="1">I513*労務費経費単価SC!D$7</f>
        <v>0</v>
      </c>
      <c r="J514" s="23">
        <f ca="1">J513*労務費経費単価SC!D$11</f>
        <v>0</v>
      </c>
      <c r="K514" s="22">
        <f ca="1">K513*$E513</f>
        <v>0</v>
      </c>
      <c r="L514" s="22">
        <f ca="1">L513*$E513</f>
        <v>0</v>
      </c>
      <c r="M514" s="22">
        <f t="shared" ref="M514" ca="1" si="1772">M513*$E513</f>
        <v>0</v>
      </c>
      <c r="N514" s="22">
        <f t="shared" ref="N514" ca="1" si="1773">N513*$E513</f>
        <v>0</v>
      </c>
      <c r="O514" s="22">
        <f t="shared" ref="O514" ca="1" si="1774">O513*$E513</f>
        <v>0</v>
      </c>
      <c r="P514" s="22">
        <f t="shared" ref="P514" ca="1" si="1775">P513*$E513</f>
        <v>0</v>
      </c>
      <c r="Q514" s="22">
        <f t="shared" ref="Q514" ca="1" si="1776">Q513*$E513</f>
        <v>0</v>
      </c>
      <c r="R514" s="22">
        <f t="shared" ref="R514" ca="1" si="1777">R513*$E513</f>
        <v>0</v>
      </c>
      <c r="S514" s="22">
        <f t="shared" ref="S514" ca="1" si="1778">S513*$E513</f>
        <v>0</v>
      </c>
      <c r="U514" s="17"/>
      <c r="V514" s="18"/>
      <c r="W514" s="19"/>
      <c r="X514" s="20"/>
    </row>
    <row r="515" spans="1:24">
      <c r="A515" s="200"/>
      <c r="B515" s="211"/>
      <c r="C515" s="200" t="s">
        <v>431</v>
      </c>
      <c r="D515" s="199" t="str">
        <f>VLOOKUP(C515,'仕掛品名寄（貼付）'!B:C,2,FALSE)</f>
        <v>その他</v>
      </c>
      <c r="E515" s="199">
        <f>VLOOKUP(D515,'仕掛品標準単価一覧表（貼付）'!B:G,6,FALSE)</f>
        <v>1080</v>
      </c>
      <c r="F515" s="12" t="s">
        <v>246</v>
      </c>
      <c r="G515" s="13">
        <v>0</v>
      </c>
      <c r="H515" s="13">
        <f ca="1">SUMIF('1.3②原材料使用'!B:E,C515,'1.3②原材料使用'!E:E)</f>
        <v>0</v>
      </c>
      <c r="I515" s="13">
        <f ca="1">SUMIF('2.10原液別作業時間'!A:B,C515,'2.10原液別作業時間'!B:B)</f>
        <v>0</v>
      </c>
      <c r="J515" s="13">
        <f ca="1">SUM(G515:H515,K515)</f>
        <v>0</v>
      </c>
      <c r="K515" s="13">
        <f ca="1">SUMIF('2.2⑤純増減→前工程費'!B:E,C515,'2.2⑤純増減→前工程費'!E:E)</f>
        <v>0</v>
      </c>
      <c r="L515" s="13">
        <f ca="1">SUMIF('2.6完成品'!C:D,C515,'2.6完成品'!D:D)</f>
        <v>0</v>
      </c>
      <c r="M515" s="13">
        <f ca="1">SUMIF('2.3研究費'!D:E,C515,'2.3研究費'!E:E)</f>
        <v>0</v>
      </c>
      <c r="N515" s="13">
        <f ca="1">SUMIF('2.4販促費'!D:E,C515,'2.4販促費'!E:E)</f>
        <v>0</v>
      </c>
      <c r="O515" s="13">
        <f ca="1">SUMIF('2.5廃棄処分'!D:E,C515,'2.5廃棄処分'!E:E)</f>
        <v>0</v>
      </c>
      <c r="P515" s="13">
        <f ca="1">SUMIF('2.1④異種原液'!D:E,C515,'2.1④異種原液'!E:E)</f>
        <v>0</v>
      </c>
      <c r="Q515" s="14">
        <f ca="1">SUMIF('2.7製造部生産分'!D:I,C515,'2.7製造部生産分'!H:H)</f>
        <v>0</v>
      </c>
      <c r="R515" s="15">
        <f ca="1">-(G515+H515+K515-L515-M515-N515-O515-P515-Q515-S515)</f>
        <v>0</v>
      </c>
      <c r="S515" s="13">
        <f ca="1">SUMIF('2.9原液在庫'!B:H,C515,'2.9原液在庫'!H:H)</f>
        <v>0</v>
      </c>
      <c r="T515" s="16">
        <f ca="1">IFERROR(SUM(G516:K516)/(G515+H515+K515),0)</f>
        <v>0</v>
      </c>
      <c r="U515" s="17" t="str">
        <f>C515</f>
        <v>ﾌｨｯｼｭ</v>
      </c>
      <c r="V515" s="18">
        <f ca="1">IF(ISERROR(SUM(G516:K516)/SUM(L515:Q515,S515)),0,SUM(G516:K516)/SUM(L515:Q515,S515))</f>
        <v>0</v>
      </c>
      <c r="W515" s="19">
        <f ca="1">V515</f>
        <v>0</v>
      </c>
      <c r="X515" s="20">
        <f ca="1">W515/1000</f>
        <v>0</v>
      </c>
    </row>
    <row r="516" spans="1:24">
      <c r="A516" s="201"/>
      <c r="B516" s="201"/>
      <c r="C516" s="201"/>
      <c r="D516" s="199"/>
      <c r="E516" s="199"/>
      <c r="F516" s="21" t="s">
        <v>247</v>
      </c>
      <c r="G516" s="22" t="s">
        <v>254</v>
      </c>
      <c r="H516" s="184"/>
      <c r="I516" s="23">
        <f ca="1">I515*労務費経費単価SC!D$7</f>
        <v>0</v>
      </c>
      <c r="J516" s="23">
        <f ca="1">J515*労務費経費単価SC!D$11</f>
        <v>0</v>
      </c>
      <c r="K516" s="22">
        <f ca="1">K515*$E515</f>
        <v>0</v>
      </c>
      <c r="L516" s="22">
        <f ca="1">L515*$E515</f>
        <v>0</v>
      </c>
      <c r="M516" s="22">
        <f t="shared" ref="M516" ca="1" si="1779">M515*$E515</f>
        <v>0</v>
      </c>
      <c r="N516" s="22">
        <f t="shared" ref="N516" ca="1" si="1780">N515*$E515</f>
        <v>0</v>
      </c>
      <c r="O516" s="22">
        <f t="shared" ref="O516" ca="1" si="1781">O515*$E515</f>
        <v>0</v>
      </c>
      <c r="P516" s="22">
        <f t="shared" ref="P516" ca="1" si="1782">P515*$E515</f>
        <v>0</v>
      </c>
      <c r="Q516" s="22">
        <f t="shared" ref="Q516" ca="1" si="1783">Q515*$E515</f>
        <v>0</v>
      </c>
      <c r="R516" s="22">
        <f t="shared" ref="R516" ca="1" si="1784">R515*$E515</f>
        <v>0</v>
      </c>
      <c r="S516" s="22">
        <f t="shared" ref="S516" ca="1" si="1785">S515*$E515</f>
        <v>0</v>
      </c>
      <c r="U516" s="17"/>
      <c r="V516" s="18"/>
      <c r="W516" s="19"/>
      <c r="X516" s="20"/>
    </row>
    <row r="517" spans="1:24">
      <c r="A517" s="200"/>
      <c r="B517" s="211"/>
      <c r="C517" s="200" t="s">
        <v>432</v>
      </c>
      <c r="D517" s="199" t="str">
        <f>VLOOKUP(C517,'仕掛品名寄（貼付）'!B:C,2,FALSE)</f>
        <v>その他</v>
      </c>
      <c r="E517" s="199">
        <f>VLOOKUP(D517,'仕掛品標準単価一覧表（貼付）'!B:G,6,FALSE)</f>
        <v>1080</v>
      </c>
      <c r="F517" s="12" t="s">
        <v>246</v>
      </c>
      <c r="G517" s="24">
        <v>0</v>
      </c>
      <c r="H517" s="13">
        <f ca="1">SUMIF('1.3②原材料使用'!B:E,C517,'1.3②原材料使用'!E:E)</f>
        <v>0</v>
      </c>
      <c r="I517" s="13">
        <f ca="1">SUMIF('2.10原液別作業時間'!A:B,C517,'2.10原液別作業時間'!B:B)</f>
        <v>0</v>
      </c>
      <c r="J517" s="13">
        <f ca="1">SUM(G517:H517,K517)</f>
        <v>0</v>
      </c>
      <c r="K517" s="13">
        <f ca="1">SUMIF('2.2⑤純増減→前工程費'!B:E,C517,'2.2⑤純増減→前工程費'!E:E)</f>
        <v>0</v>
      </c>
      <c r="L517" s="13">
        <f ca="1">SUMIF('2.6完成品'!C:D,C517,'2.6完成品'!D:D)</f>
        <v>0</v>
      </c>
      <c r="M517" s="13">
        <f ca="1">SUMIF('2.3研究費'!D:E,C517,'2.3研究費'!E:E)</f>
        <v>0</v>
      </c>
      <c r="N517" s="13">
        <f ca="1">SUMIF('2.4販促費'!D:E,C517,'2.4販促費'!E:E)</f>
        <v>0</v>
      </c>
      <c r="O517" s="13">
        <f ca="1">SUMIF('2.5廃棄処分'!D:E,C517,'2.5廃棄処分'!E:E)</f>
        <v>0</v>
      </c>
      <c r="P517" s="13">
        <f ca="1">SUMIF('2.1④異種原液'!D:E,C517,'2.1④異種原液'!E:E)</f>
        <v>0</v>
      </c>
      <c r="Q517" s="14">
        <f ca="1">SUMIF('2.7製造部生産分'!D:I,C517,'2.7製造部生産分'!H:H)</f>
        <v>0</v>
      </c>
      <c r="R517" s="15">
        <f ca="1">-(G517+H517+K517-L517-M517-N517-O517-P517-Q517-S517)</f>
        <v>0</v>
      </c>
      <c r="S517" s="13">
        <f ca="1">SUMIF('2.9原液在庫'!B:H,C517,'2.9原液在庫'!H:H)</f>
        <v>0</v>
      </c>
      <c r="T517" s="16">
        <f ca="1">IFERROR(SUM(G518:K518)/(G517+H517+K517),0)</f>
        <v>0</v>
      </c>
      <c r="U517" s="17" t="str">
        <f>C517</f>
        <v>ﾍﾟｯﾄ</v>
      </c>
      <c r="V517" s="18">
        <f ca="1">IF(ISERROR(SUM(G518:K518)/SUM(L517:Q517,S517)),0,SUM(G518:K518)/SUM(L517:Q517,S517))</f>
        <v>0</v>
      </c>
      <c r="W517" s="19">
        <f ca="1">V517</f>
        <v>0</v>
      </c>
      <c r="X517" s="20">
        <f ca="1">W517/1000</f>
        <v>0</v>
      </c>
    </row>
    <row r="518" spans="1:24">
      <c r="A518" s="201"/>
      <c r="B518" s="201"/>
      <c r="C518" s="201"/>
      <c r="D518" s="199"/>
      <c r="E518" s="199"/>
      <c r="F518" s="21" t="s">
        <v>247</v>
      </c>
      <c r="G518" s="22" t="s">
        <v>254</v>
      </c>
      <c r="H518" s="184"/>
      <c r="I518" s="23">
        <f ca="1">I517*労務費経費単価SC!D$7</f>
        <v>0</v>
      </c>
      <c r="J518" s="23">
        <f ca="1">J517*労務費経費単価SC!D$11</f>
        <v>0</v>
      </c>
      <c r="K518" s="22">
        <f ca="1">K517*$E517</f>
        <v>0</v>
      </c>
      <c r="L518" s="22">
        <f ca="1">L517*$E517</f>
        <v>0</v>
      </c>
      <c r="M518" s="22">
        <f t="shared" ref="M518" ca="1" si="1786">M517*$E517</f>
        <v>0</v>
      </c>
      <c r="N518" s="22">
        <f t="shared" ref="N518" ca="1" si="1787">N517*$E517</f>
        <v>0</v>
      </c>
      <c r="O518" s="22">
        <f t="shared" ref="O518" ca="1" si="1788">O517*$E517</f>
        <v>0</v>
      </c>
      <c r="P518" s="22">
        <f t="shared" ref="P518" ca="1" si="1789">P517*$E517</f>
        <v>0</v>
      </c>
      <c r="Q518" s="22">
        <f t="shared" ref="Q518" ca="1" si="1790">Q517*$E517</f>
        <v>0</v>
      </c>
      <c r="R518" s="22">
        <f t="shared" ref="R518" ca="1" si="1791">R517*$E517</f>
        <v>0</v>
      </c>
      <c r="S518" s="22">
        <f t="shared" ref="S518" ca="1" si="1792">S517*$E517</f>
        <v>0</v>
      </c>
      <c r="U518" s="17"/>
      <c r="V518" s="18"/>
      <c r="W518" s="19"/>
      <c r="X518" s="20"/>
    </row>
    <row r="519" spans="1:24">
      <c r="A519" s="200"/>
      <c r="B519" s="211"/>
      <c r="C519" s="200" t="s">
        <v>123</v>
      </c>
      <c r="D519" s="199" t="str">
        <f>VLOOKUP(C519,'仕掛品名寄（貼付）'!B:C,2,FALSE)</f>
        <v>B</v>
      </c>
      <c r="E519" s="199">
        <f>VLOOKUP(D519,'仕掛品標準単価一覧表（貼付）'!B:G,6,FALSE)</f>
        <v>1455</v>
      </c>
      <c r="F519" s="12" t="s">
        <v>246</v>
      </c>
      <c r="G519" s="13">
        <v>1487.4999999999927</v>
      </c>
      <c r="H519" s="13">
        <f ca="1">SUMIF('1.3②原材料使用'!B:E,C519,'1.3②原材料使用'!E:E)</f>
        <v>0</v>
      </c>
      <c r="I519" s="13">
        <f ca="1">SUMIF('2.10原液別作業時間'!A:B,C519,'2.10原液別作業時間'!B:B)</f>
        <v>1295</v>
      </c>
      <c r="J519" s="13">
        <f ca="1">SUM(G519:H519,K519)</f>
        <v>4250.9999999999927</v>
      </c>
      <c r="K519" s="13">
        <f ca="1">SUMIF('2.2⑤純増減→前工程費'!B:E,C519,'2.2⑤純増減→前工程費'!E:E)</f>
        <v>2763.5</v>
      </c>
      <c r="L519" s="13">
        <f ca="1">SUMIF('2.6完成品'!C:D,C519,'2.6完成品'!D:D)</f>
        <v>548.9</v>
      </c>
      <c r="M519" s="13">
        <f ca="1">SUMIF('2.3研究費'!D:E,C519,'2.3研究費'!E:E)</f>
        <v>1</v>
      </c>
      <c r="N519" s="13">
        <f ca="1">SUMIF('2.4販促費'!D:E,C519,'2.4販促費'!E:E)</f>
        <v>0</v>
      </c>
      <c r="O519" s="13">
        <f ca="1">SUMIF('2.5廃棄処分'!D:E,C519,'2.5廃棄処分'!E:E)</f>
        <v>0</v>
      </c>
      <c r="P519" s="13">
        <f ca="1">SUMIF('2.1④異種原液'!D:E,C519,'2.1④異種原液'!E:E)</f>
        <v>1979</v>
      </c>
      <c r="Q519" s="14">
        <f ca="1">SUMIF('2.7製造部生産分'!D:I,C519,'2.7製造部生産分'!H:H)</f>
        <v>0</v>
      </c>
      <c r="R519" s="15">
        <f ca="1">-(G519+H519+K519-L519-M519-N519-O519-P519-Q519-S519)</f>
        <v>-9.5999999999999091</v>
      </c>
      <c r="S519" s="13">
        <f ca="1">SUMIF('2.9原液在庫'!B:H,C519,'2.9原液在庫'!H:H)</f>
        <v>1712.4999999999927</v>
      </c>
      <c r="T519" s="16">
        <f ca="1">IFERROR(SUM(G520:K520)/(G519+H519+K519),0)</f>
        <v>1402.3527837125012</v>
      </c>
      <c r="U519" s="17" t="str">
        <f>C519</f>
        <v>B</v>
      </c>
      <c r="V519" s="18">
        <f ca="1">IF(ISERROR(SUM(G520:K520)/SUM(L519:Q519,S519)),0,SUM(G520:K520)/SUM(L519:Q519,S519))</f>
        <v>1405.5268740420245</v>
      </c>
      <c r="W519" s="19">
        <f ca="1">V519</f>
        <v>1405.5268740420245</v>
      </c>
      <c r="X519" s="20">
        <f ca="1">W519/1000</f>
        <v>1.4055268740420244</v>
      </c>
    </row>
    <row r="520" spans="1:24">
      <c r="A520" s="201"/>
      <c r="B520" s="201"/>
      <c r="C520" s="201"/>
      <c r="D520" s="199"/>
      <c r="E520" s="199"/>
      <c r="F520" s="21" t="s">
        <v>247</v>
      </c>
      <c r="G520" s="22">
        <v>1217279.1835618319</v>
      </c>
      <c r="H520" s="184"/>
      <c r="I520" s="23">
        <f ca="1">I519*労務費経費単価SC!D$7</f>
        <v>595700</v>
      </c>
      <c r="J520" s="23">
        <f ca="1">J519*労務費経費単価SC!D$11</f>
        <v>127529.99999999978</v>
      </c>
      <c r="K520" s="22">
        <f ca="1">K519*$E519</f>
        <v>4020892.5</v>
      </c>
      <c r="L520" s="22">
        <f ca="1">L519*$E519</f>
        <v>798649.5</v>
      </c>
      <c r="M520" s="22">
        <f t="shared" ref="M520" ca="1" si="1793">M519*$E519</f>
        <v>1455</v>
      </c>
      <c r="N520" s="22">
        <f t="shared" ref="N520" ca="1" si="1794">N519*$E519</f>
        <v>0</v>
      </c>
      <c r="O520" s="22">
        <f t="shared" ref="O520" ca="1" si="1795">O519*$E519</f>
        <v>0</v>
      </c>
      <c r="P520" s="22">
        <f t="shared" ref="P520" ca="1" si="1796">P519*$E519</f>
        <v>2879445</v>
      </c>
      <c r="Q520" s="22">
        <f t="shared" ref="Q520" ca="1" si="1797">Q519*$E519</f>
        <v>0</v>
      </c>
      <c r="R520" s="22">
        <f t="shared" ref="R520" ca="1" si="1798">R519*$E519</f>
        <v>-13967.999999999867</v>
      </c>
      <c r="S520" s="22">
        <f t="shared" ref="S520" ca="1" si="1799">S519*$E519</f>
        <v>2491687.4999999893</v>
      </c>
      <c r="U520" s="17"/>
      <c r="V520" s="18"/>
      <c r="W520" s="19"/>
      <c r="X520" s="20"/>
    </row>
    <row r="521" spans="1:24">
      <c r="A521" s="200"/>
      <c r="B521" s="211"/>
      <c r="C521" s="200" t="s">
        <v>433</v>
      </c>
      <c r="D521" s="199" t="str">
        <f>VLOOKUP(C521,'仕掛品名寄（貼付）'!B:C,2,FALSE)</f>
        <v>その他</v>
      </c>
      <c r="E521" s="199">
        <f>VLOOKUP(D521,'仕掛品標準単価一覧表（貼付）'!B:G,6,FALSE)</f>
        <v>1080</v>
      </c>
      <c r="F521" s="12" t="s">
        <v>246</v>
      </c>
      <c r="G521" s="13">
        <v>0</v>
      </c>
      <c r="H521" s="13">
        <f ca="1">SUMIF('1.3②原材料使用'!B:E,C521,'1.3②原材料使用'!E:E)</f>
        <v>0</v>
      </c>
      <c r="I521" s="13">
        <f ca="1">SUMIF('2.10原液別作業時間'!A:B,C521,'2.10原液別作業時間'!B:B)</f>
        <v>0</v>
      </c>
      <c r="J521" s="13">
        <f ca="1">SUM(G521:H521,K521)</f>
        <v>0</v>
      </c>
      <c r="K521" s="13">
        <f ca="1">SUMIF('2.2⑤純増減→前工程費'!B:E,C521,'2.2⑤純増減→前工程費'!E:E)</f>
        <v>0</v>
      </c>
      <c r="L521" s="13">
        <f ca="1">SUMIF('2.6完成品'!C:D,C521,'2.6完成品'!D:D)</f>
        <v>0</v>
      </c>
      <c r="M521" s="13">
        <f ca="1">SUMIF('2.3研究費'!D:E,C521,'2.3研究費'!E:E)</f>
        <v>0</v>
      </c>
      <c r="N521" s="13">
        <f ca="1">SUMIF('2.4販促費'!D:E,C521,'2.4販促費'!E:E)</f>
        <v>0</v>
      </c>
      <c r="O521" s="13">
        <f ca="1">SUMIF('2.5廃棄処分'!D:E,C521,'2.5廃棄処分'!E:E)</f>
        <v>0</v>
      </c>
      <c r="P521" s="13">
        <f ca="1">SUMIF('2.1④異種原液'!D:E,C521,'2.1④異種原液'!E:E)</f>
        <v>0</v>
      </c>
      <c r="Q521" s="14">
        <f ca="1">SUMIF('2.7製造部生産分'!D:I,C521,'2.7製造部生産分'!H:H)</f>
        <v>0</v>
      </c>
      <c r="R521" s="15">
        <f ca="1">-(G521+H521+K521-L521-M521-N521-O521-P521-Q521-S521)</f>
        <v>0</v>
      </c>
      <c r="S521" s="13">
        <f ca="1">SUMIF('2.9原液在庫'!B:H,C521,'2.9原液在庫'!H:H)</f>
        <v>0</v>
      </c>
      <c r="T521" s="16">
        <f ca="1">IFERROR(SUM(G522:K522)/(G521+H521+K521),0)</f>
        <v>0</v>
      </c>
      <c r="U521" s="17" t="str">
        <f>C521</f>
        <v>BL</v>
      </c>
      <c r="V521" s="18">
        <f ca="1">IF(ISERROR(SUM(G522:K522)/SUM(L521:Q521,S521)),0,SUM(G522:K522)/SUM(L521:Q521,S521))</f>
        <v>0</v>
      </c>
      <c r="W521" s="19">
        <f ca="1">V521</f>
        <v>0</v>
      </c>
      <c r="X521" s="20">
        <f ca="1">W521/1000</f>
        <v>0</v>
      </c>
    </row>
    <row r="522" spans="1:24">
      <c r="A522" s="201"/>
      <c r="B522" s="201"/>
      <c r="C522" s="201"/>
      <c r="D522" s="199"/>
      <c r="E522" s="199"/>
      <c r="F522" s="21" t="s">
        <v>247</v>
      </c>
      <c r="G522" s="22" t="s">
        <v>254</v>
      </c>
      <c r="H522" s="184"/>
      <c r="I522" s="23">
        <f ca="1">I521*労務費経費単価SC!D$7</f>
        <v>0</v>
      </c>
      <c r="J522" s="23">
        <f ca="1">J521*労務費経費単価SC!D$11</f>
        <v>0</v>
      </c>
      <c r="K522" s="22">
        <f ca="1">K521*$E521</f>
        <v>0</v>
      </c>
      <c r="L522" s="22">
        <f ca="1">L521*$E521</f>
        <v>0</v>
      </c>
      <c r="M522" s="22">
        <f t="shared" ref="M522" ca="1" si="1800">M521*$E521</f>
        <v>0</v>
      </c>
      <c r="N522" s="22">
        <f t="shared" ref="N522" ca="1" si="1801">N521*$E521</f>
        <v>0</v>
      </c>
      <c r="O522" s="22">
        <f t="shared" ref="O522" ca="1" si="1802">O521*$E521</f>
        <v>0</v>
      </c>
      <c r="P522" s="22">
        <f t="shared" ref="P522" ca="1" si="1803">P521*$E521</f>
        <v>0</v>
      </c>
      <c r="Q522" s="22">
        <f t="shared" ref="Q522" ca="1" si="1804">Q521*$E521</f>
        <v>0</v>
      </c>
      <c r="R522" s="22">
        <f t="shared" ref="R522" ca="1" si="1805">R521*$E521</f>
        <v>0</v>
      </c>
      <c r="S522" s="22">
        <f t="shared" ref="S522" ca="1" si="1806">S521*$E521</f>
        <v>0</v>
      </c>
      <c r="U522" s="17"/>
      <c r="V522" s="18"/>
      <c r="W522" s="19"/>
      <c r="X522" s="20"/>
    </row>
    <row r="523" spans="1:24">
      <c r="A523" s="200"/>
      <c r="B523" s="211"/>
      <c r="C523" s="200" t="s">
        <v>124</v>
      </c>
      <c r="D523" s="199" t="str">
        <f>VLOOKUP(C523,'仕掛品名寄（貼付）'!B:C,2,FALSE)</f>
        <v>その他</v>
      </c>
      <c r="E523" s="199">
        <f>VLOOKUP(D523,'仕掛品標準単価一覧表（貼付）'!B:G,6,FALSE)</f>
        <v>1080</v>
      </c>
      <c r="F523" s="12" t="s">
        <v>246</v>
      </c>
      <c r="G523" s="24">
        <v>1169.0999999999999</v>
      </c>
      <c r="H523" s="13">
        <f ca="1">SUMIF('1.3②原材料使用'!B:E,C523,'1.3②原材料使用'!E:E)</f>
        <v>0</v>
      </c>
      <c r="I523" s="13">
        <f ca="1">SUMIF('2.10原液別作業時間'!A:B,C523,'2.10原液別作業時間'!B:B)</f>
        <v>370</v>
      </c>
      <c r="J523" s="13">
        <f ca="1">SUM(G523:H523,K523)</f>
        <v>1568.6</v>
      </c>
      <c r="K523" s="13">
        <f ca="1">SUMIF('2.2⑤純増減→前工程費'!B:E,C523,'2.2⑤純増減→前工程費'!E:E)</f>
        <v>399.5</v>
      </c>
      <c r="L523" s="13">
        <f ca="1">SUMIF('2.6完成品'!C:D,C523,'2.6完成品'!D:D)</f>
        <v>28.1</v>
      </c>
      <c r="M523" s="13">
        <f ca="1">SUMIF('2.3研究費'!D:E,C523,'2.3研究費'!E:E)</f>
        <v>0</v>
      </c>
      <c r="N523" s="13">
        <f ca="1">SUMIF('2.4販促費'!D:E,C523,'2.4販促費'!E:E)</f>
        <v>0</v>
      </c>
      <c r="O523" s="13">
        <f ca="1">SUMIF('2.5廃棄処分'!D:E,C523,'2.5廃棄処分'!E:E)</f>
        <v>0</v>
      </c>
      <c r="P523" s="13">
        <f ca="1">SUMIF('2.1④異種原液'!D:E,C523,'2.1④異種原液'!E:E)</f>
        <v>810</v>
      </c>
      <c r="Q523" s="14">
        <f ca="1">SUMIF('2.7製造部生産分'!D:I,C523,'2.7製造部生産分'!H:H)</f>
        <v>0</v>
      </c>
      <c r="R523" s="15">
        <f ca="1">-(G523+H523+K523-L523-M523-N523-O523-P523-Q523-S523)</f>
        <v>-2</v>
      </c>
      <c r="S523" s="13">
        <f ca="1">SUMIF('2.9原液在庫'!B:H,C523,'2.9原液在庫'!H:H)</f>
        <v>728.5</v>
      </c>
      <c r="T523" s="16">
        <f ca="1">IFERROR(SUM(G524:K524)/(G523+H523+K523),0)</f>
        <v>975.61146391004797</v>
      </c>
      <c r="U523" s="17" t="str">
        <f>C523</f>
        <v>C</v>
      </c>
      <c r="V523" s="18">
        <f ca="1">IF(ISERROR(SUM(G524:K524)/SUM(L523:Q523,S523)),0,SUM(G524:K524)/SUM(L523:Q523,S523))</f>
        <v>976.85697835395206</v>
      </c>
      <c r="W523" s="19">
        <f ca="1">V523</f>
        <v>976.85697835395206</v>
      </c>
      <c r="X523" s="20">
        <f ca="1">W523/1000</f>
        <v>0.97685697835395202</v>
      </c>
    </row>
    <row r="524" spans="1:24">
      <c r="A524" s="201"/>
      <c r="B524" s="201"/>
      <c r="C524" s="201"/>
      <c r="D524" s="199"/>
      <c r="E524" s="199"/>
      <c r="F524" s="21" t="s">
        <v>247</v>
      </c>
      <c r="G524" s="22">
        <v>881626.14228930115</v>
      </c>
      <c r="H524" s="184"/>
      <c r="I524" s="23">
        <f ca="1">I523*労務費経費単価SC!D$7</f>
        <v>170200</v>
      </c>
      <c r="J524" s="23">
        <f ca="1">J523*労務費経費単価SC!D$11</f>
        <v>47058</v>
      </c>
      <c r="K524" s="22">
        <f ca="1">K523*$E523</f>
        <v>431460</v>
      </c>
      <c r="L524" s="22">
        <f ca="1">L523*$E523</f>
        <v>30348</v>
      </c>
      <c r="M524" s="22">
        <f t="shared" ref="M524" ca="1" si="1807">M523*$E523</f>
        <v>0</v>
      </c>
      <c r="N524" s="22">
        <f t="shared" ref="N524" ca="1" si="1808">N523*$E523</f>
        <v>0</v>
      </c>
      <c r="O524" s="22">
        <f t="shared" ref="O524" ca="1" si="1809">O523*$E523</f>
        <v>0</v>
      </c>
      <c r="P524" s="22">
        <f t="shared" ref="P524" ca="1" si="1810">P523*$E523</f>
        <v>874800</v>
      </c>
      <c r="Q524" s="22">
        <f t="shared" ref="Q524" ca="1" si="1811">Q523*$E523</f>
        <v>0</v>
      </c>
      <c r="R524" s="22">
        <f t="shared" ref="R524" ca="1" si="1812">R523*$E523</f>
        <v>-2160</v>
      </c>
      <c r="S524" s="22">
        <f t="shared" ref="S524" ca="1" si="1813">S523*$E523</f>
        <v>786780</v>
      </c>
      <c r="U524" s="17"/>
      <c r="V524" s="18"/>
      <c r="W524" s="19"/>
      <c r="X524" s="20"/>
    </row>
    <row r="525" spans="1:24">
      <c r="A525" s="200"/>
      <c r="B525" s="211"/>
      <c r="C525" s="200" t="s">
        <v>125</v>
      </c>
      <c r="D525" s="199" t="str">
        <f>VLOOKUP(C525,'仕掛品名寄（貼付）'!B:C,2,FALSE)</f>
        <v>その他</v>
      </c>
      <c r="E525" s="199">
        <f>VLOOKUP(D525,'仕掛品標準単価一覧表（貼付）'!B:G,6,FALSE)</f>
        <v>1080</v>
      </c>
      <c r="F525" s="12" t="s">
        <v>246</v>
      </c>
      <c r="G525" s="24">
        <v>150</v>
      </c>
      <c r="H525" s="13">
        <f ca="1">SUMIF('1.3②原材料使用'!B:E,C525,'1.3②原材料使用'!E:E)</f>
        <v>0</v>
      </c>
      <c r="I525" s="13">
        <f ca="1">SUMIF('2.10原液別作業時間'!A:B,C525,'2.10原液別作業時間'!B:B)</f>
        <v>180</v>
      </c>
      <c r="J525" s="13">
        <f ca="1">SUM(G525:H525,K525)</f>
        <v>449.5</v>
      </c>
      <c r="K525" s="13">
        <f ca="1">SUMIF('2.2⑤純増減→前工程費'!B:E,C525,'2.2⑤純増減→前工程費'!E:E)</f>
        <v>299.5</v>
      </c>
      <c r="L525" s="13">
        <f ca="1">SUMIF('2.6完成品'!C:D,C525,'2.6完成品'!D:D)</f>
        <v>185</v>
      </c>
      <c r="M525" s="13">
        <f ca="1">SUMIF('2.3研究費'!D:E,C525,'2.3研究費'!E:E)</f>
        <v>0</v>
      </c>
      <c r="N525" s="13">
        <f ca="1">SUMIF('2.4販促費'!D:E,C525,'2.4販促費'!E:E)</f>
        <v>0</v>
      </c>
      <c r="O525" s="13">
        <f ca="1">SUMIF('2.5廃棄処分'!D:E,C525,'2.5廃棄処分'!E:E)</f>
        <v>0</v>
      </c>
      <c r="P525" s="13">
        <f ca="1">SUMIF('2.1④異種原液'!D:E,C525,'2.1④異種原液'!E:E)</f>
        <v>0</v>
      </c>
      <c r="Q525" s="14">
        <f ca="1">SUMIF('2.7製造部生産分'!D:I,C525,'2.7製造部生産分'!H:H)</f>
        <v>0</v>
      </c>
      <c r="R525" s="15">
        <f ca="1">-(G525+H525+K525-L525-M525-N525-O525-P525-Q525-S525)</f>
        <v>-1</v>
      </c>
      <c r="S525" s="13">
        <f ca="1">SUMIF('2.9原液在庫'!B:H,C525,'2.9原液在庫'!H:H)</f>
        <v>263.5</v>
      </c>
      <c r="T525" s="16">
        <f ca="1">IFERROR(SUM(G526:K526)/(G525+H525+K525),0)</f>
        <v>1214.0418957929942</v>
      </c>
      <c r="U525" s="17" t="str">
        <f>C525</f>
        <v>D</v>
      </c>
      <c r="V525" s="18">
        <f ca="1">IF(ISERROR(SUM(G526:K526)/SUM(L525:Q525,S525)),0,SUM(G526:K526)/SUM(L525:Q525,S525))</f>
        <v>1216.7487896520643</v>
      </c>
      <c r="W525" s="19">
        <f ca="1">V525</f>
        <v>1216.7487896520643</v>
      </c>
      <c r="X525" s="20">
        <f ca="1">W525/1000</f>
        <v>1.2167487896520643</v>
      </c>
    </row>
    <row r="526" spans="1:24">
      <c r="A526" s="201"/>
      <c r="B526" s="201"/>
      <c r="C526" s="201"/>
      <c r="D526" s="199"/>
      <c r="E526" s="199"/>
      <c r="F526" s="21" t="s">
        <v>247</v>
      </c>
      <c r="G526" s="22">
        <v>125966.83215895086</v>
      </c>
      <c r="H526" s="184"/>
      <c r="I526" s="23">
        <f ca="1">I525*労務費経費単価SC!D$7</f>
        <v>82800</v>
      </c>
      <c r="J526" s="23">
        <f ca="1">J525*労務費経費単価SC!D$11</f>
        <v>13485</v>
      </c>
      <c r="K526" s="22">
        <f ca="1">K525*$E525</f>
        <v>323460</v>
      </c>
      <c r="L526" s="22">
        <f ca="1">L525*$E525</f>
        <v>199800</v>
      </c>
      <c r="M526" s="22">
        <f t="shared" ref="M526" ca="1" si="1814">M525*$E525</f>
        <v>0</v>
      </c>
      <c r="N526" s="22">
        <f t="shared" ref="N526" ca="1" si="1815">N525*$E525</f>
        <v>0</v>
      </c>
      <c r="O526" s="22">
        <f t="shared" ref="O526" ca="1" si="1816">O525*$E525</f>
        <v>0</v>
      </c>
      <c r="P526" s="22">
        <f t="shared" ref="P526" ca="1" si="1817">P525*$E525</f>
        <v>0</v>
      </c>
      <c r="Q526" s="22">
        <f t="shared" ref="Q526" ca="1" si="1818">Q525*$E525</f>
        <v>0</v>
      </c>
      <c r="R526" s="22">
        <f t="shared" ref="R526" ca="1" si="1819">R525*$E525</f>
        <v>-1080</v>
      </c>
      <c r="S526" s="22">
        <f t="shared" ref="S526" ca="1" si="1820">S525*$E525</f>
        <v>284580</v>
      </c>
      <c r="U526" s="17"/>
      <c r="V526" s="18"/>
      <c r="W526" s="19"/>
      <c r="X526" s="20"/>
    </row>
    <row r="527" spans="1:24">
      <c r="A527" s="200"/>
      <c r="B527" s="211"/>
      <c r="C527" s="200" t="s">
        <v>126</v>
      </c>
      <c r="D527" s="199" t="str">
        <f>VLOOKUP(C527,'仕掛品名寄（貼付）'!B:C,2,FALSE)</f>
        <v>その他</v>
      </c>
      <c r="E527" s="199">
        <f>VLOOKUP(D527,'仕掛品標準単価一覧表（貼付）'!B:G,6,FALSE)</f>
        <v>1080</v>
      </c>
      <c r="F527" s="12" t="s">
        <v>246</v>
      </c>
      <c r="G527" s="13">
        <v>161.5</v>
      </c>
      <c r="H527" s="13">
        <f ca="1">SUMIF('1.3②原材料使用'!B:E,C527,'1.3②原材料使用'!E:E)</f>
        <v>0</v>
      </c>
      <c r="I527" s="13">
        <f ca="1">SUMIF('2.10原液別作業時間'!A:B,C527,'2.10原液別作業時間'!B:B)</f>
        <v>360</v>
      </c>
      <c r="J527" s="13">
        <f ca="1">SUM(G527:H527,K527)</f>
        <v>708</v>
      </c>
      <c r="K527" s="13">
        <f ca="1">SUMIF('2.2⑤純増減→前工程費'!B:E,C527,'2.2⑤純増減→前工程費'!E:E)</f>
        <v>546.5</v>
      </c>
      <c r="L527" s="13">
        <f ca="1">SUMIF('2.6完成品'!C:D,C527,'2.6完成品'!D:D)</f>
        <v>0</v>
      </c>
      <c r="M527" s="13">
        <f ca="1">SUMIF('2.3研究費'!D:E,C527,'2.3研究費'!E:E)</f>
        <v>0</v>
      </c>
      <c r="N527" s="13">
        <f ca="1">SUMIF('2.4販促費'!D:E,C527,'2.4販促費'!E:E)</f>
        <v>0</v>
      </c>
      <c r="O527" s="13">
        <f ca="1">SUMIF('2.5廃棄処分'!D:E,C527,'2.5廃棄処分'!E:E)</f>
        <v>0</v>
      </c>
      <c r="P527" s="13">
        <f ca="1">SUMIF('2.1④異種原液'!D:E,C527,'2.1④異種原液'!E:E)</f>
        <v>500</v>
      </c>
      <c r="Q527" s="14">
        <f ca="1">SUMIF('2.7製造部生産分'!D:I,C527,'2.7製造部生産分'!H:H)</f>
        <v>0</v>
      </c>
      <c r="R527" s="15">
        <f ca="1">-(G527+H527+K527-L527-M527-N527-O527-P527-Q527-S527)</f>
        <v>-0.5</v>
      </c>
      <c r="S527" s="13">
        <f ca="1">SUMIF('2.9原液在庫'!B:H,C527,'2.9原液在庫'!H:H)</f>
        <v>207.5</v>
      </c>
      <c r="T527" s="16">
        <f ca="1">IFERROR(SUM(G528:K528)/(G527+H527+K527),0)</f>
        <v>1231.2536722230868</v>
      </c>
      <c r="U527" s="17" t="str">
        <f>C527</f>
        <v>E</v>
      </c>
      <c r="V527" s="18">
        <f ca="1">IF(ISERROR(SUM(G528:K528)/SUM(L527:Q527,S527)),0,SUM(G528:K528)/SUM(L527:Q527,S527))</f>
        <v>1232.1238161610536</v>
      </c>
      <c r="W527" s="19">
        <f ca="1">V527</f>
        <v>1232.1238161610536</v>
      </c>
      <c r="X527" s="20">
        <f ca="1">W527/1000</f>
        <v>1.2321238161610535</v>
      </c>
    </row>
    <row r="528" spans="1:24">
      <c r="A528" s="201"/>
      <c r="B528" s="201"/>
      <c r="C528" s="201"/>
      <c r="D528" s="199"/>
      <c r="E528" s="199"/>
      <c r="F528" s="21" t="s">
        <v>247</v>
      </c>
      <c r="G528" s="22">
        <v>94667.599933945428</v>
      </c>
      <c r="H528" s="184"/>
      <c r="I528" s="23">
        <f ca="1">I527*労務費経費単価SC!D$7</f>
        <v>165600</v>
      </c>
      <c r="J528" s="23">
        <f ca="1">J527*労務費経費単価SC!D$11</f>
        <v>21240</v>
      </c>
      <c r="K528" s="22">
        <f ca="1">K527*$E527</f>
        <v>590220</v>
      </c>
      <c r="L528" s="22">
        <f ca="1">L527*$E527</f>
        <v>0</v>
      </c>
      <c r="M528" s="22">
        <f t="shared" ref="M528" ca="1" si="1821">M527*$E527</f>
        <v>0</v>
      </c>
      <c r="N528" s="22">
        <f t="shared" ref="N528" ca="1" si="1822">N527*$E527</f>
        <v>0</v>
      </c>
      <c r="O528" s="22">
        <f t="shared" ref="O528" ca="1" si="1823">O527*$E527</f>
        <v>0</v>
      </c>
      <c r="P528" s="22">
        <f t="shared" ref="P528" ca="1" si="1824">P527*$E527</f>
        <v>540000</v>
      </c>
      <c r="Q528" s="22">
        <f t="shared" ref="Q528" ca="1" si="1825">Q527*$E527</f>
        <v>0</v>
      </c>
      <c r="R528" s="22">
        <f t="shared" ref="R528" ca="1" si="1826">R527*$E527</f>
        <v>-540</v>
      </c>
      <c r="S528" s="22">
        <f t="shared" ref="S528" ca="1" si="1827">S527*$E527</f>
        <v>224100</v>
      </c>
      <c r="U528" s="17"/>
      <c r="V528" s="18"/>
      <c r="W528" s="19"/>
      <c r="X528" s="20"/>
    </row>
    <row r="529" spans="1:25">
      <c r="A529" s="25"/>
      <c r="B529" s="25"/>
      <c r="C529" s="200" t="s">
        <v>156</v>
      </c>
      <c r="D529" s="199" t="str">
        <f>VLOOKUP(C529,'仕掛品名寄（貼付）'!B:C,2,FALSE)</f>
        <v>FEB</v>
      </c>
      <c r="E529" s="199">
        <f>VLOOKUP(D529,'仕掛品標準単価一覧表（貼付）'!B:G,6,FALSE)</f>
        <v>1416</v>
      </c>
      <c r="F529" s="12" t="s">
        <v>246</v>
      </c>
      <c r="G529" s="13">
        <v>0</v>
      </c>
      <c r="H529" s="13">
        <f ca="1">SUMIF('1.3②原材料使用'!B:E,C529,'1.3②原材料使用'!E:E)</f>
        <v>0</v>
      </c>
      <c r="I529" s="13">
        <f ca="1">SUMIF('2.10原液別作業時間'!A:B,C529,'2.10原液別作業時間'!B:B)</f>
        <v>17700</v>
      </c>
      <c r="J529" s="13">
        <f ca="1">SUM(G529:H529,K529)</f>
        <v>17031.5</v>
      </c>
      <c r="K529" s="13">
        <f ca="1">SUMIF('2.2⑤純増減→前工程費'!B:E,C529,'2.2⑤純増減→前工程費'!E:E)</f>
        <v>17031.5</v>
      </c>
      <c r="L529" s="13">
        <f ca="1">SUMIF('2.6完成品'!C:D,C529,'2.6完成品'!D:D)</f>
        <v>0</v>
      </c>
      <c r="M529" s="13">
        <f ca="1">SUMIF('2.3研究費'!D:E,C529,'2.3研究費'!E:E)</f>
        <v>0</v>
      </c>
      <c r="N529" s="13">
        <f ca="1">SUMIF('2.4販促費'!D:E,C529,'2.4販促費'!E:E)</f>
        <v>0</v>
      </c>
      <c r="O529" s="13">
        <f ca="1">SUMIF('2.5廃棄処分'!D:E,C529,'2.5廃棄処分'!E:E)</f>
        <v>0</v>
      </c>
      <c r="P529" s="13">
        <f ca="1">SUMIF('2.1④異種原液'!D:E,C529,'2.1④異種原液'!E:E)</f>
        <v>12811</v>
      </c>
      <c r="Q529" s="14">
        <f ca="1">SUMIF('2.7製造部生産分'!D:I,C529,'2.7製造部生産分'!H:H)</f>
        <v>0</v>
      </c>
      <c r="R529" s="15">
        <f ca="1">-(G529+H529+K529-L529-M529-N529-O529-P529-Q529-S529)</f>
        <v>1.5</v>
      </c>
      <c r="S529" s="13">
        <f ca="1">SUMIF('2.9原液在庫'!B:H,C529,'2.9原液在庫'!H:H)</f>
        <v>4222</v>
      </c>
      <c r="T529" s="16">
        <f ca="1">IFERROR(SUM(G530:K530)/(G529+H529+K529),0)</f>
        <v>1924.0553679945983</v>
      </c>
      <c r="U529" s="17" t="str">
        <f>C529</f>
        <v>FEB</v>
      </c>
      <c r="V529" s="18">
        <f ca="1">IF(ISERROR(SUM(G530:K530)/SUM(L529:Q529,S529)),0,SUM(G530:K530)/SUM(L529:Q529,S529))</f>
        <v>1923.8859273175601</v>
      </c>
      <c r="W529" s="19">
        <f ca="1">V529</f>
        <v>1923.8859273175601</v>
      </c>
      <c r="X529" s="20">
        <f ca="1">W529/1000</f>
        <v>1.9238859273175601</v>
      </c>
    </row>
    <row r="530" spans="1:25">
      <c r="A530" s="25"/>
      <c r="B530" s="25"/>
      <c r="C530" s="201"/>
      <c r="D530" s="199"/>
      <c r="E530" s="199"/>
      <c r="F530" s="21" t="s">
        <v>247</v>
      </c>
      <c r="G530" s="22">
        <v>0</v>
      </c>
      <c r="H530" s="184"/>
      <c r="I530" s="23">
        <f ca="1">I529*労務費経費単価SC!D$7</f>
        <v>8142000</v>
      </c>
      <c r="J530" s="23">
        <f ca="1">J529*労務費経費単価SC!D$11</f>
        <v>510945</v>
      </c>
      <c r="K530" s="22">
        <f ca="1">K529*$E529</f>
        <v>24116604</v>
      </c>
      <c r="L530" s="22">
        <f ca="1">L529*$E529</f>
        <v>0</v>
      </c>
      <c r="M530" s="22">
        <f t="shared" ref="M530" ca="1" si="1828">M529*$E529</f>
        <v>0</v>
      </c>
      <c r="N530" s="22">
        <f t="shared" ref="N530" ca="1" si="1829">N529*$E529</f>
        <v>0</v>
      </c>
      <c r="O530" s="22">
        <f t="shared" ref="O530" ca="1" si="1830">O529*$E529</f>
        <v>0</v>
      </c>
      <c r="P530" s="22">
        <f t="shared" ref="P530" ca="1" si="1831">P529*$E529</f>
        <v>18140376</v>
      </c>
      <c r="Q530" s="22">
        <f t="shared" ref="Q530" ca="1" si="1832">Q529*$E529</f>
        <v>0</v>
      </c>
      <c r="R530" s="22">
        <f t="shared" ref="R530" ca="1" si="1833">R529*$E529</f>
        <v>2124</v>
      </c>
      <c r="S530" s="22">
        <f t="shared" ref="S530" ca="1" si="1834">S529*$E529</f>
        <v>5978352</v>
      </c>
      <c r="U530" s="17"/>
      <c r="V530" s="18"/>
      <c r="W530" s="19"/>
      <c r="X530" s="20"/>
    </row>
    <row r="531" spans="1:25" ht="18">
      <c r="A531" s="200"/>
      <c r="B531" s="211"/>
      <c r="C531" s="200" t="s">
        <v>127</v>
      </c>
      <c r="D531" s="199" t="str">
        <f>VLOOKUP(C531,'仕掛品名寄（貼付）'!B:C,2,FALSE)</f>
        <v>その他</v>
      </c>
      <c r="E531" s="199">
        <f>VLOOKUP(D531,'仕掛品標準単価一覧表（貼付）'!B:G,6,FALSE)</f>
        <v>1080</v>
      </c>
      <c r="F531" s="12" t="s">
        <v>246</v>
      </c>
      <c r="G531" s="24">
        <v>1134</v>
      </c>
      <c r="H531" s="13">
        <f ca="1">SUMIF('1.3②原材料使用'!B:E,C531,'1.3②原材料使用'!E:E)</f>
        <v>0</v>
      </c>
      <c r="I531" s="13">
        <f ca="1">SUMIF('2.10原液別作業時間'!A:B,C531,'2.10原液別作業時間'!B:B)</f>
        <v>0</v>
      </c>
      <c r="J531" s="13">
        <f ca="1">SUM(G531:H531,K531)</f>
        <v>1134</v>
      </c>
      <c r="K531" s="13">
        <f ca="1">SUMIF('2.2⑤純増減→前工程費'!B:E,C531,'2.2⑤純増減→前工程費'!E:E)</f>
        <v>0</v>
      </c>
      <c r="L531" s="13">
        <f ca="1">SUMIF('2.6完成品'!C:D,C531,'2.6完成品'!D:D)</f>
        <v>0</v>
      </c>
      <c r="M531" s="13">
        <f ca="1">SUMIF('2.3研究費'!D:E,C531,'2.3研究費'!E:E)</f>
        <v>0</v>
      </c>
      <c r="N531" s="13">
        <f ca="1">SUMIF('2.4販促費'!D:E,C531,'2.4販促費'!E:E)</f>
        <v>0</v>
      </c>
      <c r="O531" s="13">
        <f ca="1">SUMIF('2.5廃棄処分'!D:E,C531,'2.5廃棄処分'!E:E)</f>
        <v>0</v>
      </c>
      <c r="P531" s="13">
        <f ca="1">SUMIF('2.1④異種原液'!D:E,C531,'2.1④異種原液'!E:E)</f>
        <v>0</v>
      </c>
      <c r="Q531" s="14">
        <f ca="1">SUMIF('2.7製造部生産分'!D:I,C531,'2.7製造部生産分'!H:H)</f>
        <v>391</v>
      </c>
      <c r="R531" s="15">
        <f ca="1">-(G531+H531+K531-L531-M531-N531-O531-P531-Q531-S531)</f>
        <v>-19.5</v>
      </c>
      <c r="S531" s="13">
        <f ca="1">SUMIF('2.9原液在庫'!B:H,C531,'2.9原液在庫'!H:H)</f>
        <v>723.5</v>
      </c>
      <c r="T531" s="16">
        <f ca="1">IFERROR(SUM(G532:K532)/(G531+H531+K531),0)</f>
        <v>1107.8366354707216</v>
      </c>
      <c r="U531" s="17" t="str">
        <f>C531</f>
        <v>H</v>
      </c>
      <c r="V531" s="18">
        <f ca="1">IF(ISERROR(SUM(G532:K532)/SUM(L531:Q531,S531)),0,SUM(G532:K532)/SUM(L531:Q531,S531))</f>
        <v>1127.2200490119319</v>
      </c>
      <c r="W531" s="19">
        <f ca="1">V531</f>
        <v>1127.2200490119319</v>
      </c>
      <c r="X531" s="20">
        <f ca="1">W531/1000</f>
        <v>1.127220049011932</v>
      </c>
      <c r="Y531" s="26" t="s">
        <v>301</v>
      </c>
    </row>
    <row r="532" spans="1:25">
      <c r="A532" s="201"/>
      <c r="B532" s="201"/>
      <c r="C532" s="201"/>
      <c r="D532" s="199"/>
      <c r="E532" s="199"/>
      <c r="F532" s="21" t="s">
        <v>247</v>
      </c>
      <c r="G532" s="22">
        <v>1222266.7446237982</v>
      </c>
      <c r="H532" s="184"/>
      <c r="I532" s="23">
        <f ca="1">I531*労務費経費単価SC!D$7</f>
        <v>0</v>
      </c>
      <c r="J532" s="23">
        <f ca="1">J531*労務費経費単価SC!D$11</f>
        <v>34020</v>
      </c>
      <c r="K532" s="22">
        <f ca="1">K531*$E531</f>
        <v>0</v>
      </c>
      <c r="L532" s="22">
        <f ca="1">L531*$E531</f>
        <v>0</v>
      </c>
      <c r="M532" s="22">
        <f t="shared" ref="M532" ca="1" si="1835">M531*$E531</f>
        <v>0</v>
      </c>
      <c r="N532" s="22">
        <f t="shared" ref="N532" ca="1" si="1836">N531*$E531</f>
        <v>0</v>
      </c>
      <c r="O532" s="22">
        <f t="shared" ref="O532" ca="1" si="1837">O531*$E531</f>
        <v>0</v>
      </c>
      <c r="P532" s="22">
        <f t="shared" ref="P532" ca="1" si="1838">P531*$E531</f>
        <v>0</v>
      </c>
      <c r="Q532" s="22">
        <f t="shared" ref="Q532" ca="1" si="1839">Q531*$E531</f>
        <v>422280</v>
      </c>
      <c r="R532" s="22">
        <f t="shared" ref="R532" ca="1" si="1840">R531*$E531</f>
        <v>-21060</v>
      </c>
      <c r="S532" s="22">
        <f t="shared" ref="S532" ca="1" si="1841">S531*$E531</f>
        <v>781380</v>
      </c>
      <c r="U532" s="17"/>
      <c r="V532" s="18"/>
      <c r="W532" s="19"/>
      <c r="X532" s="20"/>
    </row>
    <row r="533" spans="1:25">
      <c r="A533" s="25"/>
      <c r="B533" s="25"/>
      <c r="C533" s="200" t="s">
        <v>128</v>
      </c>
      <c r="D533" s="199" t="str">
        <f>VLOOKUP(C533,'仕掛品名寄（貼付）'!B:C,2,FALSE)</f>
        <v>HIR</v>
      </c>
      <c r="E533" s="199">
        <f>VLOOKUP(D533,'仕掛品標準単価一覧表（貼付）'!B:G,6,FALSE)</f>
        <v>1214</v>
      </c>
      <c r="F533" s="12" t="s">
        <v>246</v>
      </c>
      <c r="G533" s="13">
        <v>0</v>
      </c>
      <c r="H533" s="13">
        <f ca="1">SUMIF('1.3②原材料使用'!B:E,C533,'1.3②原材料使用'!E:E)</f>
        <v>0</v>
      </c>
      <c r="I533" s="13">
        <f ca="1">SUMIF('2.10原液別作業時間'!A:B,C533,'2.10原液別作業時間'!B:B)</f>
        <v>270</v>
      </c>
      <c r="J533" s="13">
        <f ca="1">SUM(G533:H533,K533)</f>
        <v>15334</v>
      </c>
      <c r="K533" s="13">
        <f ca="1">SUMIF('2.2⑤純増減→前工程費'!B:E,C533,'2.2⑤純増減→前工程費'!E:E)</f>
        <v>15334</v>
      </c>
      <c r="L533" s="13">
        <f ca="1">SUMIF('2.6完成品'!C:D,C533,'2.6完成品'!D:D)</f>
        <v>0</v>
      </c>
      <c r="M533" s="13">
        <f ca="1">SUMIF('2.3研究費'!D:E,C533,'2.3研究費'!E:E)</f>
        <v>0</v>
      </c>
      <c r="N533" s="13">
        <f ca="1">SUMIF('2.4販促費'!D:E,C533,'2.4販促費'!E:E)</f>
        <v>0</v>
      </c>
      <c r="O533" s="13">
        <f ca="1">SUMIF('2.5廃棄処分'!D:E,C533,'2.5廃棄処分'!E:E)</f>
        <v>0</v>
      </c>
      <c r="P533" s="13">
        <f ca="1">SUMIF('2.1④異種原液'!D:E,C533,'2.1④異種原液'!E:E)</f>
        <v>12405.5</v>
      </c>
      <c r="Q533" s="14">
        <f ca="1">SUMIF('2.7製造部生産分'!D:I,C533,'2.7製造部生産分'!H:H)</f>
        <v>0</v>
      </c>
      <c r="R533" s="15">
        <f ca="1">-(G533+H533+K533-L533-M533-N533-O533-P533-Q533-S533)</f>
        <v>0</v>
      </c>
      <c r="S533" s="13">
        <f ca="1">SUMIF('2.9原液在庫'!B:H,C533,'2.9原液在庫'!H:H)</f>
        <v>2928.5</v>
      </c>
      <c r="T533" s="16">
        <f ca="1">IFERROR(SUM(G534:K534)/(G533+H533+K533),0)</f>
        <v>1252.0996478413981</v>
      </c>
      <c r="U533" s="17" t="str">
        <f>C533</f>
        <v>HIR</v>
      </c>
      <c r="V533" s="18">
        <f ca="1">IF(ISERROR(SUM(G534:K534)/SUM(L533:Q533,S533)),0,SUM(G534:K534)/SUM(L533:Q533,S533))</f>
        <v>1252.0996478413981</v>
      </c>
      <c r="W533" s="19">
        <f ca="1">V533</f>
        <v>1252.0996478413981</v>
      </c>
      <c r="X533" s="20">
        <f ca="1">W533/1000</f>
        <v>1.2520996478413982</v>
      </c>
    </row>
    <row r="534" spans="1:25">
      <c r="A534" s="25"/>
      <c r="B534" s="25"/>
      <c r="C534" s="201"/>
      <c r="D534" s="199"/>
      <c r="E534" s="199"/>
      <c r="F534" s="21" t="s">
        <v>247</v>
      </c>
      <c r="G534" s="22">
        <v>0</v>
      </c>
      <c r="H534" s="184"/>
      <c r="I534" s="23">
        <f ca="1">I533*労務費経費単価SC!D$7</f>
        <v>124200</v>
      </c>
      <c r="J534" s="23">
        <f ca="1">J533*労務費経費単価SC!D$11</f>
        <v>460020</v>
      </c>
      <c r="K534" s="22">
        <f ca="1">K533*$E533</f>
        <v>18615476</v>
      </c>
      <c r="L534" s="22">
        <f ca="1">L533*$E533</f>
        <v>0</v>
      </c>
      <c r="M534" s="22">
        <f t="shared" ref="M534" ca="1" si="1842">M533*$E533</f>
        <v>0</v>
      </c>
      <c r="N534" s="22">
        <f t="shared" ref="N534" ca="1" si="1843">N533*$E533</f>
        <v>0</v>
      </c>
      <c r="O534" s="22">
        <f t="shared" ref="O534" ca="1" si="1844">O533*$E533</f>
        <v>0</v>
      </c>
      <c r="P534" s="22">
        <f t="shared" ref="P534" ca="1" si="1845">P533*$E533</f>
        <v>15060277</v>
      </c>
      <c r="Q534" s="22">
        <f t="shared" ref="Q534" ca="1" si="1846">Q533*$E533</f>
        <v>0</v>
      </c>
      <c r="R534" s="22">
        <f t="shared" ref="R534" ca="1" si="1847">R533*$E533</f>
        <v>0</v>
      </c>
      <c r="S534" s="22">
        <f t="shared" ref="S534" ca="1" si="1848">S533*$E533</f>
        <v>3555199</v>
      </c>
      <c r="U534" s="17"/>
      <c r="V534" s="18"/>
      <c r="W534" s="19"/>
      <c r="X534" s="20"/>
    </row>
    <row r="535" spans="1:25">
      <c r="A535" s="200"/>
      <c r="B535" s="211"/>
      <c r="C535" s="200" t="s">
        <v>131</v>
      </c>
      <c r="D535" s="199" t="str">
        <f>VLOOKUP(C535,'仕掛品名寄（貼付）'!B:C,2,FALSE)</f>
        <v>その他</v>
      </c>
      <c r="E535" s="199">
        <f>VLOOKUP(D535,'仕掛品標準単価一覧表（貼付）'!B:G,6,FALSE)</f>
        <v>1080</v>
      </c>
      <c r="F535" s="12" t="s">
        <v>246</v>
      </c>
      <c r="G535" s="13">
        <v>0</v>
      </c>
      <c r="H535" s="13">
        <f ca="1">SUMIF('1.3②原材料使用'!B:E,C535,'1.3②原材料使用'!E:E)</f>
        <v>0</v>
      </c>
      <c r="I535" s="13">
        <f ca="1">SUMIF('2.10原液別作業時間'!A:B,C535,'2.10原液別作業時間'!B:B)</f>
        <v>0</v>
      </c>
      <c r="J535" s="13">
        <f ca="1">SUM(G535:H535,K535)</f>
        <v>0</v>
      </c>
      <c r="K535" s="13">
        <f ca="1">SUMIF('2.2⑤純増減→前工程費'!B:E,C535,'2.2⑤純増減→前工程費'!E:E)</f>
        <v>0</v>
      </c>
      <c r="L535" s="13">
        <f ca="1">SUMIF('2.6完成品'!C:D,C535,'2.6完成品'!D:D)</f>
        <v>0</v>
      </c>
      <c r="M535" s="13">
        <f ca="1">SUMIF('2.3研究費'!D:E,C535,'2.3研究費'!E:E)</f>
        <v>0</v>
      </c>
      <c r="N535" s="13">
        <f ca="1">SUMIF('2.4販促費'!D:E,C535,'2.4販促費'!E:E)</f>
        <v>0</v>
      </c>
      <c r="O535" s="13">
        <f ca="1">SUMIF('2.5廃棄処分'!D:E,C535,'2.5廃棄処分'!E:E)</f>
        <v>0</v>
      </c>
      <c r="P535" s="13">
        <f ca="1">SUMIF('2.1④異種原液'!D:E,C535,'2.1④異種原液'!E:E)</f>
        <v>0</v>
      </c>
      <c r="Q535" s="14">
        <f ca="1">SUMIF('2.7製造部生産分'!D:I,C535,'2.7製造部生産分'!H:H)</f>
        <v>0</v>
      </c>
      <c r="R535" s="15">
        <f ca="1">-(G535+H535+K535-L535-M535-N535-O535-P535-Q535-S535)</f>
        <v>0</v>
      </c>
      <c r="S535" s="13">
        <f ca="1">SUMIF('2.9原液在庫'!B:H,C535,'2.9原液在庫'!H:H)</f>
        <v>0</v>
      </c>
      <c r="T535" s="16">
        <f ca="1">IFERROR(SUM(G536:K536)/(G535+H535+K535),0)</f>
        <v>0</v>
      </c>
      <c r="U535" s="17" t="str">
        <f>C535</f>
        <v>J</v>
      </c>
      <c r="V535" s="18">
        <f ca="1">IF(ISERROR(SUM(G536:K536)/SUM(L535:Q535,S535)),0,SUM(G536:K536)/SUM(L535:Q535,S535))</f>
        <v>0</v>
      </c>
      <c r="W535" s="19">
        <f ca="1">V535</f>
        <v>0</v>
      </c>
      <c r="X535" s="20">
        <f ca="1">W535/1000</f>
        <v>0</v>
      </c>
    </row>
    <row r="536" spans="1:25">
      <c r="A536" s="201"/>
      <c r="B536" s="201"/>
      <c r="C536" s="201"/>
      <c r="D536" s="199"/>
      <c r="E536" s="199"/>
      <c r="F536" s="21" t="s">
        <v>247</v>
      </c>
      <c r="G536" s="22" t="s">
        <v>254</v>
      </c>
      <c r="H536" s="184"/>
      <c r="I536" s="23">
        <f ca="1">I535*労務費経費単価SC!D$7</f>
        <v>0</v>
      </c>
      <c r="J536" s="23">
        <f ca="1">J535*労務費経費単価SC!D$11</f>
        <v>0</v>
      </c>
      <c r="K536" s="22">
        <f ca="1">K535*$E535</f>
        <v>0</v>
      </c>
      <c r="L536" s="22">
        <f ca="1">L535*$E535</f>
        <v>0</v>
      </c>
      <c r="M536" s="22">
        <f t="shared" ref="M536" ca="1" si="1849">M535*$E535</f>
        <v>0</v>
      </c>
      <c r="N536" s="22">
        <f t="shared" ref="N536" ca="1" si="1850">N535*$E535</f>
        <v>0</v>
      </c>
      <c r="O536" s="22">
        <f t="shared" ref="O536" ca="1" si="1851">O535*$E535</f>
        <v>0</v>
      </c>
      <c r="P536" s="22">
        <f t="shared" ref="P536" ca="1" si="1852">P535*$E535</f>
        <v>0</v>
      </c>
      <c r="Q536" s="22">
        <f t="shared" ref="Q536" ca="1" si="1853">Q535*$E535</f>
        <v>0</v>
      </c>
      <c r="R536" s="22">
        <f t="shared" ref="R536" ca="1" si="1854">R535*$E535</f>
        <v>0</v>
      </c>
      <c r="S536" s="22">
        <f t="shared" ref="S536" ca="1" si="1855">S535*$E535</f>
        <v>0</v>
      </c>
      <c r="U536" s="17"/>
      <c r="V536" s="18"/>
      <c r="W536" s="19"/>
      <c r="X536" s="20"/>
    </row>
    <row r="537" spans="1:25">
      <c r="A537" s="200"/>
      <c r="B537" s="211"/>
      <c r="C537" s="200" t="s">
        <v>165</v>
      </c>
      <c r="D537" s="199" t="str">
        <f>VLOOKUP(C537,'仕掛品名寄（貼付）'!B:C,2,FALSE)</f>
        <v>MP</v>
      </c>
      <c r="E537" s="199">
        <f>VLOOKUP(D537,'仕掛品標準単価一覧表（貼付）'!B:G,6,FALSE)</f>
        <v>1373.3183999999999</v>
      </c>
      <c r="F537" s="12" t="s">
        <v>246</v>
      </c>
      <c r="G537" s="13">
        <v>6766</v>
      </c>
      <c r="H537" s="13">
        <f ca="1">SUMIF('1.3②原材料使用'!B:E,C537,'1.3②原材料使用'!E:E)</f>
        <v>0</v>
      </c>
      <c r="I537" s="13">
        <f ca="1">SUMIF('2.10原液別作業時間'!A:B,C537,'2.10原液別作業時間'!B:B)</f>
        <v>10640</v>
      </c>
      <c r="J537" s="13">
        <f ca="1">SUM(G537:H537,K537)</f>
        <v>27721.5</v>
      </c>
      <c r="K537" s="13">
        <f ca="1">SUMIF('2.2⑤純増減→前工程費'!B:E,C537,'2.2⑤純増減→前工程費'!E:E)</f>
        <v>20955.5</v>
      </c>
      <c r="L537" s="13">
        <f ca="1">SUMIF('2.6完成品'!C:D,C537,'2.6完成品'!D:D)</f>
        <v>16519.3</v>
      </c>
      <c r="M537" s="13">
        <f ca="1">SUMIF('2.3研究費'!D:E,C537,'2.3研究費'!E:E)</f>
        <v>8.6999999999999993</v>
      </c>
      <c r="N537" s="13">
        <f ca="1">SUMIF('2.4販促費'!D:E,C537,'2.4販促費'!E:E)</f>
        <v>0</v>
      </c>
      <c r="O537" s="13">
        <f ca="1">SUMIF('2.5廃棄処分'!D:E,C537,'2.5廃棄処分'!E:E)</f>
        <v>0</v>
      </c>
      <c r="P537" s="13">
        <f ca="1">SUMIF('2.1④異種原液'!D:E,C537,'2.1④異種原液'!E:E)</f>
        <v>1290.5</v>
      </c>
      <c r="Q537" s="14">
        <f ca="1">SUMIF('2.7製造部生産分'!D:I,C537,'2.7製造部生産分'!H:H)</f>
        <v>0</v>
      </c>
      <c r="R537" s="15">
        <f ca="1">-(G537+H537+K537-L537-M537-N537-O537-P537-Q537-S537)</f>
        <v>684</v>
      </c>
      <c r="S537" s="13">
        <f ca="1">SUMIF('2.9原液在庫'!B:H,C537,'2.9原液在庫'!H:H)</f>
        <v>10587</v>
      </c>
      <c r="T537" s="16">
        <f ca="1">IFERROR(SUM(G538:K538)/(G537+H537+K537),0)</f>
        <v>1455.1090670160147</v>
      </c>
      <c r="U537" s="17" t="str">
        <f>C537</f>
        <v>MP</v>
      </c>
      <c r="V537" s="18">
        <f ca="1">IF(ISERROR(SUM(G538:K538)/SUM(L537:Q537,S537)),0,SUM(G538:K538)/SUM(L537:Q537,S537))</f>
        <v>1420.0702681271039</v>
      </c>
      <c r="W537" s="19">
        <f ca="1">V537</f>
        <v>1420.0702681271039</v>
      </c>
      <c r="X537" s="20">
        <f ca="1">W537/1000</f>
        <v>1.4200702681271038</v>
      </c>
    </row>
    <row r="538" spans="1:25">
      <c r="A538" s="201"/>
      <c r="B538" s="201"/>
      <c r="C538" s="201"/>
      <c r="D538" s="199"/>
      <c r="E538" s="199"/>
      <c r="F538" s="21" t="s">
        <v>247</v>
      </c>
      <c r="G538" s="22">
        <v>5833187.2700844472</v>
      </c>
      <c r="H538" s="184"/>
      <c r="I538" s="23">
        <f ca="1">I537*労務費経費単価SC!D$7</f>
        <v>4894400</v>
      </c>
      <c r="J538" s="23">
        <f ca="1">J537*労務費経費単価SC!D$11</f>
        <v>831645</v>
      </c>
      <c r="K538" s="22">
        <f ca="1">K537*$E537</f>
        <v>28778573.731199998</v>
      </c>
      <c r="L538" s="22">
        <f ca="1">L537*$E537</f>
        <v>22686258.645119999</v>
      </c>
      <c r="M538" s="22">
        <f t="shared" ref="M538" ca="1" si="1856">M537*$E537</f>
        <v>11947.870079999999</v>
      </c>
      <c r="N538" s="22">
        <f t="shared" ref="N538" ca="1" si="1857">N537*$E537</f>
        <v>0</v>
      </c>
      <c r="O538" s="22">
        <f t="shared" ref="O538" ca="1" si="1858">O537*$E537</f>
        <v>0</v>
      </c>
      <c r="P538" s="22">
        <f t="shared" ref="P538" ca="1" si="1859">P537*$E537</f>
        <v>1772267.3951999999</v>
      </c>
      <c r="Q538" s="22">
        <f t="shared" ref="Q538" ca="1" si="1860">Q537*$E537</f>
        <v>0</v>
      </c>
      <c r="R538" s="22">
        <f t="shared" ref="R538" ca="1" si="1861">R537*$E537</f>
        <v>939349.78559999994</v>
      </c>
      <c r="S538" s="22">
        <f t="shared" ref="S538" ca="1" si="1862">S537*$E537</f>
        <v>14539321.900799999</v>
      </c>
      <c r="U538" s="17"/>
      <c r="V538" s="18"/>
      <c r="W538" s="19"/>
      <c r="X538" s="20"/>
    </row>
    <row r="539" spans="1:25">
      <c r="A539" s="200"/>
      <c r="B539" s="211"/>
      <c r="C539" s="200" t="s">
        <v>166</v>
      </c>
      <c r="D539" s="199" t="str">
        <f>VLOOKUP(C539,'仕掛品名寄（貼付）'!B:C,2,FALSE)</f>
        <v>その他</v>
      </c>
      <c r="E539" s="199">
        <f>VLOOKUP(D539,'仕掛品標準単価一覧表（貼付）'!B:G,6,FALSE)</f>
        <v>1080</v>
      </c>
      <c r="F539" s="12" t="s">
        <v>246</v>
      </c>
      <c r="G539" s="13">
        <v>4.5</v>
      </c>
      <c r="H539" s="13">
        <f ca="1">SUMIF('1.3②原材料使用'!B:E,C539,'1.3②原材料使用'!E:E)</f>
        <v>10.8</v>
      </c>
      <c r="I539" s="13">
        <f ca="1">SUMIF('2.10原液別作業時間'!A:B,C539,'2.10原液別作業時間'!B:B)</f>
        <v>85</v>
      </c>
      <c r="J539" s="13">
        <f ca="1">SUM(G539:H539,K539)</f>
        <v>539.29999999999995</v>
      </c>
      <c r="K539" s="13">
        <f ca="1">SUMIF('2.2⑤純増減→前工程費'!B:E,C539,'2.2⑤純増減→前工程費'!E:E)</f>
        <v>524</v>
      </c>
      <c r="L539" s="13">
        <f ca="1">SUMIF('2.6完成品'!C:D,C539,'2.6完成品'!D:D)</f>
        <v>0</v>
      </c>
      <c r="M539" s="13">
        <f ca="1">SUMIF('2.3研究費'!D:E,C539,'2.3研究費'!E:E)</f>
        <v>0</v>
      </c>
      <c r="N539" s="13">
        <f ca="1">SUMIF('2.4販促費'!D:E,C539,'2.4販促費'!E:E)</f>
        <v>0</v>
      </c>
      <c r="O539" s="13">
        <f ca="1">SUMIF('2.5廃棄処分'!D:E,C539,'2.5廃棄処分'!E:E)</f>
        <v>0</v>
      </c>
      <c r="P539" s="13">
        <f ca="1">SUMIF('2.1④異種原液'!D:E,C539,'2.1④異種原液'!E:E)</f>
        <v>0</v>
      </c>
      <c r="Q539" s="14">
        <f ca="1">SUMIF('2.7製造部生産分'!D:I,C539,'2.7製造部生産分'!H:H)</f>
        <v>522</v>
      </c>
      <c r="R539" s="15">
        <f ca="1">-(G539+H539+K539-L539-M539-N539-O539-P539-Q539-S539)</f>
        <v>-13.599999999999955</v>
      </c>
      <c r="S539" s="13">
        <f ca="1">SUMIF('2.9原液在庫'!B:H,C539,'2.9原液在庫'!H:H)</f>
        <v>3.7</v>
      </c>
      <c r="T539" s="16">
        <f ca="1">IFERROR(SUM(G540:K540)/(G539+H539+K539),0)</f>
        <v>1160.1928491700187</v>
      </c>
      <c r="U539" s="17" t="str">
        <f>C539</f>
        <v>MPA</v>
      </c>
      <c r="V539" s="18">
        <f ca="1">IF(ISERROR(SUM(G540:K540)/SUM(L539:Q539,S539)),0,SUM(G540:K540)/SUM(L539:Q539,S539))</f>
        <v>1190.2073493577914</v>
      </c>
      <c r="W539" s="19">
        <f ca="1">V539</f>
        <v>1190.2073493577914</v>
      </c>
      <c r="X539" s="20">
        <f ca="1">W539/1000</f>
        <v>1.1902073493577914</v>
      </c>
    </row>
    <row r="540" spans="1:25">
      <c r="A540" s="201"/>
      <c r="B540" s="201"/>
      <c r="C540" s="201"/>
      <c r="D540" s="199"/>
      <c r="E540" s="199"/>
      <c r="F540" s="21" t="s">
        <v>247</v>
      </c>
      <c r="G540" s="22">
        <v>4493.0035573909481</v>
      </c>
      <c r="H540" s="184"/>
      <c r="I540" s="23">
        <f ca="1">I539*労務費経費単価SC!D$7</f>
        <v>39100</v>
      </c>
      <c r="J540" s="23">
        <f ca="1">J539*労務費経費単価SC!D$11</f>
        <v>16178.999999999998</v>
      </c>
      <c r="K540" s="22">
        <f ca="1">K539*$E539</f>
        <v>565920</v>
      </c>
      <c r="L540" s="22">
        <f ca="1">L539*$E539</f>
        <v>0</v>
      </c>
      <c r="M540" s="22">
        <f t="shared" ref="M540" ca="1" si="1863">M539*$E539</f>
        <v>0</v>
      </c>
      <c r="N540" s="22">
        <f t="shared" ref="N540" ca="1" si="1864">N539*$E539</f>
        <v>0</v>
      </c>
      <c r="O540" s="22">
        <f t="shared" ref="O540" ca="1" si="1865">O539*$E539</f>
        <v>0</v>
      </c>
      <c r="P540" s="22">
        <f t="shared" ref="P540" ca="1" si="1866">P539*$E539</f>
        <v>0</v>
      </c>
      <c r="Q540" s="22">
        <f t="shared" ref="Q540" ca="1" si="1867">Q539*$E539</f>
        <v>563760</v>
      </c>
      <c r="R540" s="22">
        <f t="shared" ref="R540" ca="1" si="1868">R539*$E539</f>
        <v>-14687.999999999951</v>
      </c>
      <c r="S540" s="22">
        <f t="shared" ref="S540" ca="1" si="1869">S539*$E539</f>
        <v>3996</v>
      </c>
      <c r="U540" s="17"/>
      <c r="V540" s="18"/>
      <c r="W540" s="19"/>
      <c r="X540" s="20"/>
    </row>
    <row r="541" spans="1:25">
      <c r="A541" s="200"/>
      <c r="B541" s="211"/>
      <c r="C541" s="200" t="s">
        <v>434</v>
      </c>
      <c r="D541" s="199" t="str">
        <f>VLOOKUP(C541,'仕掛品名寄（貼付）'!B:C,2,FALSE)</f>
        <v>その他</v>
      </c>
      <c r="E541" s="199">
        <f>VLOOKUP(D541,'仕掛品標準単価一覧表（貼付）'!B:G,6,FALSE)</f>
        <v>1080</v>
      </c>
      <c r="F541" s="12" t="s">
        <v>246</v>
      </c>
      <c r="G541" s="24">
        <v>0</v>
      </c>
      <c r="H541" s="13">
        <f ca="1">SUMIF('1.3②原材料使用'!B:E,C541,'1.3②原材料使用'!E:E)</f>
        <v>0</v>
      </c>
      <c r="I541" s="13">
        <f ca="1">SUMIF('2.10原液別作業時間'!A:B,C541,'2.10原液別作業時間'!B:B)</f>
        <v>0</v>
      </c>
      <c r="J541" s="13">
        <f ca="1">SUM(G541:H541,K541)</f>
        <v>0</v>
      </c>
      <c r="K541" s="13">
        <f ca="1">SUMIF('2.2⑤純増減→前工程費'!B:E,C541,'2.2⑤純増減→前工程費'!E:E)</f>
        <v>0</v>
      </c>
      <c r="L541" s="13">
        <f ca="1">SUMIF('2.6完成品'!C:D,C541,'2.6完成品'!D:D)</f>
        <v>0</v>
      </c>
      <c r="M541" s="13">
        <f ca="1">SUMIF('2.3研究費'!D:E,C541,'2.3研究費'!E:E)</f>
        <v>0</v>
      </c>
      <c r="N541" s="13">
        <f ca="1">SUMIF('2.4販促費'!D:E,C541,'2.4販促費'!E:E)</f>
        <v>0</v>
      </c>
      <c r="O541" s="13">
        <f ca="1">SUMIF('2.5廃棄処分'!D:E,C541,'2.5廃棄処分'!E:E)</f>
        <v>0</v>
      </c>
      <c r="P541" s="13">
        <f ca="1">SUMIF('2.1④異種原液'!D:E,C541,'2.1④異種原液'!E:E)</f>
        <v>0</v>
      </c>
      <c r="Q541" s="14">
        <f ca="1">SUMIF('2.7製造部生産分'!D:I,C541,'2.7製造部生産分'!H:H)</f>
        <v>0</v>
      </c>
      <c r="R541" s="15">
        <f ca="1">-(G541+H541+K541-L541-M541-N541-O541-P541-Q541-S541)</f>
        <v>0</v>
      </c>
      <c r="S541" s="13">
        <f ca="1">SUMIF('2.9原液在庫'!B:H,C541,'2.9原液在庫'!H:H)</f>
        <v>0</v>
      </c>
      <c r="T541" s="16">
        <f ca="1">IFERROR(SUM(G542:K542)/(G541+H541+K541),0)</f>
        <v>0</v>
      </c>
      <c r="U541" s="17" t="str">
        <f>C541</f>
        <v>N</v>
      </c>
      <c r="V541" s="18">
        <f ca="1">IF(ISERROR(SUM(G542:K542)/SUM(L541:Q541,S541)),0,SUM(G542:K542)/SUM(L541:Q541,S541))</f>
        <v>0</v>
      </c>
      <c r="W541" s="19">
        <f ca="1">V541</f>
        <v>0</v>
      </c>
      <c r="X541" s="20">
        <f ca="1">W541/1000</f>
        <v>0</v>
      </c>
    </row>
    <row r="542" spans="1:25">
      <c r="A542" s="201"/>
      <c r="B542" s="201"/>
      <c r="C542" s="201"/>
      <c r="D542" s="199"/>
      <c r="E542" s="199"/>
      <c r="F542" s="21" t="s">
        <v>247</v>
      </c>
      <c r="G542" s="22" t="s">
        <v>254</v>
      </c>
      <c r="H542" s="184"/>
      <c r="I542" s="23">
        <f ca="1">I541*労務費経費単価SC!D$7</f>
        <v>0</v>
      </c>
      <c r="J542" s="23">
        <f ca="1">J541*労務費経費単価SC!D$11</f>
        <v>0</v>
      </c>
      <c r="K542" s="22">
        <f ca="1">K541*$E541</f>
        <v>0</v>
      </c>
      <c r="L542" s="22">
        <f ca="1">L541*$E541</f>
        <v>0</v>
      </c>
      <c r="M542" s="22">
        <f t="shared" ref="M542" ca="1" si="1870">M541*$E541</f>
        <v>0</v>
      </c>
      <c r="N542" s="22">
        <f t="shared" ref="N542" ca="1" si="1871">N541*$E541</f>
        <v>0</v>
      </c>
      <c r="O542" s="22">
        <f t="shared" ref="O542" ca="1" si="1872">O541*$E541</f>
        <v>0</v>
      </c>
      <c r="P542" s="22">
        <f t="shared" ref="P542" ca="1" si="1873">P541*$E541</f>
        <v>0</v>
      </c>
      <c r="Q542" s="22">
        <f t="shared" ref="Q542" ca="1" si="1874">Q541*$E541</f>
        <v>0</v>
      </c>
      <c r="R542" s="22">
        <f t="shared" ref="R542" ca="1" si="1875">R541*$E541</f>
        <v>0</v>
      </c>
      <c r="S542" s="22">
        <f t="shared" ref="S542" ca="1" si="1876">S541*$E541</f>
        <v>0</v>
      </c>
      <c r="U542" s="17"/>
      <c r="V542" s="18"/>
      <c r="W542" s="19"/>
      <c r="X542" s="20"/>
    </row>
    <row r="543" spans="1:25">
      <c r="A543" s="200"/>
      <c r="B543" s="211"/>
      <c r="C543" s="200" t="s">
        <v>132</v>
      </c>
      <c r="D543" s="199" t="str">
        <f>VLOOKUP(C543,'仕掛品名寄（貼付）'!B:C,2,FALSE)</f>
        <v>O</v>
      </c>
      <c r="E543" s="199">
        <f>VLOOKUP(D543,'仕掛品標準単価一覧表（貼付）'!B:G,6,FALSE)</f>
        <v>2544.7183999999997</v>
      </c>
      <c r="F543" s="12" t="s">
        <v>246</v>
      </c>
      <c r="G543" s="24">
        <v>1895.5</v>
      </c>
      <c r="H543" s="13">
        <f ca="1">SUMIF('1.3②原材料使用'!B:E,C543,'1.3②原材料使用'!E:E)</f>
        <v>0</v>
      </c>
      <c r="I543" s="13">
        <f ca="1">SUMIF('2.10原液別作業時間'!A:B,C543,'2.10原液別作業時間'!B:B)</f>
        <v>920</v>
      </c>
      <c r="J543" s="13">
        <f ca="1">SUM(G543:H543,K543)</f>
        <v>3852</v>
      </c>
      <c r="K543" s="13">
        <f ca="1">SUMIF('2.2⑤純増減→前工程費'!B:E,C543,'2.2⑤純増減→前工程費'!E:E)</f>
        <v>1956.5</v>
      </c>
      <c r="L543" s="13">
        <f ca="1">SUMIF('2.6完成品'!C:D,C543,'2.6完成品'!D:D)</f>
        <v>255.6</v>
      </c>
      <c r="M543" s="13">
        <f ca="1">SUMIF('2.3研究費'!D:E,C543,'2.3研究費'!E:E)</f>
        <v>0</v>
      </c>
      <c r="N543" s="13">
        <f ca="1">SUMIF('2.4販促費'!D:E,C543,'2.4販促費'!E:E)</f>
        <v>0.2</v>
      </c>
      <c r="O543" s="13">
        <f ca="1">SUMIF('2.5廃棄処分'!D:E,C543,'2.5廃棄処分'!E:E)</f>
        <v>0</v>
      </c>
      <c r="P543" s="13">
        <f ca="1">SUMIF('2.1④異種原液'!D:E,C543,'2.1④異種原液'!E:E)</f>
        <v>2710</v>
      </c>
      <c r="Q543" s="14">
        <f ca="1">SUMIF('2.7製造部生産分'!D:I,C543,'2.7製造部生産分'!H:H)</f>
        <v>0</v>
      </c>
      <c r="R543" s="15">
        <f ca="1">-(G543+H543+K543-L543-M543-N543-O543-P543-Q543-S543)</f>
        <v>-9.2000000000002728</v>
      </c>
      <c r="S543" s="13">
        <f ca="1">SUMIF('2.9原液在庫'!B:H,C543,'2.9原液在庫'!H:H)</f>
        <v>877</v>
      </c>
      <c r="T543" s="16">
        <f ca="1">IFERROR(SUM(G544:K544)/(G543+H543+K543),0)</f>
        <v>1864.6281616095407</v>
      </c>
      <c r="U543" s="17" t="str">
        <f>C543</f>
        <v>O</v>
      </c>
      <c r="V543" s="18">
        <f ca="1">IF(ISERROR(SUM(G544:K544)/SUM(L543:Q543,S543)),0,SUM(G544:K544)/SUM(L543:Q543,S543))</f>
        <v>1869.0922448526987</v>
      </c>
      <c r="W543" s="19">
        <f ca="1">V543</f>
        <v>1869.0922448526987</v>
      </c>
      <c r="X543" s="20">
        <f ca="1">W543/1000</f>
        <v>1.8690922448526988</v>
      </c>
    </row>
    <row r="544" spans="1:25">
      <c r="A544" s="201"/>
      <c r="B544" s="201"/>
      <c r="C544" s="201"/>
      <c r="D544" s="199"/>
      <c r="E544" s="199"/>
      <c r="F544" s="21" t="s">
        <v>247</v>
      </c>
      <c r="G544" s="22">
        <v>1665046.1289199514</v>
      </c>
      <c r="H544" s="184"/>
      <c r="I544" s="23">
        <f ca="1">I543*労務費経費単価SC!D$7</f>
        <v>423200</v>
      </c>
      <c r="J544" s="23">
        <f ca="1">J543*労務費経費単価SC!D$11</f>
        <v>115560</v>
      </c>
      <c r="K544" s="22">
        <f ca="1">K543*$E543</f>
        <v>4978741.5495999996</v>
      </c>
      <c r="L544" s="22">
        <f ca="1">L543*$E543</f>
        <v>650430.02303999988</v>
      </c>
      <c r="M544" s="22">
        <f t="shared" ref="M544" ca="1" si="1877">M543*$E543</f>
        <v>0</v>
      </c>
      <c r="N544" s="22">
        <f t="shared" ref="N544" ca="1" si="1878">N543*$E543</f>
        <v>508.94367999999997</v>
      </c>
      <c r="O544" s="22">
        <f t="shared" ref="O544" ca="1" si="1879">O543*$E543</f>
        <v>0</v>
      </c>
      <c r="P544" s="22">
        <f t="shared" ref="P544" ca="1" si="1880">P543*$E543</f>
        <v>6896186.8639999991</v>
      </c>
      <c r="Q544" s="22">
        <f t="shared" ref="Q544" ca="1" si="1881">Q543*$E543</f>
        <v>0</v>
      </c>
      <c r="R544" s="22">
        <f t="shared" ref="R544" ca="1" si="1882">R543*$E543</f>
        <v>-23411.409280000691</v>
      </c>
      <c r="S544" s="22">
        <f t="shared" ref="S544" ca="1" si="1883">S543*$E543</f>
        <v>2231718.0367999999</v>
      </c>
      <c r="U544" s="17"/>
      <c r="V544" s="18"/>
      <c r="W544" s="19"/>
      <c r="X544" s="20"/>
    </row>
    <row r="545" spans="1:25">
      <c r="A545" s="200"/>
      <c r="B545" s="211"/>
      <c r="C545" s="200" t="s">
        <v>435</v>
      </c>
      <c r="D545" s="199" t="str">
        <f>VLOOKUP(C545,'仕掛品名寄（貼付）'!B:C,2,FALSE)</f>
        <v>その他</v>
      </c>
      <c r="E545" s="199">
        <f>VLOOKUP(D545,'仕掛品標準単価一覧表（貼付）'!B:G,6,FALSE)</f>
        <v>1080</v>
      </c>
      <c r="F545" s="12" t="s">
        <v>246</v>
      </c>
      <c r="G545" s="13">
        <v>0</v>
      </c>
      <c r="H545" s="13">
        <f ca="1">SUMIF('1.3②原材料使用'!B:E,C545,'1.3②原材料使用'!E:E)</f>
        <v>0</v>
      </c>
      <c r="I545" s="13">
        <f ca="1">SUMIF('2.10原液別作業時間'!A:B,C545,'2.10原液別作業時間'!B:B)</f>
        <v>0</v>
      </c>
      <c r="J545" s="13">
        <f ca="1">SUM(G545:H545,K545)</f>
        <v>0</v>
      </c>
      <c r="K545" s="13">
        <f ca="1">SUMIF('2.2⑤純増減→前工程費'!B:E,C545,'2.2⑤純増減→前工程費'!E:E)</f>
        <v>0</v>
      </c>
      <c r="L545" s="13">
        <f ca="1">SUMIF('2.6完成品'!C:D,C545,'2.6完成品'!D:D)</f>
        <v>0</v>
      </c>
      <c r="M545" s="13">
        <f ca="1">SUMIF('2.3研究費'!D:E,C545,'2.3研究費'!E:E)</f>
        <v>0</v>
      </c>
      <c r="N545" s="13">
        <f ca="1">SUMIF('2.4販促費'!D:E,C545,'2.4販促費'!E:E)</f>
        <v>0</v>
      </c>
      <c r="O545" s="13">
        <f ca="1">SUMIF('2.5廃棄処分'!D:E,C545,'2.5廃棄処分'!E:E)</f>
        <v>0</v>
      </c>
      <c r="P545" s="13">
        <f ca="1">SUMIF('2.1④異種原液'!D:E,C545,'2.1④異種原液'!E:E)</f>
        <v>0</v>
      </c>
      <c r="Q545" s="14">
        <f ca="1">SUMIF('2.7製造部生産分'!D:I,C545,'2.7製造部生産分'!H:H)</f>
        <v>0</v>
      </c>
      <c r="R545" s="15">
        <f ca="1">-(G545+H545+K545-L545-M545-N545-O545-P545-Q545-S545)</f>
        <v>0</v>
      </c>
      <c r="S545" s="13">
        <f ca="1">SUMIF('2.9原液在庫'!B:H,C545,'2.9原液在庫'!H:H)</f>
        <v>0</v>
      </c>
      <c r="T545" s="16">
        <f ca="1">IFERROR(SUM(G546:K546)/(G545+H545+K545),0)</f>
        <v>0</v>
      </c>
      <c r="U545" s="17" t="str">
        <f>C545</f>
        <v>OA</v>
      </c>
      <c r="V545" s="18">
        <f ca="1">IF(ISERROR(SUM(G546:K546)/SUM(L545:Q545,S545)),0,SUM(G546:K546)/SUM(L545:Q545,S545))</f>
        <v>0</v>
      </c>
      <c r="W545" s="19">
        <f ca="1">V545</f>
        <v>0</v>
      </c>
      <c r="X545" s="20">
        <f ca="1">W545/1000</f>
        <v>0</v>
      </c>
    </row>
    <row r="546" spans="1:25">
      <c r="A546" s="201"/>
      <c r="B546" s="201"/>
      <c r="C546" s="201"/>
      <c r="D546" s="199"/>
      <c r="E546" s="199"/>
      <c r="F546" s="21" t="s">
        <v>247</v>
      </c>
      <c r="G546" s="22" t="s">
        <v>254</v>
      </c>
      <c r="H546" s="184"/>
      <c r="I546" s="23">
        <f ca="1">I545*労務費経費単価SC!D$7</f>
        <v>0</v>
      </c>
      <c r="J546" s="23">
        <f ca="1">J545*労務費経費単価SC!D$11</f>
        <v>0</v>
      </c>
      <c r="K546" s="22">
        <f ca="1">K545*$E545</f>
        <v>0</v>
      </c>
      <c r="L546" s="22">
        <f ca="1">L545*$E545</f>
        <v>0</v>
      </c>
      <c r="M546" s="22">
        <f t="shared" ref="M546" ca="1" si="1884">M545*$E545</f>
        <v>0</v>
      </c>
      <c r="N546" s="22">
        <f t="shared" ref="N546" ca="1" si="1885">N545*$E545</f>
        <v>0</v>
      </c>
      <c r="O546" s="22">
        <f t="shared" ref="O546" ca="1" si="1886">O545*$E545</f>
        <v>0</v>
      </c>
      <c r="P546" s="22">
        <f t="shared" ref="P546" ca="1" si="1887">P545*$E545</f>
        <v>0</v>
      </c>
      <c r="Q546" s="22">
        <f t="shared" ref="Q546" ca="1" si="1888">Q545*$E545</f>
        <v>0</v>
      </c>
      <c r="R546" s="22">
        <f t="shared" ref="R546" ca="1" si="1889">R545*$E545</f>
        <v>0</v>
      </c>
      <c r="S546" s="22">
        <f t="shared" ref="S546" ca="1" si="1890">S545*$E545</f>
        <v>0</v>
      </c>
      <c r="U546" s="17"/>
      <c r="V546" s="18"/>
      <c r="W546" s="19"/>
      <c r="X546" s="20"/>
    </row>
    <row r="547" spans="1:25">
      <c r="A547" s="200"/>
      <c r="B547" s="211"/>
      <c r="C547" s="200" t="s">
        <v>436</v>
      </c>
      <c r="D547" s="199" t="str">
        <f>VLOOKUP(C547,'仕掛品名寄（貼付）'!B:C,2,FALSE)</f>
        <v>その他</v>
      </c>
      <c r="E547" s="199">
        <f>VLOOKUP(D547,'仕掛品標準単価一覧表（貼付）'!B:G,6,FALSE)</f>
        <v>1080</v>
      </c>
      <c r="F547" s="12" t="s">
        <v>246</v>
      </c>
      <c r="G547" s="13">
        <v>2595</v>
      </c>
      <c r="H547" s="13">
        <f ca="1">SUMIF('1.3②原材料使用'!B:E,C547,'1.3②原材料使用'!E:E)</f>
        <v>0</v>
      </c>
      <c r="I547" s="13">
        <f ca="1">SUMIF('2.10原液別作業時間'!A:B,C547,'2.10原液別作業時間'!B:B)</f>
        <v>0</v>
      </c>
      <c r="J547" s="13">
        <f ca="1">SUM(G547:H547,K547)</f>
        <v>2595</v>
      </c>
      <c r="K547" s="13">
        <f ca="1">SUMIF('2.2⑤純増減→前工程費'!B:E,C547,'2.2⑤純増減→前工程費'!E:E)</f>
        <v>0</v>
      </c>
      <c r="L547" s="13">
        <f ca="1">SUMIF('2.6完成品'!C:D,C547,'2.6完成品'!D:D)</f>
        <v>0</v>
      </c>
      <c r="M547" s="13">
        <f ca="1">SUMIF('2.3研究費'!D:E,C547,'2.3研究費'!E:E)</f>
        <v>0</v>
      </c>
      <c r="N547" s="13">
        <f ca="1">SUMIF('2.4販促費'!D:E,C547,'2.4販促費'!E:E)</f>
        <v>0</v>
      </c>
      <c r="O547" s="13">
        <f ca="1">SUMIF('2.5廃棄処分'!D:E,C547,'2.5廃棄処分'!E:E)</f>
        <v>0</v>
      </c>
      <c r="P547" s="13">
        <f ca="1">SUMIF('2.1④異種原液'!D:E,C547,'2.1④異種原液'!E:E)</f>
        <v>0</v>
      </c>
      <c r="Q547" s="14">
        <f ca="1">SUMIF('2.7製造部生産分'!D:I,C547,'2.7製造部生産分'!H:H)</f>
        <v>0</v>
      </c>
      <c r="R547" s="15">
        <f ca="1">-(G547+H547+K547-L547-M547-N547-O547-P547-Q547-S547)</f>
        <v>0</v>
      </c>
      <c r="S547" s="13">
        <f ca="1">SUMIF('2.9原液在庫'!B:H,C547,'2.9原液在庫'!H:H)</f>
        <v>2595</v>
      </c>
      <c r="T547" s="16">
        <f ca="1">IFERROR(SUM(G548:K548)/(G547+H547+K547),0)</f>
        <v>1106.5274015838042</v>
      </c>
      <c r="U547" s="17" t="str">
        <f>C547</f>
        <v>OC</v>
      </c>
      <c r="V547" s="18">
        <f ca="1">IF(ISERROR(SUM(G548:K548)/SUM(L547:Q547,S547)),0,SUM(G548:K548)/SUM(L547:Q547,S547))</f>
        <v>1106.5274015838042</v>
      </c>
      <c r="W547" s="19">
        <f ca="1">V547</f>
        <v>1106.5274015838042</v>
      </c>
      <c r="X547" s="20">
        <f ca="1">W547/1000</f>
        <v>1.1065274015838042</v>
      </c>
    </row>
    <row r="548" spans="1:25">
      <c r="A548" s="201"/>
      <c r="B548" s="201"/>
      <c r="C548" s="201"/>
      <c r="D548" s="199"/>
      <c r="E548" s="199"/>
      <c r="F548" s="21" t="s">
        <v>247</v>
      </c>
      <c r="G548" s="22">
        <v>2793588.6071099723</v>
      </c>
      <c r="H548" s="184"/>
      <c r="I548" s="23">
        <f ca="1">I547*労務費経費単価SC!D$7</f>
        <v>0</v>
      </c>
      <c r="J548" s="23">
        <f ca="1">J547*労務費経費単価SC!D$11</f>
        <v>77850</v>
      </c>
      <c r="K548" s="22">
        <f ca="1">K547*$E547</f>
        <v>0</v>
      </c>
      <c r="L548" s="22">
        <f ca="1">L547*$E547</f>
        <v>0</v>
      </c>
      <c r="M548" s="22">
        <f t="shared" ref="M548" ca="1" si="1891">M547*$E547</f>
        <v>0</v>
      </c>
      <c r="N548" s="22">
        <f t="shared" ref="N548" ca="1" si="1892">N547*$E547</f>
        <v>0</v>
      </c>
      <c r="O548" s="22">
        <f t="shared" ref="O548" ca="1" si="1893">O547*$E547</f>
        <v>0</v>
      </c>
      <c r="P548" s="22">
        <f t="shared" ref="P548" ca="1" si="1894">P547*$E547</f>
        <v>0</v>
      </c>
      <c r="Q548" s="22">
        <f t="shared" ref="Q548" ca="1" si="1895">Q547*$E547</f>
        <v>0</v>
      </c>
      <c r="R548" s="22">
        <f t="shared" ref="R548" ca="1" si="1896">R547*$E547</f>
        <v>0</v>
      </c>
      <c r="S548" s="22">
        <f t="shared" ref="S548" ca="1" si="1897">S547*$E547</f>
        <v>2802600</v>
      </c>
      <c r="U548" s="17"/>
      <c r="V548" s="18"/>
      <c r="W548" s="19"/>
      <c r="X548" s="20"/>
    </row>
    <row r="549" spans="1:25">
      <c r="A549" s="200"/>
      <c r="B549" s="211"/>
      <c r="C549" s="200" t="s">
        <v>133</v>
      </c>
      <c r="D549" s="199" t="str">
        <f>VLOOKUP(C549,'仕掛品名寄（貼付）'!B:C,2,FALSE)</f>
        <v>P</v>
      </c>
      <c r="E549" s="199">
        <f>VLOOKUP(D549,'仕掛品標準単価一覧表（貼付）'!B:G,6,FALSE)</f>
        <v>1293.5183999999999</v>
      </c>
      <c r="F549" s="12" t="s">
        <v>246</v>
      </c>
      <c r="G549" s="13">
        <v>6770</v>
      </c>
      <c r="H549" s="13">
        <f ca="1">SUMIF('1.3②原材料使用'!B:E,C549,'1.3②原材料使用'!E:E)</f>
        <v>0</v>
      </c>
      <c r="I549" s="13">
        <f ca="1">SUMIF('2.10原液別作業時間'!A:B,C549,'2.10原液別作業時間'!B:B)</f>
        <v>20760</v>
      </c>
      <c r="J549" s="13">
        <f ca="1">SUM(G549:H549,K549)</f>
        <v>40604</v>
      </c>
      <c r="K549" s="13">
        <f ca="1">SUMIF('2.2⑤純増減→前工程費'!B:E,C549,'2.2⑤純増減→前工程費'!E:E)</f>
        <v>33834</v>
      </c>
      <c r="L549" s="13">
        <f ca="1">SUMIF('2.6完成品'!C:D,C549,'2.6完成品'!D:D)</f>
        <v>4697.6000000000004</v>
      </c>
      <c r="M549" s="13">
        <f ca="1">SUMIF('2.3研究費'!D:E,C549,'2.3研究費'!E:E)</f>
        <v>8.2500000000000018</v>
      </c>
      <c r="N549" s="13">
        <f ca="1">SUMIF('2.4販促費'!D:E,C549,'2.4販促費'!E:E)</f>
        <v>0</v>
      </c>
      <c r="O549" s="13">
        <f ca="1">SUMIF('2.5廃棄処分'!D:E,C549,'2.5廃棄処分'!E:E)</f>
        <v>0</v>
      </c>
      <c r="P549" s="13">
        <f ca="1">SUMIF('2.1④異種原液'!D:E,C549,'2.1④異種原液'!E:E)</f>
        <v>2336.5</v>
      </c>
      <c r="Q549" s="14">
        <f ca="1">SUMIF('2.7製造部生産分'!D:I,C549,'2.7製造部生産分'!H:H)</f>
        <v>17045</v>
      </c>
      <c r="R549" s="15">
        <f ca="1">-(G549+H549+K549-L549-M549-N549-O549-P549-Q549-S549)</f>
        <v>-147.15000000000146</v>
      </c>
      <c r="S549" s="13">
        <f ca="1">SUMIF('2.9原液在庫'!B:H,C549,'2.9原液在庫'!H:H)</f>
        <v>16369.5</v>
      </c>
      <c r="T549" s="16">
        <f ca="1">IFERROR(SUM(G550:K550)/(G549+H549+K549),0)</f>
        <v>1486.1427322505497</v>
      </c>
      <c r="U549" s="17" t="str">
        <f>C549</f>
        <v>P</v>
      </c>
      <c r="V549" s="18">
        <f ca="1">IF(ISERROR(SUM(G550:K550)/SUM(L549:Q549,S549)),0,SUM(G550:K550)/SUM(L549:Q549,S549))</f>
        <v>1491.5481432761403</v>
      </c>
      <c r="W549" s="19">
        <f ca="1">V549</f>
        <v>1491.5481432761403</v>
      </c>
      <c r="X549" s="20">
        <f ca="1">W549/1000</f>
        <v>1.4915481432761404</v>
      </c>
    </row>
    <row r="550" spans="1:25">
      <c r="A550" s="201"/>
      <c r="B550" s="201"/>
      <c r="C550" s="201"/>
      <c r="D550" s="199"/>
      <c r="E550" s="199"/>
      <c r="F550" s="21" t="s">
        <v>247</v>
      </c>
      <c r="G550" s="22">
        <v>5810717.9547013175</v>
      </c>
      <c r="H550" s="184"/>
      <c r="I550" s="23">
        <f ca="1">I549*労務費経費単価SC!D$7</f>
        <v>9549600</v>
      </c>
      <c r="J550" s="23">
        <f ca="1">J549*労務費経費単価SC!D$11</f>
        <v>1218120</v>
      </c>
      <c r="K550" s="22">
        <f ca="1">K549*$E549</f>
        <v>43764901.545599997</v>
      </c>
      <c r="L550" s="22">
        <f ca="1">L549*$E549</f>
        <v>6076432.03584</v>
      </c>
      <c r="M550" s="22">
        <f t="shared" ref="M550" ca="1" si="1898">M549*$E549</f>
        <v>10671.526800000001</v>
      </c>
      <c r="N550" s="22">
        <f t="shared" ref="N550" ca="1" si="1899">N549*$E549</f>
        <v>0</v>
      </c>
      <c r="O550" s="22">
        <f t="shared" ref="O550" ca="1" si="1900">O549*$E549</f>
        <v>0</v>
      </c>
      <c r="P550" s="22">
        <f t="shared" ref="P550" ca="1" si="1901">P549*$E549</f>
        <v>3022305.7415999998</v>
      </c>
      <c r="Q550" s="22">
        <f t="shared" ref="Q550" ca="1" si="1902">Q549*$E549</f>
        <v>22048021.127999999</v>
      </c>
      <c r="R550" s="22">
        <f t="shared" ref="R550" ca="1" si="1903">R549*$E549</f>
        <v>-190341.23256000187</v>
      </c>
      <c r="S550" s="22">
        <f t="shared" ref="S550" ca="1" si="1904">S549*$E549</f>
        <v>21174249.448799998</v>
      </c>
      <c r="U550" s="17"/>
      <c r="V550" s="18"/>
      <c r="W550" s="19"/>
      <c r="X550" s="20"/>
    </row>
    <row r="551" spans="1:25">
      <c r="A551" s="200"/>
      <c r="B551" s="211"/>
      <c r="C551" s="200" t="s">
        <v>437</v>
      </c>
      <c r="D551" s="199" t="str">
        <f>VLOOKUP(C551,'仕掛品名寄（貼付）'!B:C,2,FALSE)</f>
        <v>その他</v>
      </c>
      <c r="E551" s="199">
        <f>VLOOKUP(D551,'仕掛品標準単価一覧表（貼付）'!B:G,6,FALSE)</f>
        <v>1080</v>
      </c>
      <c r="F551" s="12" t="s">
        <v>246</v>
      </c>
      <c r="G551" s="24">
        <v>0</v>
      </c>
      <c r="H551" s="13">
        <f ca="1">SUMIF('1.3②原材料使用'!B:E,C551,'1.3②原材料使用'!E:E)</f>
        <v>0</v>
      </c>
      <c r="I551" s="13">
        <f ca="1">SUMIF('2.10原液別作業時間'!A:B,C551,'2.10原液別作業時間'!B:B)</f>
        <v>0</v>
      </c>
      <c r="J551" s="13">
        <f ca="1">SUM(G551:H551,K551)</f>
        <v>0</v>
      </c>
      <c r="K551" s="13">
        <f ca="1">SUMIF('2.2⑤純増減→前工程費'!B:E,C551,'2.2⑤純増減→前工程費'!E:E)</f>
        <v>0</v>
      </c>
      <c r="L551" s="13">
        <f ca="1">SUMIF('2.6完成品'!C:D,C551,'2.6完成品'!D:D)</f>
        <v>0</v>
      </c>
      <c r="M551" s="13">
        <f ca="1">SUMIF('2.3研究費'!D:E,C551,'2.3研究費'!E:E)</f>
        <v>0</v>
      </c>
      <c r="N551" s="13">
        <f ca="1">SUMIF('2.4販促費'!D:E,C551,'2.4販促費'!E:E)</f>
        <v>0</v>
      </c>
      <c r="O551" s="13">
        <f ca="1">SUMIF('2.5廃棄処分'!D:E,C551,'2.5廃棄処分'!E:E)</f>
        <v>0</v>
      </c>
      <c r="P551" s="13">
        <f ca="1">SUMIF('2.1④異種原液'!D:E,C551,'2.1④異種原液'!E:E)</f>
        <v>0</v>
      </c>
      <c r="Q551" s="14">
        <f ca="1">SUMIF('2.7製造部生産分'!D:I,C551,'2.7製造部生産分'!H:H)</f>
        <v>0</v>
      </c>
      <c r="R551" s="15">
        <f ca="1">-(G551+H551+K551-L551-M551-N551-O551-P551-Q551-S551)</f>
        <v>0</v>
      </c>
      <c r="S551" s="13">
        <f ca="1">SUMIF('2.9原液在庫'!B:H,C551,'2.9原液在庫'!H:H)</f>
        <v>0</v>
      </c>
      <c r="T551" s="16">
        <f ca="1">IFERROR(SUM(G552:K552)/(G551+H551+K551),0)</f>
        <v>0</v>
      </c>
      <c r="U551" s="17" t="str">
        <f>C551</f>
        <v>KP</v>
      </c>
      <c r="V551" s="18">
        <f ca="1">IF(ISERROR(SUM(G552:K552)/SUM(L551:Q551,S551)),0,SUM(G552:K552)/SUM(L551:Q551,S551))</f>
        <v>0</v>
      </c>
      <c r="W551" s="19">
        <f ca="1">V551</f>
        <v>0</v>
      </c>
      <c r="X551" s="20">
        <f ca="1">W551/1000</f>
        <v>0</v>
      </c>
    </row>
    <row r="552" spans="1:25">
      <c r="A552" s="201"/>
      <c r="B552" s="201"/>
      <c r="C552" s="201"/>
      <c r="D552" s="199"/>
      <c r="E552" s="199"/>
      <c r="F552" s="21" t="s">
        <v>247</v>
      </c>
      <c r="G552" s="22" t="s">
        <v>254</v>
      </c>
      <c r="H552" s="184"/>
      <c r="I552" s="23">
        <f ca="1">I551*労務費経費単価SC!D$7</f>
        <v>0</v>
      </c>
      <c r="J552" s="23">
        <f ca="1">J551*労務費経費単価SC!D$11</f>
        <v>0</v>
      </c>
      <c r="K552" s="22">
        <f ca="1">K551*$E551</f>
        <v>0</v>
      </c>
      <c r="L552" s="22">
        <f ca="1">L551*$E551</f>
        <v>0</v>
      </c>
      <c r="M552" s="22">
        <f t="shared" ref="M552" ca="1" si="1905">M551*$E551</f>
        <v>0</v>
      </c>
      <c r="N552" s="22">
        <f t="shared" ref="N552" ca="1" si="1906">N551*$E551</f>
        <v>0</v>
      </c>
      <c r="O552" s="22">
        <f t="shared" ref="O552" ca="1" si="1907">O551*$E551</f>
        <v>0</v>
      </c>
      <c r="P552" s="22">
        <f t="shared" ref="P552" ca="1" si="1908">P551*$E551</f>
        <v>0</v>
      </c>
      <c r="Q552" s="22">
        <f t="shared" ref="Q552" ca="1" si="1909">Q551*$E551</f>
        <v>0</v>
      </c>
      <c r="R552" s="22">
        <f t="shared" ref="R552" ca="1" si="1910">R551*$E551</f>
        <v>0</v>
      </c>
      <c r="S552" s="22">
        <f t="shared" ref="S552" ca="1" si="1911">S551*$E551</f>
        <v>0</v>
      </c>
      <c r="U552" s="17"/>
      <c r="V552" s="18"/>
      <c r="W552" s="19"/>
      <c r="X552" s="20"/>
    </row>
    <row r="553" spans="1:25" ht="18">
      <c r="A553" s="200"/>
      <c r="B553" s="211"/>
      <c r="C553" s="200" t="s">
        <v>134</v>
      </c>
      <c r="D553" s="199" t="str">
        <f>VLOOKUP(C553,'仕掛品名寄（貼付）'!B:C,2,FALSE)</f>
        <v>その他</v>
      </c>
      <c r="E553" s="199">
        <f>VLOOKUP(D553,'仕掛品標準単価一覧表（貼付）'!B:G,6,FALSE)</f>
        <v>1080</v>
      </c>
      <c r="F553" s="12" t="s">
        <v>246</v>
      </c>
      <c r="G553" s="13">
        <v>0</v>
      </c>
      <c r="H553" s="13">
        <f ca="1">SUMIF('1.3②原材料使用'!B:E,C553,'1.3②原材料使用'!E:E)</f>
        <v>0</v>
      </c>
      <c r="I553" s="13">
        <f ca="1">SUMIF('2.10原液別作業時間'!A:B,C553,'2.10原液別作業時間'!B:B)</f>
        <v>0</v>
      </c>
      <c r="J553" s="13">
        <f ca="1">SUM(G553:H553,K553)</f>
        <v>0</v>
      </c>
      <c r="K553" s="13">
        <f ca="1">SUMIF('2.2⑤純増減→前工程費'!B:E,C553,'2.2⑤純増減→前工程費'!E:E)</f>
        <v>0</v>
      </c>
      <c r="L553" s="13">
        <f ca="1">SUMIF('2.6完成品'!C:D,C553,'2.6完成品'!D:D)</f>
        <v>0</v>
      </c>
      <c r="M553" s="13">
        <f ca="1">SUMIF('2.3研究費'!D:E,C553,'2.3研究費'!E:E)</f>
        <v>0</v>
      </c>
      <c r="N553" s="13">
        <f ca="1">SUMIF('2.4販促費'!D:E,C553,'2.4販促費'!E:E)</f>
        <v>0</v>
      </c>
      <c r="O553" s="13">
        <f ca="1">SUMIF('2.5廃棄処分'!D:E,C553,'2.5廃棄処分'!E:E)</f>
        <v>0</v>
      </c>
      <c r="P553" s="13">
        <f ca="1">SUMIF('2.1④異種原液'!D:E,C553,'2.1④異種原液'!E:E)</f>
        <v>0</v>
      </c>
      <c r="Q553" s="14">
        <f ca="1">SUMIF('2.7製造部生産分'!D:I,C553,'2.7製造部生産分'!H:H)</f>
        <v>0</v>
      </c>
      <c r="R553" s="15">
        <f ca="1">-(G553+H553+K553-L553-M553-N553-O553-P553-Q553-S553)</f>
        <v>0</v>
      </c>
      <c r="S553" s="13">
        <f ca="1">SUMIF('2.9原液在庫'!B:H,C553,'2.9原液在庫'!H:H)</f>
        <v>0</v>
      </c>
      <c r="T553" s="16">
        <f ca="1">IFERROR(SUM(G554:K554)/(G553+H553+K553),0)</f>
        <v>0</v>
      </c>
      <c r="U553" s="17" t="str">
        <f>C553</f>
        <v>P1</v>
      </c>
      <c r="V553" s="18">
        <f ca="1">IF(ISERROR(SUM(G554:K554)/SUM(L553:Q553,S553)),0,SUM(G554:K554)/SUM(L553:Q553,S553))</f>
        <v>0</v>
      </c>
      <c r="W553" s="19">
        <f ca="1">V553</f>
        <v>0</v>
      </c>
      <c r="X553" s="20">
        <f ca="1">W553/1000</f>
        <v>0</v>
      </c>
      <c r="Y553" s="26" t="s">
        <v>301</v>
      </c>
    </row>
    <row r="554" spans="1:25">
      <c r="A554" s="201"/>
      <c r="B554" s="201"/>
      <c r="C554" s="201"/>
      <c r="D554" s="199"/>
      <c r="E554" s="199"/>
      <c r="F554" s="21" t="s">
        <v>247</v>
      </c>
      <c r="G554" s="22" t="s">
        <v>254</v>
      </c>
      <c r="H554" s="184"/>
      <c r="I554" s="23">
        <f ca="1">I553*労務費経費単価SC!D$7</f>
        <v>0</v>
      </c>
      <c r="J554" s="23">
        <f ca="1">J553*労務費経費単価SC!D$11</f>
        <v>0</v>
      </c>
      <c r="K554" s="22">
        <f ca="1">K553*$E553</f>
        <v>0</v>
      </c>
      <c r="L554" s="22">
        <f ca="1">L553*$E553</f>
        <v>0</v>
      </c>
      <c r="M554" s="22">
        <f t="shared" ref="M554" ca="1" si="1912">M553*$E553</f>
        <v>0</v>
      </c>
      <c r="N554" s="22">
        <f t="shared" ref="N554" ca="1" si="1913">N553*$E553</f>
        <v>0</v>
      </c>
      <c r="O554" s="22">
        <f t="shared" ref="O554" ca="1" si="1914">O553*$E553</f>
        <v>0</v>
      </c>
      <c r="P554" s="22">
        <f t="shared" ref="P554" ca="1" si="1915">P553*$E553</f>
        <v>0</v>
      </c>
      <c r="Q554" s="22">
        <f t="shared" ref="Q554" ca="1" si="1916">Q553*$E553</f>
        <v>0</v>
      </c>
      <c r="R554" s="22">
        <f t="shared" ref="R554" ca="1" si="1917">R553*$E553</f>
        <v>0</v>
      </c>
      <c r="S554" s="22">
        <f t="shared" ref="S554" ca="1" si="1918">S553*$E553</f>
        <v>0</v>
      </c>
      <c r="U554" s="17"/>
      <c r="V554" s="18"/>
      <c r="W554" s="19"/>
      <c r="X554" s="20"/>
    </row>
    <row r="555" spans="1:25">
      <c r="A555" s="200"/>
      <c r="B555" s="211"/>
      <c r="C555" s="200" t="s">
        <v>438</v>
      </c>
      <c r="D555" s="199" t="str">
        <f>VLOOKUP(C555,'仕掛品名寄（貼付）'!B:C,2,FALSE)</f>
        <v>PE</v>
      </c>
      <c r="E555" s="199">
        <f>VLOOKUP(D555,'仕掛品標準単価一覧表（貼付）'!B:G,6,FALSE)</f>
        <v>1213</v>
      </c>
      <c r="F555" s="12" t="s">
        <v>246</v>
      </c>
      <c r="G555" s="13">
        <v>10842.5</v>
      </c>
      <c r="H555" s="13">
        <f ca="1">SUMIF('1.3②原材料使用'!B:E,C555,'1.3②原材料使用'!E:E)</f>
        <v>0</v>
      </c>
      <c r="I555" s="13">
        <f ca="1">SUMIF('2.10原液別作業時間'!A:B,C555,'2.10原液別作業時間'!B:B)</f>
        <v>22475</v>
      </c>
      <c r="J555" s="13">
        <f ca="1">SUM(G555:H555,K555)</f>
        <v>54399</v>
      </c>
      <c r="K555" s="13">
        <f ca="1">SUMIF('2.2⑤純増減→前工程費'!B:E,C555,'2.2⑤純増減→前工程費'!E:E)</f>
        <v>43556.5</v>
      </c>
      <c r="L555" s="13">
        <f ca="1">SUMIF('2.6完成品'!C:D,C555,'2.6完成品'!D:D)</f>
        <v>37048.5</v>
      </c>
      <c r="M555" s="13">
        <f ca="1">SUMIF('2.3研究費'!D:E,C555,'2.3研究費'!E:E)</f>
        <v>39</v>
      </c>
      <c r="N555" s="13">
        <f ca="1">SUMIF('2.4販促費'!D:E,C555,'2.4販促費'!E:E)</f>
        <v>0.2</v>
      </c>
      <c r="O555" s="13">
        <f ca="1">SUMIF('2.5廃棄処分'!D:E,C555,'2.5廃棄処分'!E:E)</f>
        <v>0</v>
      </c>
      <c r="P555" s="13">
        <f ca="1">SUMIF('2.1④異種原液'!D:E,C555,'2.1④異種原液'!E:E)</f>
        <v>2033</v>
      </c>
      <c r="Q555" s="14">
        <f ca="1">SUMIF('2.7製造部生産分'!D:I,C555,'2.7製造部生産分'!H:H)</f>
        <v>0</v>
      </c>
      <c r="R555" s="15">
        <f ca="1">-(G555+H555+K555-L555-M555-N555-O555-P555-Q555-S555)</f>
        <v>-236.29999999999927</v>
      </c>
      <c r="S555" s="13">
        <f ca="1">SUMIF('2.9原液在庫'!B:H,C555,'2.9原液在庫'!H:H)</f>
        <v>15042</v>
      </c>
      <c r="T555" s="16">
        <f ca="1">IFERROR(SUM(G556:K556)/(G555+H555+K555),0)</f>
        <v>1356.625868145519</v>
      </c>
      <c r="U555" s="17" t="str">
        <f>C555</f>
        <v>PE</v>
      </c>
      <c r="V555" s="18">
        <f ca="1">IF(ISERROR(SUM(G556:K556)/SUM(L555:Q555,S555)),0,SUM(G556:K556)/SUM(L555:Q555,S555))</f>
        <v>1362.5445297455276</v>
      </c>
      <c r="W555" s="19">
        <f ca="1">V555</f>
        <v>1362.5445297455276</v>
      </c>
      <c r="X555" s="20">
        <f ca="1">W555/1000</f>
        <v>1.3625445297455276</v>
      </c>
    </row>
    <row r="556" spans="1:25">
      <c r="A556" s="201"/>
      <c r="B556" s="201"/>
      <c r="C556" s="201"/>
      <c r="D556" s="199"/>
      <c r="E556" s="199"/>
      <c r="F556" s="21" t="s">
        <v>247</v>
      </c>
      <c r="G556" s="22">
        <v>8994586.1012480948</v>
      </c>
      <c r="H556" s="184"/>
      <c r="I556" s="23">
        <f ca="1">I555*労務費経費単価SC!D$7</f>
        <v>10338500</v>
      </c>
      <c r="J556" s="23">
        <f ca="1">J555*労務費経費単価SC!D$11</f>
        <v>1631970</v>
      </c>
      <c r="K556" s="22">
        <f ca="1">K555*$E555</f>
        <v>52834034.5</v>
      </c>
      <c r="L556" s="22">
        <f ca="1">L555*$E555</f>
        <v>44939830.5</v>
      </c>
      <c r="M556" s="22">
        <f t="shared" ref="M556" ca="1" si="1919">M555*$E555</f>
        <v>47307</v>
      </c>
      <c r="N556" s="22">
        <f t="shared" ref="N556" ca="1" si="1920">N555*$E555</f>
        <v>242.60000000000002</v>
      </c>
      <c r="O556" s="22">
        <f t="shared" ref="O556" ca="1" si="1921">O555*$E555</f>
        <v>0</v>
      </c>
      <c r="P556" s="22">
        <f t="shared" ref="P556" ca="1" si="1922">P555*$E555</f>
        <v>2466029</v>
      </c>
      <c r="Q556" s="22">
        <f t="shared" ref="Q556" ca="1" si="1923">Q555*$E555</f>
        <v>0</v>
      </c>
      <c r="R556" s="22">
        <f t="shared" ref="R556" ca="1" si="1924">R555*$E555</f>
        <v>-286631.89999999909</v>
      </c>
      <c r="S556" s="22">
        <f t="shared" ref="S556" ca="1" si="1925">S555*$E555</f>
        <v>18245946</v>
      </c>
      <c r="U556" s="17"/>
      <c r="V556" s="18"/>
      <c r="W556" s="19"/>
      <c r="X556" s="20"/>
    </row>
    <row r="557" spans="1:25">
      <c r="A557" s="200"/>
      <c r="B557" s="211"/>
      <c r="C557" s="200" t="s">
        <v>135</v>
      </c>
      <c r="D557" s="199" t="str">
        <f>VLOOKUP(C557,'仕掛品名寄（貼付）'!B:C,2,FALSE)</f>
        <v>その他</v>
      </c>
      <c r="E557" s="199">
        <f>VLOOKUP(D557,'仕掛品標準単価一覧表（貼付）'!B:G,6,FALSE)</f>
        <v>1080</v>
      </c>
      <c r="F557" s="12" t="s">
        <v>246</v>
      </c>
      <c r="G557" s="13">
        <v>0</v>
      </c>
      <c r="H557" s="13">
        <f ca="1">SUMIF('1.3②原材料使用'!B:E,C557,'1.3②原材料使用'!E:E)</f>
        <v>0</v>
      </c>
      <c r="I557" s="13">
        <f ca="1">SUMIF('2.10原液別作業時間'!A:B,C557,'2.10原液別作業時間'!B:B)</f>
        <v>0</v>
      </c>
      <c r="J557" s="13">
        <f ca="1">SUM(G557:H557,K557)</f>
        <v>0</v>
      </c>
      <c r="K557" s="13">
        <f ca="1">SUMIF('2.2⑤純増減→前工程費'!B:E,C557,'2.2⑤純増減→前工程費'!E:E)</f>
        <v>0</v>
      </c>
      <c r="L557" s="13">
        <f ca="1">SUMIF('2.6完成品'!C:D,C557,'2.6完成品'!D:D)</f>
        <v>0</v>
      </c>
      <c r="M557" s="13">
        <f ca="1">SUMIF('2.3研究費'!D:E,C557,'2.3研究費'!E:E)</f>
        <v>0</v>
      </c>
      <c r="N557" s="13">
        <f ca="1">SUMIF('2.4販促費'!D:E,C557,'2.4販促費'!E:E)</f>
        <v>0</v>
      </c>
      <c r="O557" s="13">
        <f ca="1">SUMIF('2.5廃棄処分'!D:E,C557,'2.5廃棄処分'!E:E)</f>
        <v>0</v>
      </c>
      <c r="P557" s="13">
        <f ca="1">SUMIF('2.1④異種原液'!D:E,C557,'2.1④異種原液'!E:E)</f>
        <v>0</v>
      </c>
      <c r="Q557" s="14">
        <f ca="1">SUMIF('2.7製造部生産分'!D:I,C557,'2.7製造部生産分'!H:H)</f>
        <v>0</v>
      </c>
      <c r="R557" s="15">
        <f ca="1">-(G557+H557+K557-L557-M557-N557-O557-P557-Q557-S557)</f>
        <v>0</v>
      </c>
      <c r="S557" s="13">
        <f ca="1">SUMIF('2.9原液在庫'!B:H,C557,'2.9原液在庫'!H:H)</f>
        <v>0</v>
      </c>
      <c r="T557" s="16">
        <f ca="1">IFERROR(SUM(G558:K558)/(G557+H557+K557),0)</f>
        <v>0</v>
      </c>
      <c r="U557" s="17" t="str">
        <f>C557</f>
        <v>PL</v>
      </c>
      <c r="V557" s="18">
        <f ca="1">IF(ISERROR(SUM(G558:K558)/SUM(L557:Q557,S557)),0,SUM(G558:K558)/SUM(L557:Q557,S557))</f>
        <v>0</v>
      </c>
      <c r="W557" s="19">
        <f ca="1">V557</f>
        <v>0</v>
      </c>
      <c r="X557" s="20">
        <f ca="1">W557/1000</f>
        <v>0</v>
      </c>
    </row>
    <row r="558" spans="1:25">
      <c r="A558" s="201"/>
      <c r="B558" s="201"/>
      <c r="C558" s="201"/>
      <c r="D558" s="199"/>
      <c r="E558" s="199"/>
      <c r="F558" s="21" t="s">
        <v>247</v>
      </c>
      <c r="G558" s="22" t="s">
        <v>254</v>
      </c>
      <c r="H558" s="184"/>
      <c r="I558" s="23">
        <f ca="1">I557*労務費経費単価SC!D$7</f>
        <v>0</v>
      </c>
      <c r="J558" s="23">
        <f ca="1">J557*労務費経費単価SC!D$11</f>
        <v>0</v>
      </c>
      <c r="K558" s="22">
        <f ca="1">K557*$E557</f>
        <v>0</v>
      </c>
      <c r="L558" s="22">
        <f ca="1">L557*$E557</f>
        <v>0</v>
      </c>
      <c r="M558" s="22">
        <f t="shared" ref="M558" ca="1" si="1926">M557*$E557</f>
        <v>0</v>
      </c>
      <c r="N558" s="22">
        <f t="shared" ref="N558" ca="1" si="1927">N557*$E557</f>
        <v>0</v>
      </c>
      <c r="O558" s="22">
        <f t="shared" ref="O558" ca="1" si="1928">O557*$E557</f>
        <v>0</v>
      </c>
      <c r="P558" s="22">
        <f t="shared" ref="P558" ca="1" si="1929">P557*$E557</f>
        <v>0</v>
      </c>
      <c r="Q558" s="22">
        <f t="shared" ref="Q558" ca="1" si="1930">Q557*$E557</f>
        <v>0</v>
      </c>
      <c r="R558" s="22">
        <f t="shared" ref="R558" ca="1" si="1931">R557*$E557</f>
        <v>0</v>
      </c>
      <c r="S558" s="22">
        <f t="shared" ref="S558" ca="1" si="1932">S557*$E557</f>
        <v>0</v>
      </c>
      <c r="U558" s="17"/>
      <c r="V558" s="18"/>
      <c r="W558" s="19"/>
      <c r="X558" s="20"/>
    </row>
    <row r="559" spans="1:25">
      <c r="A559" s="200"/>
      <c r="B559" s="211"/>
      <c r="C559" s="200" t="s">
        <v>439</v>
      </c>
      <c r="D559" s="199" t="str">
        <f>VLOOKUP(C559,'仕掛品名寄（貼付）'!B:C,2,FALSE)</f>
        <v>PXA</v>
      </c>
      <c r="E559" s="199">
        <f>VLOOKUP(D559,'仕掛品標準単価一覧表（貼付）'!B:G,6,FALSE)</f>
        <v>1794</v>
      </c>
      <c r="F559" s="12" t="s">
        <v>246</v>
      </c>
      <c r="G559" s="13">
        <v>21.5</v>
      </c>
      <c r="H559" s="13">
        <f ca="1">SUMIF('1.3②原材料使用'!B:E,C559,'1.3②原材料使用'!E:E)</f>
        <v>32</v>
      </c>
      <c r="I559" s="13">
        <f ca="1">SUMIF('2.10原液別作業時間'!A:B,C559,'2.10原液別作業時間'!B:B)</f>
        <v>450</v>
      </c>
      <c r="J559" s="13">
        <f ca="1">SUM(G559:H559,K559)</f>
        <v>1608.5</v>
      </c>
      <c r="K559" s="13">
        <f ca="1">SUMIF('2.2⑤純増減→前工程費'!B:E,C559,'2.2⑤純増減→前工程費'!E:E)</f>
        <v>1555</v>
      </c>
      <c r="L559" s="13">
        <f ca="1">SUMIF('2.6完成品'!C:D,C559,'2.6完成品'!D:D)</f>
        <v>0</v>
      </c>
      <c r="M559" s="13">
        <f ca="1">SUMIF('2.3研究費'!D:E,C559,'2.3研究費'!E:E)</f>
        <v>0</v>
      </c>
      <c r="N559" s="13">
        <f ca="1">SUMIF('2.4販促費'!D:E,C559,'2.4販促費'!E:E)</f>
        <v>0</v>
      </c>
      <c r="O559" s="13">
        <f ca="1">SUMIF('2.5廃棄処分'!D:E,C559,'2.5廃棄処分'!E:E)</f>
        <v>0</v>
      </c>
      <c r="P559" s="13">
        <f ca="1">SUMIF('2.1④異種原液'!D:E,C559,'2.1④異種原液'!E:E)</f>
        <v>0</v>
      </c>
      <c r="Q559" s="14">
        <f ca="1">SUMIF('2.7製造部生産分'!D:I,C559,'2.7製造部生産分'!H:H)</f>
        <v>1044</v>
      </c>
      <c r="R559" s="15">
        <f ca="1">-(G559+H559+K559-L559-M559-N559-O559-P559-Q559-S559)</f>
        <v>-560</v>
      </c>
      <c r="S559" s="13">
        <f ca="1">SUMIF('2.9原液在庫'!B:H,C559,'2.9原液在庫'!H:H)</f>
        <v>4.5</v>
      </c>
      <c r="T559" s="16">
        <f ca="1">IFERROR(SUM(G560:K560)/(G559+H559+K559),0)</f>
        <v>1909.8710659313954</v>
      </c>
      <c r="U559" s="17" t="str">
        <f>C559</f>
        <v>PXA</v>
      </c>
      <c r="V559" s="18">
        <f ca="1">IF(ISERROR(SUM(G560:K560)/SUM(L559:Q559,S559)),0,SUM(G560:K560)/SUM(L559:Q559,S559))</f>
        <v>2929.9261893663797</v>
      </c>
      <c r="W559" s="19">
        <f ca="1">V559</f>
        <v>2929.9261893663797</v>
      </c>
      <c r="X559" s="20">
        <f ca="1">W559/1000</f>
        <v>2.9299261893663799</v>
      </c>
    </row>
    <row r="560" spans="1:25">
      <c r="A560" s="201"/>
      <c r="B560" s="201"/>
      <c r="C560" s="201"/>
      <c r="D560" s="199"/>
      <c r="E560" s="199"/>
      <c r="F560" s="21" t="s">
        <v>247</v>
      </c>
      <c r="G560" s="22">
        <v>27102.609550649297</v>
      </c>
      <c r="H560" s="184"/>
      <c r="I560" s="23">
        <f ca="1">I559*労務費経費単価SC!D$7</f>
        <v>207000</v>
      </c>
      <c r="J560" s="23">
        <f ca="1">J559*労務費経費単価SC!D$11</f>
        <v>48255</v>
      </c>
      <c r="K560" s="22">
        <f ca="1">K559*$E559</f>
        <v>2789670</v>
      </c>
      <c r="L560" s="22">
        <f ca="1">L559*$E559</f>
        <v>0</v>
      </c>
      <c r="M560" s="22">
        <f t="shared" ref="M560" ca="1" si="1933">M559*$E559</f>
        <v>0</v>
      </c>
      <c r="N560" s="22">
        <f t="shared" ref="N560" ca="1" si="1934">N559*$E559</f>
        <v>0</v>
      </c>
      <c r="O560" s="22">
        <f t="shared" ref="O560" ca="1" si="1935">O559*$E559</f>
        <v>0</v>
      </c>
      <c r="P560" s="22">
        <f t="shared" ref="P560" ca="1" si="1936">P559*$E559</f>
        <v>0</v>
      </c>
      <c r="Q560" s="22">
        <f t="shared" ref="Q560" ca="1" si="1937">Q559*$E559</f>
        <v>1872936</v>
      </c>
      <c r="R560" s="22">
        <f t="shared" ref="R560" ca="1" si="1938">R559*$E559</f>
        <v>-1004640</v>
      </c>
      <c r="S560" s="22">
        <f t="shared" ref="S560" ca="1" si="1939">S559*$E559</f>
        <v>8073</v>
      </c>
      <c r="U560" s="17"/>
      <c r="V560" s="18"/>
      <c r="W560" s="19"/>
      <c r="X560" s="20"/>
    </row>
    <row r="561" spans="1:25">
      <c r="A561" s="200"/>
      <c r="B561" s="211"/>
      <c r="C561" s="200" t="s">
        <v>136</v>
      </c>
      <c r="D561" s="199" t="str">
        <f>VLOOKUP(C561,'仕掛品名寄（貼付）'!B:C,2,FALSE)</f>
        <v>その他</v>
      </c>
      <c r="E561" s="199">
        <f>VLOOKUP(D561,'仕掛品標準単価一覧表（貼付）'!B:G,6,FALSE)</f>
        <v>1080</v>
      </c>
      <c r="F561" s="12" t="s">
        <v>246</v>
      </c>
      <c r="G561" s="24">
        <v>99.5</v>
      </c>
      <c r="H561" s="13">
        <f ca="1">SUMIF('1.3②原材料使用'!B:E,C561,'1.3②原材料使用'!E:E)</f>
        <v>0</v>
      </c>
      <c r="I561" s="13">
        <f ca="1">SUMIF('2.10原液別作業時間'!A:B,C561,'2.10原液別作業時間'!B:B)</f>
        <v>170</v>
      </c>
      <c r="J561" s="13">
        <f ca="1">SUM(G561:H561,K561)</f>
        <v>299.5</v>
      </c>
      <c r="K561" s="13">
        <f ca="1">SUMIF('2.2⑤純増減→前工程費'!B:E,C561,'2.2⑤純増減→前工程費'!E:E)</f>
        <v>200</v>
      </c>
      <c r="L561" s="13">
        <f ca="1">SUMIF('2.6完成品'!C:D,C561,'2.6完成品'!D:D)</f>
        <v>183.2</v>
      </c>
      <c r="M561" s="13">
        <f ca="1">SUMIF('2.3研究費'!D:E,C561,'2.3研究費'!E:E)</f>
        <v>0</v>
      </c>
      <c r="N561" s="13">
        <f ca="1">SUMIF('2.4販促費'!D:E,C561,'2.4販促費'!E:E)</f>
        <v>0</v>
      </c>
      <c r="O561" s="13">
        <f ca="1">SUMIF('2.5廃棄処分'!D:E,C561,'2.5廃棄処分'!E:E)</f>
        <v>0</v>
      </c>
      <c r="P561" s="13">
        <f ca="1">SUMIF('2.1④異種原液'!D:E,C561,'2.1④異種原液'!E:E)</f>
        <v>0</v>
      </c>
      <c r="Q561" s="14">
        <f ca="1">SUMIF('2.7製造部生産分'!D:I,C561,'2.7製造部生産分'!H:H)</f>
        <v>0</v>
      </c>
      <c r="R561" s="15">
        <f ca="1">-(G561+H561+K561-L561-M561-N561-O561-P561-Q561-S561)</f>
        <v>5.6999999999999886</v>
      </c>
      <c r="S561" s="13">
        <f ca="1">SUMIF('2.9原液在庫'!B:H,C561,'2.9原液在庫'!H:H)</f>
        <v>122</v>
      </c>
      <c r="T561" s="16">
        <f ca="1">IFERROR(SUM(G562:K562)/(G561+H561+K561),0)</f>
        <v>1446.3044528490327</v>
      </c>
      <c r="U561" s="17" t="str">
        <f>C561</f>
        <v>Q</v>
      </c>
      <c r="V561" s="18">
        <f ca="1">IF(ISERROR(SUM(G562:K562)/SUM(L561:Q561,S561)),0,SUM(G562:K562)/SUM(L561:Q561,S561))</f>
        <v>1419.2928690310791</v>
      </c>
      <c r="W561" s="19">
        <f ca="1">V561</f>
        <v>1419.2928690310791</v>
      </c>
      <c r="X561" s="20">
        <f ca="1">W561/1000</f>
        <v>1.4192928690310791</v>
      </c>
    </row>
    <row r="562" spans="1:25">
      <c r="A562" s="201"/>
      <c r="B562" s="201"/>
      <c r="C562" s="201"/>
      <c r="D562" s="199"/>
      <c r="E562" s="199"/>
      <c r="F562" s="21" t="s">
        <v>247</v>
      </c>
      <c r="G562" s="22">
        <v>129983.18362828532</v>
      </c>
      <c r="H562" s="184"/>
      <c r="I562" s="23">
        <f ca="1">I561*労務費経費単価SC!D$7</f>
        <v>78200</v>
      </c>
      <c r="J562" s="23">
        <f ca="1">J561*労務費経費単価SC!D$11</f>
        <v>8985</v>
      </c>
      <c r="K562" s="22">
        <f ca="1">K561*$E561</f>
        <v>216000</v>
      </c>
      <c r="L562" s="22">
        <f ca="1">L561*$E561</f>
        <v>197856</v>
      </c>
      <c r="M562" s="22">
        <f t="shared" ref="M562" ca="1" si="1940">M561*$E561</f>
        <v>0</v>
      </c>
      <c r="N562" s="22">
        <f t="shared" ref="N562" ca="1" si="1941">N561*$E561</f>
        <v>0</v>
      </c>
      <c r="O562" s="22">
        <f t="shared" ref="O562" ca="1" si="1942">O561*$E561</f>
        <v>0</v>
      </c>
      <c r="P562" s="22">
        <f t="shared" ref="P562" ca="1" si="1943">P561*$E561</f>
        <v>0</v>
      </c>
      <c r="Q562" s="22">
        <f t="shared" ref="Q562" ca="1" si="1944">Q561*$E561</f>
        <v>0</v>
      </c>
      <c r="R562" s="22">
        <f t="shared" ref="R562" ca="1" si="1945">R561*$E561</f>
        <v>6155.9999999999873</v>
      </c>
      <c r="S562" s="22">
        <f t="shared" ref="S562" ca="1" si="1946">S561*$E561</f>
        <v>131760</v>
      </c>
      <c r="U562" s="17"/>
      <c r="V562" s="18"/>
      <c r="W562" s="19"/>
      <c r="X562" s="20"/>
    </row>
    <row r="563" spans="1:25" ht="18">
      <c r="A563" s="200"/>
      <c r="B563" s="211"/>
      <c r="C563" s="200" t="s">
        <v>137</v>
      </c>
      <c r="D563" s="199" t="str">
        <f>VLOOKUP(C563,'仕掛品名寄（貼付）'!B:C,2,FALSE)</f>
        <v>T</v>
      </c>
      <c r="E563" s="199">
        <f>VLOOKUP(D563,'仕掛品標準単価一覧表（貼付）'!B:G,6,FALSE)</f>
        <v>1583</v>
      </c>
      <c r="F563" s="12" t="s">
        <v>246</v>
      </c>
      <c r="G563" s="24">
        <v>6180.5</v>
      </c>
      <c r="H563" s="13">
        <f ca="1">SUMIF('1.3②原材料使用'!B:E,C563,'1.3②原材料使用'!E:E)</f>
        <v>0</v>
      </c>
      <c r="I563" s="13">
        <f ca="1">SUMIF('2.10原液別作業時間'!A:B,C563,'2.10原液別作業時間'!B:B)</f>
        <v>5615</v>
      </c>
      <c r="J563" s="13">
        <f ca="1">SUM(G563:H563,K563)</f>
        <v>18914</v>
      </c>
      <c r="K563" s="13">
        <f ca="1">SUMIF('2.2⑤純増減→前工程費'!B:E,C563,'2.2⑤純増減→前工程費'!E:E)</f>
        <v>12733.5</v>
      </c>
      <c r="L563" s="13">
        <f ca="1">SUMIF('2.6完成品'!C:D,C563,'2.6完成品'!D:D)</f>
        <v>6932.3</v>
      </c>
      <c r="M563" s="13">
        <f ca="1">SUMIF('2.3研究費'!D:E,C563,'2.3研究費'!E:E)</f>
        <v>23.5</v>
      </c>
      <c r="N563" s="13">
        <f ca="1">SUMIF('2.4販促費'!D:E,C563,'2.4販促費'!E:E)</f>
        <v>0</v>
      </c>
      <c r="O563" s="13">
        <f ca="1">SUMIF('2.5廃棄処分'!D:E,C563,'2.5廃棄処分'!E:E)</f>
        <v>0</v>
      </c>
      <c r="P563" s="13">
        <f ca="1">SUMIF('2.1④異種原液'!D:E,C563,'2.1④異種原液'!E:E)</f>
        <v>0</v>
      </c>
      <c r="Q563" s="14">
        <f ca="1">SUMIF('2.7製造部生産分'!D:I,C563,'2.7製造部生産分'!H:H)</f>
        <v>3072</v>
      </c>
      <c r="R563" s="15">
        <f ca="1">-(G563+H563+K563-L563-M563-N563-O563-P563-Q563-S563)</f>
        <v>-44.700000000000728</v>
      </c>
      <c r="S563" s="13">
        <f ca="1">SUMIF('2.9原液在庫'!B:H,C563,'2.9原液在庫'!H:H)</f>
        <v>8841.5</v>
      </c>
      <c r="T563" s="16">
        <f ca="1">IFERROR(SUM(G564:K564)/(G563+H563+K563),0)</f>
        <v>1652.1035001966929</v>
      </c>
      <c r="U563" s="17" t="str">
        <f>C563</f>
        <v>T</v>
      </c>
      <c r="V563" s="18">
        <f ca="1">IF(ISERROR(SUM(G564:K564)/SUM(L563:Q563,S563)),0,SUM(G564:K564)/SUM(L563:Q563,S563))</f>
        <v>1656.0172132893244</v>
      </c>
      <c r="W563" s="19">
        <f ca="1">V563</f>
        <v>1656.0172132893244</v>
      </c>
      <c r="X563" s="20">
        <f ca="1">W563/1000</f>
        <v>1.6560172132893245</v>
      </c>
      <c r="Y563" s="26" t="s">
        <v>301</v>
      </c>
    </row>
    <row r="564" spans="1:25">
      <c r="A564" s="201"/>
      <c r="B564" s="201"/>
      <c r="C564" s="201"/>
      <c r="D564" s="199"/>
      <c r="E564" s="199"/>
      <c r="F564" s="21" t="s">
        <v>247</v>
      </c>
      <c r="G564" s="22">
        <v>7940435.1027202485</v>
      </c>
      <c r="H564" s="184"/>
      <c r="I564" s="23">
        <f ca="1">I563*労務費経費単価SC!D$7</f>
        <v>2582900</v>
      </c>
      <c r="J564" s="23">
        <f ca="1">J563*労務費経費単価SC!D$11</f>
        <v>567420</v>
      </c>
      <c r="K564" s="22">
        <f ca="1">K563*$E563</f>
        <v>20157130.5</v>
      </c>
      <c r="L564" s="22">
        <f ca="1">L563*$E563</f>
        <v>10973830.9</v>
      </c>
      <c r="M564" s="22">
        <f t="shared" ref="M564" ca="1" si="1947">M563*$E563</f>
        <v>37200.5</v>
      </c>
      <c r="N564" s="22">
        <f t="shared" ref="N564" ca="1" si="1948">N563*$E563</f>
        <v>0</v>
      </c>
      <c r="O564" s="22">
        <f t="shared" ref="O564" ca="1" si="1949">O563*$E563</f>
        <v>0</v>
      </c>
      <c r="P564" s="22">
        <f t="shared" ref="P564" ca="1" si="1950">P563*$E563</f>
        <v>0</v>
      </c>
      <c r="Q564" s="22">
        <f t="shared" ref="Q564" ca="1" si="1951">Q563*$E563</f>
        <v>4862976</v>
      </c>
      <c r="R564" s="22">
        <f t="shared" ref="R564" ca="1" si="1952">R563*$E563</f>
        <v>-70760.100000001155</v>
      </c>
      <c r="S564" s="22">
        <f t="shared" ref="S564" ca="1" si="1953">S563*$E563</f>
        <v>13996094.5</v>
      </c>
      <c r="U564" s="17"/>
      <c r="V564" s="18"/>
      <c r="W564" s="19"/>
      <c r="X564" s="20"/>
    </row>
    <row r="565" spans="1:25">
      <c r="A565" s="200"/>
      <c r="B565" s="211"/>
      <c r="C565" s="200" t="s">
        <v>138</v>
      </c>
      <c r="D565" s="199" t="str">
        <f>VLOOKUP(C565,'仕掛品名寄（貼付）'!B:C,2,FALSE)</f>
        <v>その他</v>
      </c>
      <c r="E565" s="199">
        <f>VLOOKUP(D565,'仕掛品標準単価一覧表（貼付）'!B:G,6,FALSE)</f>
        <v>1080</v>
      </c>
      <c r="F565" s="12" t="s">
        <v>246</v>
      </c>
      <c r="G565" s="24">
        <v>0</v>
      </c>
      <c r="H565" s="13">
        <f ca="1">SUMIF('1.3②原材料使用'!B:E,C565,'1.3②原材料使用'!E:E)</f>
        <v>0</v>
      </c>
      <c r="I565" s="13">
        <f ca="1">SUMIF('2.10原液別作業時間'!A:B,C565,'2.10原液別作業時間'!B:B)</f>
        <v>0</v>
      </c>
      <c r="J565" s="13">
        <f ca="1">SUM(G565:H565,K565)</f>
        <v>0</v>
      </c>
      <c r="K565" s="13">
        <f ca="1">SUMIF('2.2⑤純増減→前工程費'!B:E,C565,'2.2⑤純増減→前工程費'!E:E)</f>
        <v>0</v>
      </c>
      <c r="L565" s="13">
        <f ca="1">SUMIF('2.6完成品'!C:D,C565,'2.6完成品'!D:D)</f>
        <v>0</v>
      </c>
      <c r="M565" s="13">
        <f ca="1">SUMIF('2.3研究費'!D:E,C565,'2.3研究費'!E:E)</f>
        <v>0</v>
      </c>
      <c r="N565" s="13">
        <f ca="1">SUMIF('2.4販促費'!D:E,C565,'2.4販促費'!E:E)</f>
        <v>0</v>
      </c>
      <c r="O565" s="13">
        <f ca="1">SUMIF('2.5廃棄処分'!D:E,C565,'2.5廃棄処分'!E:E)</f>
        <v>0</v>
      </c>
      <c r="P565" s="13">
        <f ca="1">SUMIF('2.1④異種原液'!D:E,C565,'2.1④異種原液'!E:E)</f>
        <v>0</v>
      </c>
      <c r="Q565" s="14">
        <f ca="1">SUMIF('2.7製造部生産分'!D:I,C565,'2.7製造部生産分'!H:H)</f>
        <v>0</v>
      </c>
      <c r="R565" s="15">
        <f ca="1">-(G565+H565+K565-L565-M565-N565-O565-P565-Q565-S565)</f>
        <v>0</v>
      </c>
      <c r="S565" s="13">
        <f ca="1">SUMIF('2.9原液在庫'!B:H,C565,'2.9原液在庫'!H:H)</f>
        <v>0</v>
      </c>
      <c r="T565" s="16">
        <f ca="1">IFERROR(SUM(G566:K566)/(G565+H565+K565),0)</f>
        <v>0</v>
      </c>
      <c r="U565" s="17" t="str">
        <f>C565</f>
        <v>W</v>
      </c>
      <c r="V565" s="18">
        <f ca="1">IF(ISERROR(SUM(G566:K566)/SUM(L565:Q565,S565)),0,SUM(G566:K566)/SUM(L565:Q565,S565))</f>
        <v>0</v>
      </c>
      <c r="W565" s="19">
        <f ca="1">V565</f>
        <v>0</v>
      </c>
      <c r="X565" s="20">
        <f ca="1">W565/1000</f>
        <v>0</v>
      </c>
    </row>
    <row r="566" spans="1:25">
      <c r="A566" s="201"/>
      <c r="B566" s="201"/>
      <c r="C566" s="201"/>
      <c r="D566" s="199"/>
      <c r="E566" s="199"/>
      <c r="F566" s="21" t="s">
        <v>247</v>
      </c>
      <c r="G566" s="22" t="s">
        <v>254</v>
      </c>
      <c r="H566" s="184"/>
      <c r="I566" s="23">
        <f ca="1">I565*労務費経費単価SC!D$7</f>
        <v>0</v>
      </c>
      <c r="J566" s="23">
        <f ca="1">J565*労務費経費単価SC!D$11</f>
        <v>0</v>
      </c>
      <c r="K566" s="22">
        <f ca="1">K565*$E565</f>
        <v>0</v>
      </c>
      <c r="L566" s="22">
        <f ca="1">L565*$E565</f>
        <v>0</v>
      </c>
      <c r="M566" s="22">
        <f t="shared" ref="M566" ca="1" si="1954">M565*$E565</f>
        <v>0</v>
      </c>
      <c r="N566" s="22">
        <f t="shared" ref="N566" ca="1" si="1955">N565*$E565</f>
        <v>0</v>
      </c>
      <c r="O566" s="22">
        <f t="shared" ref="O566" ca="1" si="1956">O565*$E565</f>
        <v>0</v>
      </c>
      <c r="P566" s="22">
        <f t="shared" ref="P566" ca="1" si="1957">P565*$E565</f>
        <v>0</v>
      </c>
      <c r="Q566" s="22">
        <f t="shared" ref="Q566" ca="1" si="1958">Q565*$E565</f>
        <v>0</v>
      </c>
      <c r="R566" s="22">
        <f t="shared" ref="R566" ca="1" si="1959">R565*$E565</f>
        <v>0</v>
      </c>
      <c r="S566" s="22">
        <f t="shared" ref="S566" ca="1" si="1960">S565*$E565</f>
        <v>0</v>
      </c>
      <c r="U566" s="17"/>
      <c r="V566" s="18"/>
      <c r="W566" s="19"/>
      <c r="X566" s="20"/>
    </row>
    <row r="567" spans="1:25">
      <c r="A567" s="200"/>
      <c r="B567" s="211"/>
      <c r="C567" s="200" t="s">
        <v>440</v>
      </c>
      <c r="D567" s="199" t="str">
        <f>VLOOKUP(C567,'仕掛品名寄（貼付）'!B:C,2,FALSE)</f>
        <v>その他</v>
      </c>
      <c r="E567" s="199">
        <f>VLOOKUP(D567,'仕掛品標準単価一覧表（貼付）'!B:G,6,FALSE)</f>
        <v>1080</v>
      </c>
      <c r="F567" s="12" t="s">
        <v>246</v>
      </c>
      <c r="G567" s="24">
        <v>0</v>
      </c>
      <c r="H567" s="13">
        <f ca="1">SUMIF('1.3②原材料使用'!B:E,C567,'1.3②原材料使用'!E:E)</f>
        <v>0</v>
      </c>
      <c r="I567" s="13">
        <f ca="1">SUMIF('2.10原液別作業時間'!A:B,C567,'2.10原液別作業時間'!B:B)</f>
        <v>0</v>
      </c>
      <c r="J567" s="13">
        <f ca="1">SUM(G567:H567,K567)</f>
        <v>0</v>
      </c>
      <c r="K567" s="13">
        <f ca="1">SUMIF('2.2⑤純増減→前工程費'!B:E,C567,'2.2⑤純増減→前工程費'!E:E)</f>
        <v>0</v>
      </c>
      <c r="L567" s="13">
        <f ca="1">SUMIF('2.6完成品'!C:D,C567,'2.6完成品'!D:D)</f>
        <v>0</v>
      </c>
      <c r="M567" s="13">
        <f ca="1">SUMIF('2.3研究費'!D:E,C567,'2.3研究費'!E:E)</f>
        <v>0</v>
      </c>
      <c r="N567" s="13">
        <f ca="1">SUMIF('2.4販促費'!D:E,C567,'2.4販促費'!E:E)</f>
        <v>0</v>
      </c>
      <c r="O567" s="13">
        <f ca="1">SUMIF('2.5廃棄処分'!D:E,C567,'2.5廃棄処分'!E:E)</f>
        <v>0</v>
      </c>
      <c r="P567" s="13">
        <f ca="1">SUMIF('2.1④異種原液'!D:E,C567,'2.1④異種原液'!E:E)</f>
        <v>0</v>
      </c>
      <c r="Q567" s="14">
        <f ca="1">SUMIF('2.7製造部生産分'!D:I,C567,'2.7製造部生産分'!H:H)</f>
        <v>0</v>
      </c>
      <c r="R567" s="15">
        <f ca="1">-(G567+H567+K567-L567-M567-N567-O567-P567-Q567-S567)</f>
        <v>0</v>
      </c>
      <c r="S567" s="13">
        <f ca="1">SUMIF('2.9原液在庫'!B:H,C567,'2.9原液在庫'!H:H)</f>
        <v>0</v>
      </c>
      <c r="T567" s="16">
        <f ca="1">IFERROR(SUM(G568:K568)/(G567+H567+K567),0)</f>
        <v>0</v>
      </c>
      <c r="U567" s="17" t="str">
        <f>C567</f>
        <v>WA</v>
      </c>
      <c r="V567" s="18">
        <f ca="1">IF(ISERROR(SUM(G568:K568)/SUM(L567:Q567,S567)),0,SUM(G568:K568)/SUM(L567:Q567,S567))</f>
        <v>0</v>
      </c>
      <c r="W567" s="19">
        <f ca="1">V567</f>
        <v>0</v>
      </c>
      <c r="X567" s="20">
        <f ca="1">W567/1000</f>
        <v>0</v>
      </c>
    </row>
    <row r="568" spans="1:25">
      <c r="A568" s="201"/>
      <c r="B568" s="201"/>
      <c r="C568" s="201"/>
      <c r="D568" s="199"/>
      <c r="E568" s="199"/>
      <c r="F568" s="21" t="s">
        <v>247</v>
      </c>
      <c r="G568" s="22" t="s">
        <v>254</v>
      </c>
      <c r="H568" s="184"/>
      <c r="I568" s="23">
        <f ca="1">I567*労務費経費単価SC!D$7</f>
        <v>0</v>
      </c>
      <c r="J568" s="23">
        <f ca="1">J567*労務費経費単価SC!D$11</f>
        <v>0</v>
      </c>
      <c r="K568" s="22">
        <f ca="1">K567*$E567</f>
        <v>0</v>
      </c>
      <c r="L568" s="22">
        <f ca="1">L567*$E567</f>
        <v>0</v>
      </c>
      <c r="M568" s="22">
        <f t="shared" ref="M568" ca="1" si="1961">M567*$E567</f>
        <v>0</v>
      </c>
      <c r="N568" s="22">
        <f t="shared" ref="N568" ca="1" si="1962">N567*$E567</f>
        <v>0</v>
      </c>
      <c r="O568" s="22">
        <f t="shared" ref="O568" ca="1" si="1963">O567*$E567</f>
        <v>0</v>
      </c>
      <c r="P568" s="22">
        <f t="shared" ref="P568" ca="1" si="1964">P567*$E567</f>
        <v>0</v>
      </c>
      <c r="Q568" s="22">
        <f t="shared" ref="Q568" ca="1" si="1965">Q567*$E567</f>
        <v>0</v>
      </c>
      <c r="R568" s="22">
        <f t="shared" ref="R568" ca="1" si="1966">R567*$E567</f>
        <v>0</v>
      </c>
      <c r="S568" s="22">
        <f t="shared" ref="S568" ca="1" si="1967">S567*$E567</f>
        <v>0</v>
      </c>
      <c r="U568" s="17"/>
      <c r="V568" s="18"/>
      <c r="W568" s="19"/>
      <c r="X568" s="20"/>
    </row>
    <row r="569" spans="1:25">
      <c r="A569" s="200"/>
      <c r="B569" s="211"/>
      <c r="C569" s="200" t="s">
        <v>181</v>
      </c>
      <c r="D569" s="199" t="str">
        <f>VLOOKUP(C569,'仕掛品名寄（貼付）'!B:C,2,FALSE)</f>
        <v>その他</v>
      </c>
      <c r="E569" s="199">
        <f>VLOOKUP(D569,'仕掛品標準単価一覧表（貼付）'!B:G,6,FALSE)</f>
        <v>1080</v>
      </c>
      <c r="F569" s="12" t="s">
        <v>246</v>
      </c>
      <c r="G569" s="24">
        <v>601</v>
      </c>
      <c r="H569" s="13">
        <f ca="1">SUMIF('1.3②原材料使用'!B:E,C569,'1.3②原材料使用'!E:E)</f>
        <v>0</v>
      </c>
      <c r="I569" s="13">
        <f ca="1">SUMIF('2.10原液別作業時間'!A:B,C569,'2.10原液別作業時間'!B:B)</f>
        <v>210</v>
      </c>
      <c r="J569" s="13">
        <f ca="1">SUM(G569:H569,K569)</f>
        <v>1889.5</v>
      </c>
      <c r="K569" s="13">
        <f ca="1">SUMIF('2.2⑤純増減→前工程費'!B:E,C569,'2.2⑤純増減→前工程費'!E:E)</f>
        <v>1288.5</v>
      </c>
      <c r="L569" s="13">
        <f ca="1">SUMIF('2.6完成品'!C:D,C569,'2.6完成品'!D:D)</f>
        <v>1263.5999999999999</v>
      </c>
      <c r="M569" s="13">
        <f ca="1">SUMIF('2.3研究費'!D:E,C569,'2.3研究費'!E:E)</f>
        <v>0.1</v>
      </c>
      <c r="N569" s="13">
        <f ca="1">SUMIF('2.4販促費'!D:E,C569,'2.4販促費'!E:E)</f>
        <v>0</v>
      </c>
      <c r="O569" s="13">
        <f ca="1">SUMIF('2.5廃棄処分'!D:E,C569,'2.5廃棄処分'!E:E)</f>
        <v>0</v>
      </c>
      <c r="P569" s="13">
        <f ca="1">SUMIF('2.1④異種原液'!D:E,C569,'2.1④異種原液'!E:E)</f>
        <v>0</v>
      </c>
      <c r="Q569" s="14">
        <f ca="1">SUMIF('2.7製造部生産分'!D:I,C569,'2.7製造部生産分'!H:H)</f>
        <v>0</v>
      </c>
      <c r="R569" s="15">
        <f ca="1">-(G569+H569+K569-L569-M569-N569-O569-P569-Q569-S569)</f>
        <v>4.1999999999999318</v>
      </c>
      <c r="S569" s="13">
        <f ca="1">SUMIF('2.9原液在庫'!B:H,C569,'2.9原液在庫'!H:H)</f>
        <v>630</v>
      </c>
      <c r="T569" s="16">
        <f ca="1">IFERROR(SUM(G570:K570)/(G569+H569+K569),0)</f>
        <v>1225.1428406223818</v>
      </c>
      <c r="U569" s="17" t="str">
        <f>C569</f>
        <v>KOL</v>
      </c>
      <c r="V569" s="18">
        <f ca="1">IF(ISERROR(SUM(G570:K570)/SUM(L569:Q569,S569)),0,SUM(G570:K570)/SUM(L569:Q569,S569))</f>
        <v>1222.425620402382</v>
      </c>
      <c r="W569" s="19">
        <f ca="1">V569</f>
        <v>1222.425620402382</v>
      </c>
      <c r="X569" s="20">
        <f ca="1">W569/1000</f>
        <v>1.222425620402382</v>
      </c>
    </row>
    <row r="570" spans="1:25">
      <c r="A570" s="212"/>
      <c r="B570" s="212"/>
      <c r="C570" s="201"/>
      <c r="D570" s="199"/>
      <c r="E570" s="199"/>
      <c r="F570" s="21" t="s">
        <v>247</v>
      </c>
      <c r="G570" s="22">
        <v>770042.39735599048</v>
      </c>
      <c r="H570" s="184"/>
      <c r="I570" s="23">
        <f ca="1">I569*労務費経費単価SC!D$7</f>
        <v>96600</v>
      </c>
      <c r="J570" s="23">
        <f ca="1">J569*労務費経費単価SC!D$11</f>
        <v>56685</v>
      </c>
      <c r="K570" s="22">
        <f ca="1">K569*$E569</f>
        <v>1391580</v>
      </c>
      <c r="L570" s="22">
        <f ca="1">L569*$E569</f>
        <v>1364688</v>
      </c>
      <c r="M570" s="22">
        <f t="shared" ref="M570" ca="1" si="1968">M569*$E569</f>
        <v>108</v>
      </c>
      <c r="N570" s="22">
        <f t="shared" ref="N570" ca="1" si="1969">N569*$E569</f>
        <v>0</v>
      </c>
      <c r="O570" s="22">
        <f t="shared" ref="O570" ca="1" si="1970">O569*$E569</f>
        <v>0</v>
      </c>
      <c r="P570" s="22">
        <f t="shared" ref="P570" ca="1" si="1971">P569*$E569</f>
        <v>0</v>
      </c>
      <c r="Q570" s="22">
        <f t="shared" ref="Q570" ca="1" si="1972">Q569*$E569</f>
        <v>0</v>
      </c>
      <c r="R570" s="22">
        <f t="shared" ref="R570" ca="1" si="1973">R569*$E569</f>
        <v>4535.9999999999263</v>
      </c>
      <c r="S570" s="22">
        <f t="shared" ref="S570" ca="1" si="1974">S569*$E569</f>
        <v>680400</v>
      </c>
      <c r="U570" s="17"/>
      <c r="V570" s="18"/>
      <c r="W570" s="19"/>
      <c r="X570" s="20"/>
    </row>
    <row r="571" spans="1:25">
      <c r="A571" s="200"/>
      <c r="B571" s="211"/>
      <c r="C571" s="200" t="s">
        <v>139</v>
      </c>
      <c r="D571" s="199" t="str">
        <f>VLOOKUP(C571,'仕掛品名寄（貼付）'!B:C,2,FALSE)</f>
        <v>その他</v>
      </c>
      <c r="E571" s="199">
        <f>VLOOKUP(D571,'仕掛品標準単価一覧表（貼付）'!B:G,6,FALSE)</f>
        <v>1080</v>
      </c>
      <c r="F571" s="12" t="s">
        <v>246</v>
      </c>
      <c r="G571" s="13">
        <v>110</v>
      </c>
      <c r="H571" s="13">
        <f ca="1">SUMIF('1.3②原材料使用'!B:E,C571,'1.3②原材料使用'!E:E)</f>
        <v>0</v>
      </c>
      <c r="I571" s="13">
        <f ca="1">SUMIF('2.10原液別作業時間'!A:B,C571,'2.10原液別作業時間'!B:B)</f>
        <v>300</v>
      </c>
      <c r="J571" s="13">
        <f ca="1">SUM(G571:H571,K571)</f>
        <v>545</v>
      </c>
      <c r="K571" s="13">
        <f ca="1">SUMIF('2.2⑤純増減→前工程費'!B:E,C571,'2.2⑤純増減→前工程費'!E:E)</f>
        <v>435</v>
      </c>
      <c r="L571" s="13">
        <f ca="1">SUMIF('2.6完成品'!C:D,C571,'2.6完成品'!D:D)</f>
        <v>322.60000000000002</v>
      </c>
      <c r="M571" s="13">
        <f ca="1">SUMIF('2.3研究費'!D:E,C571,'2.3研究費'!E:E)</f>
        <v>0</v>
      </c>
      <c r="N571" s="13">
        <f ca="1">SUMIF('2.4販促費'!D:E,C571,'2.4販促費'!E:E)</f>
        <v>0</v>
      </c>
      <c r="O571" s="13">
        <f ca="1">SUMIF('2.5廃棄処分'!D:E,C571,'2.5廃棄処分'!E:E)</f>
        <v>0</v>
      </c>
      <c r="P571" s="13">
        <f ca="1">SUMIF('2.1④異種原液'!D:E,C571,'2.1④異種原液'!E:E)</f>
        <v>0</v>
      </c>
      <c r="Q571" s="14">
        <f ca="1">SUMIF('2.7製造部生産分'!D:I,C571,'2.7製造部生産分'!H:H)</f>
        <v>0</v>
      </c>
      <c r="R571" s="15">
        <f ca="1">-(G571+H571+K571-L571-M571-N571-O571-P571-Q571-S571)</f>
        <v>-5.3999999999999773</v>
      </c>
      <c r="S571" s="13">
        <f ca="1">SUMIF('2.9原液在庫'!B:H,C571,'2.9原液在庫'!H:H)</f>
        <v>217</v>
      </c>
      <c r="T571" s="16">
        <f ca="1">IFERROR(SUM(G572:K572)/(G571+H571+K571),0)</f>
        <v>1420.8629031878247</v>
      </c>
      <c r="U571" s="17" t="str">
        <f>C571</f>
        <v>Y</v>
      </c>
      <c r="V571" s="18">
        <f ca="1">IF(ISERROR(SUM(G572:K572)/SUM(L571:Q571,S571)),0,SUM(G572:K572)/SUM(L571:Q571,S571))</f>
        <v>1435.0820649321061</v>
      </c>
      <c r="W571" s="19">
        <f ca="1">V571</f>
        <v>1435.0820649321061</v>
      </c>
      <c r="X571" s="20">
        <f ca="1">W571/1000</f>
        <v>1.4350820649321061</v>
      </c>
    </row>
    <row r="572" spans="1:25">
      <c r="A572" s="201"/>
      <c r="B572" s="201"/>
      <c r="C572" s="201"/>
      <c r="D572" s="199"/>
      <c r="E572" s="199"/>
      <c r="F572" s="21" t="s">
        <v>247</v>
      </c>
      <c r="G572" s="22">
        <v>150220.28223736447</v>
      </c>
      <c r="H572" s="184"/>
      <c r="I572" s="23">
        <f ca="1">I571*労務費経費単価SC!D$7</f>
        <v>138000</v>
      </c>
      <c r="J572" s="23">
        <f ca="1">J571*労務費経費単価SC!D$11</f>
        <v>16350</v>
      </c>
      <c r="K572" s="22">
        <f ca="1">K571*$E571</f>
        <v>469800</v>
      </c>
      <c r="L572" s="22">
        <f ca="1">L571*$E571</f>
        <v>348408</v>
      </c>
      <c r="M572" s="22">
        <f t="shared" ref="M572" ca="1" si="1975">M571*$E571</f>
        <v>0</v>
      </c>
      <c r="N572" s="22">
        <f t="shared" ref="N572" ca="1" si="1976">N571*$E571</f>
        <v>0</v>
      </c>
      <c r="O572" s="22">
        <f t="shared" ref="O572" ca="1" si="1977">O571*$E571</f>
        <v>0</v>
      </c>
      <c r="P572" s="22">
        <f t="shared" ref="P572" ca="1" si="1978">P571*$E571</f>
        <v>0</v>
      </c>
      <c r="Q572" s="22">
        <f t="shared" ref="Q572" ca="1" si="1979">Q571*$E571</f>
        <v>0</v>
      </c>
      <c r="R572" s="22">
        <f t="shared" ref="R572" ca="1" si="1980">R571*$E571</f>
        <v>-5831.9999999999754</v>
      </c>
      <c r="S572" s="22">
        <f t="shared" ref="S572" ca="1" si="1981">S571*$E571</f>
        <v>234360</v>
      </c>
      <c r="U572" s="17"/>
      <c r="V572" s="18"/>
      <c r="W572" s="19"/>
      <c r="X572" s="20"/>
    </row>
    <row r="573" spans="1:25">
      <c r="A573" s="200"/>
      <c r="B573" s="211"/>
      <c r="C573" s="200" t="s">
        <v>441</v>
      </c>
      <c r="D573" s="199" t="str">
        <f>VLOOKUP(C573,'仕掛品名寄（貼付）'!B:C,2,FALSE)</f>
        <v>その他</v>
      </c>
      <c r="E573" s="199">
        <f>VLOOKUP(D573,'仕掛品標準単価一覧表（貼付）'!B:G,6,FALSE)</f>
        <v>1080</v>
      </c>
      <c r="F573" s="12" t="s">
        <v>246</v>
      </c>
      <c r="G573" s="24">
        <v>249</v>
      </c>
      <c r="H573" s="13">
        <f ca="1">SUMIF('1.3②原材料使用'!B:E,C573,'1.3②原材料使用'!E:E)</f>
        <v>0</v>
      </c>
      <c r="I573" s="13">
        <f ca="1">SUMIF('2.10原液別作業時間'!A:B,C573,'2.10原液別作業時間'!B:B)</f>
        <v>0</v>
      </c>
      <c r="J573" s="13">
        <f ca="1">SUM(G573:H573,K573)</f>
        <v>249</v>
      </c>
      <c r="K573" s="13">
        <f ca="1">SUMIF('2.2⑤純増減→前工程費'!B:E,C573,'2.2⑤純増減→前工程費'!E:E)</f>
        <v>0</v>
      </c>
      <c r="L573" s="13">
        <f ca="1">SUMIF('2.6完成品'!C:D,C573,'2.6完成品'!D:D)</f>
        <v>4.7</v>
      </c>
      <c r="M573" s="13">
        <f ca="1">SUMIF('2.3研究費'!D:E,C573,'2.3研究費'!E:E)</f>
        <v>0.2</v>
      </c>
      <c r="N573" s="13">
        <f ca="1">SUMIF('2.4販促費'!D:E,C573,'2.4販促費'!E:E)</f>
        <v>0</v>
      </c>
      <c r="O573" s="13">
        <f ca="1">SUMIF('2.5廃棄処分'!D:E,C573,'2.5廃棄処分'!E:E)</f>
        <v>0</v>
      </c>
      <c r="P573" s="13">
        <f ca="1">SUMIF('2.1④異種原液'!D:E,C573,'2.1④異種原液'!E:E)</f>
        <v>0</v>
      </c>
      <c r="Q573" s="14">
        <f ca="1">SUMIF('2.7製造部生産分'!D:I,C573,'2.7製造部生産分'!H:H)</f>
        <v>0</v>
      </c>
      <c r="R573" s="15">
        <f ca="1">-(G573+H573+K573-L573-M573-N573-O573-P573-Q573-S573)</f>
        <v>-1.1000000000000227</v>
      </c>
      <c r="S573" s="13">
        <f ca="1">SUMIF('2.9原液在庫'!B:H,C573,'2.9原液在庫'!H:H)</f>
        <v>243</v>
      </c>
      <c r="T573" s="16">
        <f ca="1">IFERROR(SUM(G574:K574)/(G573+H573+K573),0)</f>
        <v>1483.9955747542856</v>
      </c>
      <c r="U573" s="17" t="str">
        <f>C573</f>
        <v>YA</v>
      </c>
      <c r="V573" s="18">
        <f ca="1">IF(ISERROR(SUM(G574:K574)/SUM(L573:Q573,S573)),0,SUM(G574:K574)/SUM(L573:Q573,S573))</f>
        <v>1490.5804683897422</v>
      </c>
      <c r="W573" s="19">
        <f ca="1">V573</f>
        <v>1490.5804683897422</v>
      </c>
      <c r="X573" s="20">
        <f ca="1">W573/1000</f>
        <v>1.4905804683897423</v>
      </c>
    </row>
    <row r="574" spans="1:25">
      <c r="A574" s="201"/>
      <c r="B574" s="201"/>
      <c r="C574" s="201"/>
      <c r="D574" s="199"/>
      <c r="E574" s="199"/>
      <c r="F574" s="21" t="s">
        <v>247</v>
      </c>
      <c r="G574" s="22">
        <v>362044.89811381709</v>
      </c>
      <c r="H574" s="184"/>
      <c r="I574" s="23">
        <f ca="1">I573*労務費経費単価SC!D$7</f>
        <v>0</v>
      </c>
      <c r="J574" s="23">
        <f ca="1">J573*労務費経費単価SC!D$11</f>
        <v>7470</v>
      </c>
      <c r="K574" s="22">
        <f ca="1">K573*$E573</f>
        <v>0</v>
      </c>
      <c r="L574" s="22">
        <f ca="1">L573*$E573</f>
        <v>5076</v>
      </c>
      <c r="M574" s="22">
        <f t="shared" ref="M574" ca="1" si="1982">M573*$E573</f>
        <v>216</v>
      </c>
      <c r="N574" s="22">
        <f t="shared" ref="N574" ca="1" si="1983">N573*$E573</f>
        <v>0</v>
      </c>
      <c r="O574" s="22">
        <f t="shared" ref="O574" ca="1" si="1984">O573*$E573</f>
        <v>0</v>
      </c>
      <c r="P574" s="22">
        <f t="shared" ref="P574" ca="1" si="1985">P573*$E573</f>
        <v>0</v>
      </c>
      <c r="Q574" s="22">
        <f t="shared" ref="Q574" ca="1" si="1986">Q573*$E573</f>
        <v>0</v>
      </c>
      <c r="R574" s="22">
        <f t="shared" ref="R574" ca="1" si="1987">R573*$E573</f>
        <v>-1188.0000000000246</v>
      </c>
      <c r="S574" s="22">
        <f t="shared" ref="S574" ca="1" si="1988">S573*$E573</f>
        <v>262440</v>
      </c>
      <c r="U574" s="17"/>
      <c r="V574" s="18"/>
      <c r="W574" s="19"/>
      <c r="X574" s="20"/>
    </row>
    <row r="575" spans="1:25">
      <c r="A575" s="200"/>
      <c r="B575" s="211"/>
      <c r="C575" s="200" t="s">
        <v>140</v>
      </c>
      <c r="D575" s="199" t="str">
        <f>VLOOKUP(C575,'仕掛品名寄（貼付）'!B:C,2,FALSE)</f>
        <v>その他</v>
      </c>
      <c r="E575" s="199">
        <f>VLOOKUP(D575,'仕掛品標準単価一覧表（貼付）'!B:G,6,FALSE)</f>
        <v>1080</v>
      </c>
      <c r="F575" s="12" t="s">
        <v>246</v>
      </c>
      <c r="G575" s="13">
        <v>15.5</v>
      </c>
      <c r="H575" s="13">
        <f ca="1">SUMIF('1.3②原材料使用'!B:E,C575,'1.3②原材料使用'!E:E)</f>
        <v>0</v>
      </c>
      <c r="I575" s="13">
        <f ca="1">SUMIF('2.10原液別作業時間'!A:B,C575,'2.10原液別作業時間'!B:B)</f>
        <v>0</v>
      </c>
      <c r="J575" s="13">
        <f ca="1">SUM(G575:H575,K575)</f>
        <v>15.5</v>
      </c>
      <c r="K575" s="13">
        <f ca="1">SUMIF('2.2⑤純増減→前工程費'!B:E,C575,'2.2⑤純増減→前工程費'!E:E)</f>
        <v>0</v>
      </c>
      <c r="L575" s="13">
        <f ca="1">SUMIF('2.6完成品'!C:D,C575,'2.6完成品'!D:D)</f>
        <v>0</v>
      </c>
      <c r="M575" s="13">
        <f ca="1">SUMIF('2.3研究費'!D:E,C575,'2.3研究費'!E:E)</f>
        <v>0</v>
      </c>
      <c r="N575" s="13">
        <f ca="1">SUMIF('2.4販促費'!D:E,C575,'2.4販促費'!E:E)</f>
        <v>0</v>
      </c>
      <c r="O575" s="13">
        <f ca="1">SUMIF('2.5廃棄処分'!D:E,C575,'2.5廃棄処分'!E:E)</f>
        <v>0</v>
      </c>
      <c r="P575" s="13">
        <f ca="1">SUMIF('2.1④異種原液'!D:E,C575,'2.1④異種原液'!E:E)</f>
        <v>0</v>
      </c>
      <c r="Q575" s="14">
        <f ca="1">SUMIF('2.7製造部生産分'!D:I,C575,'2.7製造部生産分'!H:H)</f>
        <v>0</v>
      </c>
      <c r="R575" s="15">
        <f ca="1">-(G575+H575+K575-L575-M575-N575-O575-P575-Q575-S575)</f>
        <v>-0.6999999999998181</v>
      </c>
      <c r="S575" s="13">
        <f ca="1">SUMIF('2.9原液在庫'!B:H,C575,'2.9原液在庫'!H:H)</f>
        <v>14.800000000000182</v>
      </c>
      <c r="T575" s="16">
        <f ca="1">IFERROR(SUM(G576:K576)/(G575+H575+K575),0)</f>
        <v>2303.9237465851998</v>
      </c>
      <c r="U575" s="17" t="str">
        <f>C575</f>
        <v>Z</v>
      </c>
      <c r="V575" s="18">
        <f ca="1">IF(ISERROR(SUM(G576:K576)/SUM(L575:Q575,S575)),0,SUM(G576:K576)/SUM(L575:Q575,S575))</f>
        <v>2412.8931129777129</v>
      </c>
      <c r="W575" s="19">
        <f ca="1">V575</f>
        <v>2412.8931129777129</v>
      </c>
      <c r="X575" s="20">
        <f ca="1">W575/1000</f>
        <v>2.4128931129777129</v>
      </c>
    </row>
    <row r="576" spans="1:25">
      <c r="A576" s="201"/>
      <c r="B576" s="201"/>
      <c r="C576" s="201"/>
      <c r="D576" s="199"/>
      <c r="E576" s="199"/>
      <c r="F576" s="21" t="s">
        <v>247</v>
      </c>
      <c r="G576" s="22">
        <v>35245.818072070593</v>
      </c>
      <c r="H576" s="184"/>
      <c r="I576" s="23">
        <f ca="1">I575*労務費経費単価SC!D$7</f>
        <v>0</v>
      </c>
      <c r="J576" s="23">
        <f ca="1">J575*労務費経費単価SC!D$11</f>
        <v>465</v>
      </c>
      <c r="K576" s="22">
        <f ca="1">K575*$E575</f>
        <v>0</v>
      </c>
      <c r="L576" s="22">
        <f ca="1">L575*$E575</f>
        <v>0</v>
      </c>
      <c r="M576" s="22">
        <f t="shared" ref="M576" ca="1" si="1989">M575*$E575</f>
        <v>0</v>
      </c>
      <c r="N576" s="22">
        <f t="shared" ref="N576" ca="1" si="1990">N575*$E575</f>
        <v>0</v>
      </c>
      <c r="O576" s="22">
        <f t="shared" ref="O576" ca="1" si="1991">O575*$E575</f>
        <v>0</v>
      </c>
      <c r="P576" s="22">
        <f t="shared" ref="P576" ca="1" si="1992">P575*$E575</f>
        <v>0</v>
      </c>
      <c r="Q576" s="22">
        <f t="shared" ref="Q576" ca="1" si="1993">Q575*$E575</f>
        <v>0</v>
      </c>
      <c r="R576" s="22">
        <f t="shared" ref="R576" ca="1" si="1994">R575*$E575</f>
        <v>-755.99999999980355</v>
      </c>
      <c r="S576" s="22">
        <f t="shared" ref="S576" ca="1" si="1995">S575*$E575</f>
        <v>15984.000000000196</v>
      </c>
      <c r="U576" s="17"/>
      <c r="V576" s="18"/>
      <c r="W576" s="19"/>
      <c r="X576" s="20"/>
    </row>
    <row r="577" spans="1:25">
      <c r="A577" s="200"/>
      <c r="B577" s="211"/>
      <c r="C577" s="200" t="s">
        <v>141</v>
      </c>
      <c r="D577" s="199" t="str">
        <f>VLOOKUP(C577,'仕掛品名寄（貼付）'!B:C,2,FALSE)</f>
        <v>X</v>
      </c>
      <c r="E577" s="199">
        <f>VLOOKUP(D577,'仕掛品標準単価一覧表（貼付）'!B:G,6,FALSE)</f>
        <v>1438</v>
      </c>
      <c r="F577" s="12" t="s">
        <v>246</v>
      </c>
      <c r="G577" s="13">
        <v>6757</v>
      </c>
      <c r="H577" s="13">
        <f ca="1">SUMIF('1.3②原材料使用'!B:E,C577,'1.3②原材料使用'!E:E)</f>
        <v>0</v>
      </c>
      <c r="I577" s="13">
        <f ca="1">SUMIF('2.10原液別作業時間'!A:B,C577,'2.10原液別作業時間'!B:B)</f>
        <v>3750</v>
      </c>
      <c r="J577" s="13">
        <f ca="1">SUM(G577:H577,K577)</f>
        <v>18722</v>
      </c>
      <c r="K577" s="13">
        <f ca="1">SUMIF('2.2⑤純増減→前工程費'!B:E,C577,'2.2⑤純増減→前工程費'!E:E)</f>
        <v>11965</v>
      </c>
      <c r="L577" s="13">
        <f ca="1">SUMIF('2.6完成品'!C:D,C577,'2.6完成品'!D:D)</f>
        <v>2458.3000000000002</v>
      </c>
      <c r="M577" s="13">
        <f ca="1">SUMIF('2.3研究費'!D:E,C577,'2.3研究費'!E:E)</f>
        <v>36.200000000000003</v>
      </c>
      <c r="N577" s="13">
        <f ca="1">SUMIF('2.4販促費'!D:E,C577,'2.4販促費'!E:E)</f>
        <v>6.1</v>
      </c>
      <c r="O577" s="13">
        <f ca="1">SUMIF('2.5廃棄処分'!D:E,C577,'2.5廃棄処分'!E:E)</f>
        <v>0</v>
      </c>
      <c r="P577" s="13">
        <f ca="1">SUMIF('2.1④異種原液'!D:E,C577,'2.1④異種原液'!E:E)</f>
        <v>3179</v>
      </c>
      <c r="Q577" s="14">
        <f ca="1">SUMIF('2.7製造部生産分'!D:I,C577,'2.7製造部生産分'!H:H)</f>
        <v>6000</v>
      </c>
      <c r="R577" s="15">
        <f ca="1">-(G577+H577+K577-L577-M577-N577-O577-P577-Q577-S577)</f>
        <v>-200.39999999999964</v>
      </c>
      <c r="S577" s="13">
        <f ca="1">SUMIF('2.9原液在庫'!B:H,C577,'2.9原液在庫'!H:H)</f>
        <v>6842</v>
      </c>
      <c r="T577" s="16">
        <f ca="1">IFERROR(SUM(G578:K578)/(G577+H577+K577),0)</f>
        <v>1454.7629789844882</v>
      </c>
      <c r="U577" s="17" t="str">
        <f>C577</f>
        <v>X</v>
      </c>
      <c r="V577" s="18">
        <f ca="1">IF(ISERROR(SUM(G578:K578)/SUM(L577:Q577,S577)),0,SUM(G578:K578)/SUM(L577:Q577,S577))</f>
        <v>1470.5032228612856</v>
      </c>
      <c r="W577" s="19">
        <f ca="1">V577</f>
        <v>1470.5032228612856</v>
      </c>
      <c r="X577" s="20">
        <f ca="1">W577/1000</f>
        <v>1.4705032228612855</v>
      </c>
    </row>
    <row r="578" spans="1:25">
      <c r="A578" s="201"/>
      <c r="B578" s="201"/>
      <c r="C578" s="201"/>
      <c r="D578" s="199"/>
      <c r="E578" s="199"/>
      <c r="F578" s="21" t="s">
        <v>247</v>
      </c>
      <c r="G578" s="22">
        <v>7743742.4925475884</v>
      </c>
      <c r="H578" s="184"/>
      <c r="I578" s="23">
        <f ca="1">I577*労務費経費単価SC!D$7</f>
        <v>1725000</v>
      </c>
      <c r="J578" s="23">
        <f ca="1">J577*労務費経費単価SC!D$11</f>
        <v>561660</v>
      </c>
      <c r="K578" s="22">
        <f ca="1">K577*$E577</f>
        <v>17205670</v>
      </c>
      <c r="L578" s="22">
        <f ca="1">L577*$E577</f>
        <v>3535035.4000000004</v>
      </c>
      <c r="M578" s="22">
        <f t="shared" ref="M578" ca="1" si="1996">M577*$E577</f>
        <v>52055.600000000006</v>
      </c>
      <c r="N578" s="22">
        <f t="shared" ref="N578" ca="1" si="1997">N577*$E577</f>
        <v>8771.7999999999993</v>
      </c>
      <c r="O578" s="22">
        <f t="shared" ref="O578" ca="1" si="1998">O577*$E577</f>
        <v>0</v>
      </c>
      <c r="P578" s="22">
        <f t="shared" ref="P578" ca="1" si="1999">P577*$E577</f>
        <v>4571402</v>
      </c>
      <c r="Q578" s="22">
        <f t="shared" ref="Q578" ca="1" si="2000">Q577*$E577</f>
        <v>8628000</v>
      </c>
      <c r="R578" s="22">
        <f t="shared" ref="R578" ca="1" si="2001">R577*$E577</f>
        <v>-288175.19999999949</v>
      </c>
      <c r="S578" s="22">
        <f t="shared" ref="S578" ca="1" si="2002">S577*$E577</f>
        <v>9838796</v>
      </c>
      <c r="U578" s="17"/>
      <c r="V578" s="18"/>
      <c r="W578" s="19"/>
      <c r="X578" s="20"/>
    </row>
    <row r="579" spans="1:25">
      <c r="A579" s="200"/>
      <c r="B579" s="211"/>
      <c r="C579" s="200" t="s">
        <v>142</v>
      </c>
      <c r="D579" s="199" t="str">
        <f>VLOOKUP(C579,'仕掛品名寄（貼付）'!B:C,2,FALSE)</f>
        <v>その他</v>
      </c>
      <c r="E579" s="199">
        <f>VLOOKUP(D579,'仕掛品標準単価一覧表（貼付）'!B:G,6,FALSE)</f>
        <v>1080</v>
      </c>
      <c r="F579" s="12" t="s">
        <v>246</v>
      </c>
      <c r="G579" s="13">
        <v>0</v>
      </c>
      <c r="H579" s="13">
        <f ca="1">SUMIF('1.3②原材料使用'!B:E,C579,'1.3②原材料使用'!E:E)</f>
        <v>0</v>
      </c>
      <c r="I579" s="13">
        <f ca="1">SUMIF('2.10原液別作業時間'!A:B,C579,'2.10原液別作業時間'!B:B)</f>
        <v>0</v>
      </c>
      <c r="J579" s="13">
        <f ca="1">SUM(G579:H579,K579)</f>
        <v>0</v>
      </c>
      <c r="K579" s="13">
        <f ca="1">SUMIF('2.2⑤純増減→前工程費'!B:E,C579,'2.2⑤純増減→前工程費'!E:E)</f>
        <v>0</v>
      </c>
      <c r="L579" s="13">
        <f ca="1">SUMIF('2.6完成品'!C:D,C579,'2.6完成品'!D:D)</f>
        <v>0</v>
      </c>
      <c r="M579" s="13">
        <f ca="1">SUMIF('2.3研究費'!D:E,C579,'2.3研究費'!E:E)</f>
        <v>0</v>
      </c>
      <c r="N579" s="13">
        <f ca="1">SUMIF('2.4販促費'!D:E,C579,'2.4販促費'!E:E)</f>
        <v>0</v>
      </c>
      <c r="O579" s="13">
        <f ca="1">SUMIF('2.5廃棄処分'!D:E,C579,'2.5廃棄処分'!E:E)</f>
        <v>0</v>
      </c>
      <c r="P579" s="13">
        <f ca="1">SUMIF('2.1④異種原液'!D:E,C579,'2.1④異種原液'!E:E)</f>
        <v>0</v>
      </c>
      <c r="Q579" s="14">
        <f ca="1">SUMIF('2.7製造部生産分'!D:I,C579,'2.7製造部生産分'!H:H)</f>
        <v>0</v>
      </c>
      <c r="R579" s="15">
        <f ca="1">-(G579+H579+K579-L579-M579-N579-O579-P579-Q579-S579)</f>
        <v>0</v>
      </c>
      <c r="S579" s="13">
        <f ca="1">SUMIF('2.9原液在庫'!B:H,C579,'2.9原液在庫'!H:H)</f>
        <v>0</v>
      </c>
      <c r="T579" s="16">
        <f ca="1">IFERROR(SUM(G580:K580)/(G579+H579+K579),0)</f>
        <v>0</v>
      </c>
      <c r="U579" s="17" t="str">
        <f>C579</f>
        <v>X（ﾐｬﾝﾏｰ）</v>
      </c>
      <c r="V579" s="18">
        <f ca="1">IF(ISERROR(SUM(G580:K580)/SUM(L579:Q579,S579)),0,SUM(G580:K580)/SUM(L579:Q579,S579))</f>
        <v>0</v>
      </c>
      <c r="W579" s="19">
        <f ca="1">V579</f>
        <v>0</v>
      </c>
      <c r="X579" s="20">
        <f ca="1">W579/1000</f>
        <v>0</v>
      </c>
    </row>
    <row r="580" spans="1:25">
      <c r="A580" s="201"/>
      <c r="B580" s="201"/>
      <c r="C580" s="201"/>
      <c r="D580" s="199"/>
      <c r="E580" s="199"/>
      <c r="F580" s="21" t="s">
        <v>247</v>
      </c>
      <c r="G580" s="22" t="s">
        <v>254</v>
      </c>
      <c r="H580" s="184"/>
      <c r="I580" s="23">
        <f ca="1">I579*労務費経費単価SC!D$7</f>
        <v>0</v>
      </c>
      <c r="J580" s="23">
        <f ca="1">J579*労務費経費単価SC!D$11</f>
        <v>0</v>
      </c>
      <c r="K580" s="22">
        <f ca="1">K579*$E579</f>
        <v>0</v>
      </c>
      <c r="L580" s="22">
        <f ca="1">L579*$E579</f>
        <v>0</v>
      </c>
      <c r="M580" s="22">
        <f t="shared" ref="M580" ca="1" si="2003">M579*$E579</f>
        <v>0</v>
      </c>
      <c r="N580" s="22">
        <f t="shared" ref="N580" ca="1" si="2004">N579*$E579</f>
        <v>0</v>
      </c>
      <c r="O580" s="22">
        <f t="shared" ref="O580" ca="1" si="2005">O579*$E579</f>
        <v>0</v>
      </c>
      <c r="P580" s="22">
        <f t="shared" ref="P580" ca="1" si="2006">P579*$E579</f>
        <v>0</v>
      </c>
      <c r="Q580" s="22">
        <f t="shared" ref="Q580" ca="1" si="2007">Q579*$E579</f>
        <v>0</v>
      </c>
      <c r="R580" s="22">
        <f t="shared" ref="R580" ca="1" si="2008">R579*$E579</f>
        <v>0</v>
      </c>
      <c r="S580" s="22">
        <f t="shared" ref="S580" ca="1" si="2009">S579*$E579</f>
        <v>0</v>
      </c>
      <c r="U580" s="17"/>
      <c r="V580" s="18"/>
      <c r="W580" s="19"/>
      <c r="X580" s="20"/>
    </row>
    <row r="581" spans="1:25">
      <c r="A581" s="200"/>
      <c r="B581" s="211"/>
      <c r="C581" s="200" t="s">
        <v>144</v>
      </c>
      <c r="D581" s="199" t="str">
        <f>VLOOKUP(C581,'仕掛品名寄（貼付）'!B:C,2,FALSE)</f>
        <v>その他</v>
      </c>
      <c r="E581" s="199">
        <f>VLOOKUP(D581,'仕掛品標準単価一覧表（貼付）'!B:G,6,FALSE)</f>
        <v>1080</v>
      </c>
      <c r="F581" s="12" t="s">
        <v>246</v>
      </c>
      <c r="G581" s="13">
        <v>0</v>
      </c>
      <c r="H581" s="13">
        <f ca="1">SUMIF('1.3②原材料使用'!B:E,C581,'1.3②原材料使用'!E:E)</f>
        <v>0</v>
      </c>
      <c r="I581" s="13">
        <f ca="1">SUMIF('2.10原液別作業時間'!A:B,C581,'2.10原液別作業時間'!B:B)</f>
        <v>0</v>
      </c>
      <c r="J581" s="13">
        <f ca="1">SUM(G581:H581,K581)</f>
        <v>0</v>
      </c>
      <c r="K581" s="13">
        <f ca="1">SUMIF('2.2⑤純増減→前工程費'!B:E,C581,'2.2⑤純増減→前工程費'!E:E)</f>
        <v>0</v>
      </c>
      <c r="L581" s="13">
        <f ca="1">SUMIF('2.6完成品'!C:D,C581,'2.6完成品'!D:D)</f>
        <v>0</v>
      </c>
      <c r="M581" s="13">
        <f ca="1">SUMIF('2.3研究費'!D:E,C581,'2.3研究費'!E:E)</f>
        <v>0</v>
      </c>
      <c r="N581" s="13">
        <f ca="1">SUMIF('2.4販促費'!D:E,C581,'2.4販促費'!E:E)</f>
        <v>0</v>
      </c>
      <c r="O581" s="13">
        <f ca="1">SUMIF('2.5廃棄処分'!D:E,C581,'2.5廃棄処分'!E:E)</f>
        <v>0</v>
      </c>
      <c r="P581" s="13">
        <f ca="1">SUMIF('2.1④異種原液'!D:E,C581,'2.1④異種原液'!E:E)</f>
        <v>0</v>
      </c>
      <c r="Q581" s="14">
        <f ca="1">SUMIF('2.7製造部生産分'!D:I,C581,'2.7製造部生産分'!H:H)</f>
        <v>0</v>
      </c>
      <c r="R581" s="15">
        <f ca="1">-(G581+H581+K581-L581-M581-N581-O581-P581-Q581-S581)</f>
        <v>0</v>
      </c>
      <c r="S581" s="13">
        <f ca="1">SUMIF('2.9原液在庫'!B:H,C581,'2.9原液在庫'!H:H)</f>
        <v>0</v>
      </c>
      <c r="T581" s="16">
        <f ca="1">IFERROR(SUM(G582:K582)/(G581+H581+K581),0)</f>
        <v>0</v>
      </c>
      <c r="U581" s="17" t="str">
        <f>C581</f>
        <v>X17</v>
      </c>
      <c r="V581" s="18">
        <f ca="1">IF(ISERROR(SUM(G582:K582)/SUM(L581:Q581,S581)),0,SUM(G582:K582)/SUM(L581:Q581,S581))</f>
        <v>0</v>
      </c>
      <c r="W581" s="19">
        <f ca="1">V581</f>
        <v>0</v>
      </c>
      <c r="X581" s="20">
        <f ca="1">W581/1000</f>
        <v>0</v>
      </c>
    </row>
    <row r="582" spans="1:25">
      <c r="A582" s="201"/>
      <c r="B582" s="201"/>
      <c r="C582" s="201"/>
      <c r="D582" s="199"/>
      <c r="E582" s="199"/>
      <c r="F582" s="21" t="s">
        <v>247</v>
      </c>
      <c r="G582" s="22" t="s">
        <v>254</v>
      </c>
      <c r="H582" s="184"/>
      <c r="I582" s="23">
        <f ca="1">I581*労務費経費単価SC!D$7</f>
        <v>0</v>
      </c>
      <c r="J582" s="23">
        <f ca="1">J581*労務費経費単価SC!D$11</f>
        <v>0</v>
      </c>
      <c r="K582" s="22">
        <f ca="1">K581*$E581</f>
        <v>0</v>
      </c>
      <c r="L582" s="22">
        <f ca="1">L581*$E581</f>
        <v>0</v>
      </c>
      <c r="M582" s="22">
        <f t="shared" ref="M582" ca="1" si="2010">M581*$E581</f>
        <v>0</v>
      </c>
      <c r="N582" s="22">
        <f t="shared" ref="N582" ca="1" si="2011">N581*$E581</f>
        <v>0</v>
      </c>
      <c r="O582" s="22">
        <f t="shared" ref="O582" ca="1" si="2012">O581*$E581</f>
        <v>0</v>
      </c>
      <c r="P582" s="22">
        <f t="shared" ref="P582" ca="1" si="2013">P581*$E581</f>
        <v>0</v>
      </c>
      <c r="Q582" s="22">
        <f t="shared" ref="Q582" ca="1" si="2014">Q581*$E581</f>
        <v>0</v>
      </c>
      <c r="R582" s="22">
        <f t="shared" ref="R582" ca="1" si="2015">R581*$E581</f>
        <v>0</v>
      </c>
      <c r="S582" s="22">
        <f t="shared" ref="S582" ca="1" si="2016">S581*$E581</f>
        <v>0</v>
      </c>
      <c r="U582" s="17"/>
      <c r="V582" s="18"/>
      <c r="W582" s="19"/>
      <c r="X582" s="20"/>
    </row>
    <row r="583" spans="1:25" ht="18">
      <c r="A583" s="200"/>
      <c r="B583" s="211"/>
      <c r="C583" s="200" t="s">
        <v>442</v>
      </c>
      <c r="D583" s="199" t="str">
        <f>VLOOKUP(C583,'仕掛品名寄（貼付）'!B:C,2,FALSE)</f>
        <v>RX</v>
      </c>
      <c r="E583" s="199">
        <f>VLOOKUP(D583,'仕掛品標準単価一覧表（貼付）'!B:G,6,FALSE)</f>
        <v>847</v>
      </c>
      <c r="F583" s="12" t="s">
        <v>246</v>
      </c>
      <c r="G583" s="24">
        <v>11511</v>
      </c>
      <c r="H583" s="13">
        <f ca="1">SUMIF('1.3②原材料使用'!B:E,C583,'1.3②原材料使用'!E:E)</f>
        <v>0</v>
      </c>
      <c r="I583" s="13">
        <f ca="1">SUMIF('2.10原液別作業時間'!A:B,C583,'2.10原液別作業時間'!B:B)</f>
        <v>2940</v>
      </c>
      <c r="J583" s="13">
        <f ca="1">SUM(G583:H583,K583)</f>
        <v>18510.5</v>
      </c>
      <c r="K583" s="13">
        <f ca="1">SUMIF('2.2⑤純増減→前工程費'!B:E,C583,'2.2⑤純増減→前工程費'!E:E)</f>
        <v>6999.5</v>
      </c>
      <c r="L583" s="13">
        <f ca="1">SUMIF('2.6完成品'!C:D,C583,'2.6完成品'!D:D)</f>
        <v>0</v>
      </c>
      <c r="M583" s="13">
        <f ca="1">SUMIF('2.3研究費'!D:E,C583,'2.3研究費'!E:E)</f>
        <v>0</v>
      </c>
      <c r="N583" s="13">
        <f ca="1">SUMIF('2.4販促費'!D:E,C583,'2.4販促費'!E:E)</f>
        <v>0</v>
      </c>
      <c r="O583" s="13">
        <f ca="1">SUMIF('2.5廃棄処分'!D:E,C583,'2.5廃棄処分'!E:E)</f>
        <v>0</v>
      </c>
      <c r="P583" s="13">
        <f ca="1">SUMIF('2.1④異種原液'!D:E,C583,'2.1④異種原液'!E:E)</f>
        <v>0</v>
      </c>
      <c r="Q583" s="14">
        <f ca="1">SUMIF('2.7製造部生産分'!D:I,C583,'2.7製造部生産分'!H:H)</f>
        <v>14700</v>
      </c>
      <c r="R583" s="15">
        <f ca="1">-(G583+H583+K583-L583-M583-N583-O583-P583-Q583-S583)</f>
        <v>-995</v>
      </c>
      <c r="S583" s="13">
        <f ca="1">SUMIF('2.9原液在庫'!B:H,C583,'2.9原液在庫'!H:H)</f>
        <v>2815.5</v>
      </c>
      <c r="T583" s="16">
        <f ca="1">IFERROR(SUM(G584:K584)/(G583+H583+K583),0)</f>
        <v>1200.5810927369321</v>
      </c>
      <c r="U583" s="17" t="str">
        <f>C583</f>
        <v>RX</v>
      </c>
      <c r="V583" s="18">
        <f ca="1">IF(ISERROR(SUM(G584:K584)/SUM(L583:Q583,S583)),0,SUM(G584:K584)/SUM(L583:Q583,S583))</f>
        <v>1268.782296657645</v>
      </c>
      <c r="W583" s="19">
        <f ca="1">V583</f>
        <v>1268.782296657645</v>
      </c>
      <c r="X583" s="20">
        <f ca="1">W583/1000</f>
        <v>1.268782296657645</v>
      </c>
      <c r="Y583" s="26" t="s">
        <v>301</v>
      </c>
    </row>
    <row r="584" spans="1:25">
      <c r="A584" s="201"/>
      <c r="B584" s="201"/>
      <c r="C584" s="201"/>
      <c r="D584" s="199"/>
      <c r="E584" s="199"/>
      <c r="F584" s="21" t="s">
        <v>247</v>
      </c>
      <c r="G584" s="22">
        <v>14387064.817106981</v>
      </c>
      <c r="H584" s="184"/>
      <c r="I584" s="23">
        <f ca="1">I583*労務費経費単価SC!D$7</f>
        <v>1352400</v>
      </c>
      <c r="J584" s="23">
        <f ca="1">J583*労務費経費単価SC!D$11</f>
        <v>555315</v>
      </c>
      <c r="K584" s="22">
        <f ca="1">K583*$E583</f>
        <v>5928576.5</v>
      </c>
      <c r="L584" s="22">
        <f ca="1">L583*$E583</f>
        <v>0</v>
      </c>
      <c r="M584" s="22">
        <f t="shared" ref="M584" ca="1" si="2017">M583*$E583</f>
        <v>0</v>
      </c>
      <c r="N584" s="22">
        <f t="shared" ref="N584" ca="1" si="2018">N583*$E583</f>
        <v>0</v>
      </c>
      <c r="O584" s="22">
        <f t="shared" ref="O584" ca="1" si="2019">O583*$E583</f>
        <v>0</v>
      </c>
      <c r="P584" s="22">
        <f t="shared" ref="P584" ca="1" si="2020">P583*$E583</f>
        <v>0</v>
      </c>
      <c r="Q584" s="22">
        <f t="shared" ref="Q584" ca="1" si="2021">Q583*$E583</f>
        <v>12450900</v>
      </c>
      <c r="R584" s="22">
        <f t="shared" ref="R584" ca="1" si="2022">R583*$E583</f>
        <v>-842765</v>
      </c>
      <c r="S584" s="22">
        <f t="shared" ref="S584" ca="1" si="2023">S583*$E583</f>
        <v>2384728.5</v>
      </c>
      <c r="U584" s="17"/>
      <c r="V584" s="18"/>
      <c r="W584" s="19"/>
      <c r="X584" s="20"/>
    </row>
    <row r="585" spans="1:25">
      <c r="A585" s="200"/>
      <c r="B585" s="211"/>
      <c r="C585" s="200" t="s">
        <v>145</v>
      </c>
      <c r="D585" s="199" t="str">
        <f>VLOOKUP(C585,'仕掛品名寄（貼付）'!B:C,2,FALSE)</f>
        <v>その他</v>
      </c>
      <c r="E585" s="199">
        <f>VLOOKUP(D585,'仕掛品標準単価一覧表（貼付）'!B:G,6,FALSE)</f>
        <v>1080</v>
      </c>
      <c r="F585" s="12" t="s">
        <v>246</v>
      </c>
      <c r="G585" s="13">
        <v>0</v>
      </c>
      <c r="H585" s="13">
        <f ca="1">SUMIF('1.3②原材料使用'!B:E,C585,'1.3②原材料使用'!E:E)</f>
        <v>0</v>
      </c>
      <c r="I585" s="13">
        <f ca="1">SUMIF('2.10原液別作業時間'!A:B,C585,'2.10原液別作業時間'!B:B)</f>
        <v>0</v>
      </c>
      <c r="J585" s="13">
        <f ca="1">SUM(G585:H585,K585)</f>
        <v>0</v>
      </c>
      <c r="K585" s="13">
        <f ca="1">SUMIF('2.2⑤純増減→前工程費'!B:E,C585,'2.2⑤純増減→前工程費'!E:E)</f>
        <v>0</v>
      </c>
      <c r="L585" s="13">
        <f ca="1">SUMIF('2.6完成品'!C:D,C585,'2.6完成品'!D:D)</f>
        <v>0</v>
      </c>
      <c r="M585" s="13">
        <f ca="1">SUMIF('2.3研究費'!D:E,C585,'2.3研究費'!E:E)</f>
        <v>0</v>
      </c>
      <c r="N585" s="13">
        <f ca="1">SUMIF('2.4販促費'!D:E,C585,'2.4販促費'!E:E)</f>
        <v>0</v>
      </c>
      <c r="O585" s="13">
        <f ca="1">SUMIF('2.5廃棄処分'!D:E,C585,'2.5廃棄処分'!E:E)</f>
        <v>0</v>
      </c>
      <c r="P585" s="13">
        <f ca="1">SUMIF('2.1④異種原液'!D:E,C585,'2.1④異種原液'!E:E)</f>
        <v>0</v>
      </c>
      <c r="Q585" s="14">
        <f ca="1">SUMIF('2.7製造部生産分'!D:I,C585,'2.7製造部生産分'!H:H)</f>
        <v>0</v>
      </c>
      <c r="R585" s="15">
        <f ca="1">-(G585+H585+K585-L585-M585-N585-O585-P585-Q585-S585)</f>
        <v>0</v>
      </c>
      <c r="S585" s="13">
        <f ca="1">SUMIF('2.9原液在庫'!B:H,C585,'2.9原液在庫'!H:H)</f>
        <v>0</v>
      </c>
      <c r="T585" s="16">
        <f ca="1">IFERROR(SUM(G586:K586)/(G585+H585+K585),0)</f>
        <v>0</v>
      </c>
      <c r="U585" s="17" t="str">
        <f>C585</f>
        <v>KNN</v>
      </c>
      <c r="V585" s="18">
        <f ca="1">IF(ISERROR(SUM(G586:K586)/SUM(L585:Q585,S585)),0,SUM(G586:K586)/SUM(L585:Q585,S585))</f>
        <v>0</v>
      </c>
      <c r="W585" s="19">
        <f ca="1">V585</f>
        <v>0</v>
      </c>
      <c r="X585" s="20">
        <f ca="1">W585/1000</f>
        <v>0</v>
      </c>
    </row>
    <row r="586" spans="1:25">
      <c r="A586" s="201"/>
      <c r="B586" s="201"/>
      <c r="C586" s="201"/>
      <c r="D586" s="199"/>
      <c r="E586" s="199"/>
      <c r="F586" s="21" t="s">
        <v>247</v>
      </c>
      <c r="G586" s="22" t="s">
        <v>254</v>
      </c>
      <c r="H586" s="184"/>
      <c r="I586" s="23">
        <f ca="1">I585*労務費経費単価SC!D$7</f>
        <v>0</v>
      </c>
      <c r="J586" s="23">
        <f ca="1">J585*労務費経費単価SC!D$11</f>
        <v>0</v>
      </c>
      <c r="K586" s="22">
        <f ca="1">K585*$E585</f>
        <v>0</v>
      </c>
      <c r="L586" s="22">
        <f ca="1">L585*$E585</f>
        <v>0</v>
      </c>
      <c r="M586" s="22">
        <f t="shared" ref="M586" ca="1" si="2024">M585*$E585</f>
        <v>0</v>
      </c>
      <c r="N586" s="22">
        <f t="shared" ref="N586" ca="1" si="2025">N585*$E585</f>
        <v>0</v>
      </c>
      <c r="O586" s="22">
        <f t="shared" ref="O586" ca="1" si="2026">O585*$E585</f>
        <v>0</v>
      </c>
      <c r="P586" s="22">
        <f t="shared" ref="P586" ca="1" si="2027">P585*$E585</f>
        <v>0</v>
      </c>
      <c r="Q586" s="22">
        <f t="shared" ref="Q586" ca="1" si="2028">Q585*$E585</f>
        <v>0</v>
      </c>
      <c r="R586" s="22">
        <f t="shared" ref="R586" ca="1" si="2029">R585*$E585</f>
        <v>0</v>
      </c>
      <c r="S586" s="22">
        <f t="shared" ref="S586" ca="1" si="2030">S585*$E585</f>
        <v>0</v>
      </c>
      <c r="U586" s="17"/>
      <c r="V586" s="18"/>
      <c r="W586" s="19"/>
      <c r="X586" s="20"/>
    </row>
    <row r="587" spans="1:25">
      <c r="A587" s="200"/>
      <c r="B587" s="211"/>
      <c r="C587" s="200">
        <v>2380</v>
      </c>
      <c r="D587" s="199" t="str">
        <f>VLOOKUP(C587,'仕掛品名寄（貼付）'!B:C,2,FALSE)</f>
        <v>その他</v>
      </c>
      <c r="E587" s="199">
        <f>VLOOKUP(D587,'仕掛品標準単価一覧表（貼付）'!B:G,6,FALSE)</f>
        <v>1080</v>
      </c>
      <c r="F587" s="12" t="s">
        <v>246</v>
      </c>
      <c r="G587" s="13">
        <v>0</v>
      </c>
      <c r="H587" s="13">
        <f ca="1">SUMIF('1.3②原材料使用'!B:E,C587,'1.3②原材料使用'!E:E)</f>
        <v>0</v>
      </c>
      <c r="I587" s="13">
        <f ca="1">SUMIF('2.10原液別作業時間'!A:B,C587,'2.10原液別作業時間'!B:B)</f>
        <v>0</v>
      </c>
      <c r="J587" s="13">
        <f ca="1">SUM(G587:H587,K587)</f>
        <v>0</v>
      </c>
      <c r="K587" s="13">
        <f ca="1">SUMIF('2.2⑤純増減→前工程費'!B:E,C587,'2.2⑤純増減→前工程費'!E:E)</f>
        <v>0</v>
      </c>
      <c r="L587" s="13">
        <f ca="1">SUMIF('2.6完成品'!C:D,C587,'2.6完成品'!D:D)</f>
        <v>0</v>
      </c>
      <c r="M587" s="13">
        <f ca="1">SUMIF('2.3研究費'!D:E,C587,'2.3研究費'!E:E)</f>
        <v>0</v>
      </c>
      <c r="N587" s="13">
        <f ca="1">SUMIF('2.4販促費'!D:E,C587,'2.4販促費'!E:E)</f>
        <v>0</v>
      </c>
      <c r="O587" s="13">
        <f ca="1">SUMIF('2.5廃棄処分'!D:E,C587,'2.5廃棄処分'!E:E)</f>
        <v>0</v>
      </c>
      <c r="P587" s="13">
        <f ca="1">SUMIF('2.1④異種原液'!D:E,C587,'2.1④異種原液'!E:E)</f>
        <v>0</v>
      </c>
      <c r="Q587" s="14">
        <f ca="1">SUMIF('2.7製造部生産分'!D:I,C587,'2.7製造部生産分'!H:H)</f>
        <v>0</v>
      </c>
      <c r="R587" s="15">
        <f ca="1">-(G587+H587+K587-L587-M587-N587-O587-P587-Q587-S587)</f>
        <v>0</v>
      </c>
      <c r="S587" s="13">
        <f ca="1">SUMIF('2.9原液在庫'!B:H,C587,'2.9原液在庫'!H:H)</f>
        <v>0</v>
      </c>
      <c r="T587" s="16">
        <f ca="1">IFERROR(SUM(G588:K588)/(G587+H587+K587),0)</f>
        <v>0</v>
      </c>
      <c r="U587" s="17">
        <f>C587</f>
        <v>2380</v>
      </c>
      <c r="V587" s="18">
        <f ca="1">IF(ISERROR(SUM(G588:K588)/SUM(L587:Q587,S587)),0,SUM(G588:K588)/SUM(L587:Q587,S587))</f>
        <v>0</v>
      </c>
      <c r="W587" s="19">
        <f ca="1">V587</f>
        <v>0</v>
      </c>
      <c r="X587" s="20">
        <f ca="1">W587/1000</f>
        <v>0</v>
      </c>
    </row>
    <row r="588" spans="1:25">
      <c r="A588" s="201"/>
      <c r="B588" s="201"/>
      <c r="C588" s="201"/>
      <c r="D588" s="199"/>
      <c r="E588" s="199"/>
      <c r="F588" s="21" t="s">
        <v>247</v>
      </c>
      <c r="G588" s="22" t="s">
        <v>254</v>
      </c>
      <c r="H588" s="184"/>
      <c r="I588" s="23">
        <f ca="1">I587*労務費経費単価SC!D$7</f>
        <v>0</v>
      </c>
      <c r="J588" s="23">
        <f ca="1">J587*労務費経費単価SC!D$11</f>
        <v>0</v>
      </c>
      <c r="K588" s="22">
        <f ca="1">K587*$E587</f>
        <v>0</v>
      </c>
      <c r="L588" s="22">
        <f ca="1">L587*$E587</f>
        <v>0</v>
      </c>
      <c r="M588" s="22">
        <f t="shared" ref="M588" ca="1" si="2031">M587*$E587</f>
        <v>0</v>
      </c>
      <c r="N588" s="22">
        <f t="shared" ref="N588" ca="1" si="2032">N587*$E587</f>
        <v>0</v>
      </c>
      <c r="O588" s="22">
        <f t="shared" ref="O588" ca="1" si="2033">O587*$E587</f>
        <v>0</v>
      </c>
      <c r="P588" s="22">
        <f t="shared" ref="P588" ca="1" si="2034">P587*$E587</f>
        <v>0</v>
      </c>
      <c r="Q588" s="22">
        <f t="shared" ref="Q588" ca="1" si="2035">Q587*$E587</f>
        <v>0</v>
      </c>
      <c r="R588" s="22">
        <f t="shared" ref="R588" ca="1" si="2036">R587*$E587</f>
        <v>0</v>
      </c>
      <c r="S588" s="22">
        <f t="shared" ref="S588" ca="1" si="2037">S587*$E587</f>
        <v>0</v>
      </c>
      <c r="U588" s="17"/>
      <c r="V588" s="18"/>
      <c r="W588" s="19"/>
      <c r="X588" s="20"/>
    </row>
    <row r="589" spans="1:25">
      <c r="A589" s="200"/>
      <c r="B589" s="211"/>
      <c r="C589" s="200" t="s">
        <v>149</v>
      </c>
      <c r="D589" s="199" t="str">
        <f>VLOOKUP(C589,'仕掛品名寄（貼付）'!B:C,2,FALSE)</f>
        <v>その他</v>
      </c>
      <c r="E589" s="199">
        <f>VLOOKUP(D589,'仕掛品標準単価一覧表（貼付）'!B:G,6,FALSE)</f>
        <v>1080</v>
      </c>
      <c r="F589" s="12" t="s">
        <v>246</v>
      </c>
      <c r="G589" s="13">
        <v>0</v>
      </c>
      <c r="H589" s="13">
        <f ca="1">SUMIF('1.3②原材料使用'!B:E,C589,'1.3②原材料使用'!E:E)</f>
        <v>0</v>
      </c>
      <c r="I589" s="13">
        <f ca="1">SUMIF('2.10原液別作業時間'!A:B,C589,'2.10原液別作業時間'!B:B)</f>
        <v>0</v>
      </c>
      <c r="J589" s="13">
        <f ca="1">SUM(G589:H589,K589)</f>
        <v>0</v>
      </c>
      <c r="K589" s="13">
        <f ca="1">SUMIF('2.2⑤純増減→前工程費'!B:E,C589,'2.2⑤純増減→前工程費'!E:E)</f>
        <v>0</v>
      </c>
      <c r="L589" s="13">
        <f ca="1">SUMIF('2.6完成品'!C:D,C589,'2.6完成品'!D:D)</f>
        <v>0</v>
      </c>
      <c r="M589" s="13">
        <f ca="1">SUMIF('2.3研究費'!D:E,C589,'2.3研究費'!E:E)</f>
        <v>0</v>
      </c>
      <c r="N589" s="13">
        <f ca="1">SUMIF('2.4販促費'!D:E,C589,'2.4販促費'!E:E)</f>
        <v>0</v>
      </c>
      <c r="O589" s="13">
        <f ca="1">SUMIF('2.5廃棄処分'!D:E,C589,'2.5廃棄処分'!E:E)</f>
        <v>0</v>
      </c>
      <c r="P589" s="13">
        <f ca="1">SUMIF('2.1④異種原液'!D:E,C589,'2.1④異種原液'!E:E)</f>
        <v>0</v>
      </c>
      <c r="Q589" s="14">
        <f ca="1">SUMIF('2.7製造部生産分'!D:I,C589,'2.7製造部生産分'!H:H)</f>
        <v>0</v>
      </c>
      <c r="R589" s="15">
        <f ca="1">-(G589+H589+K589-L589-M589-N589-O589-P589-Q589-S589)</f>
        <v>0</v>
      </c>
      <c r="S589" s="13">
        <f ca="1">SUMIF('2.9原液在庫'!B:H,C589,'2.9原液在庫'!H:H)</f>
        <v>0</v>
      </c>
      <c r="T589" s="16">
        <f ca="1">IFERROR(SUM(G590:K590)/(G589+H589+K589),0)</f>
        <v>0</v>
      </c>
      <c r="U589" s="17" t="str">
        <f>C589</f>
        <v>1A</v>
      </c>
      <c r="V589" s="18">
        <f ca="1">IF(ISERROR(SUM(G590:K590)/SUM(L589:Q589,S589)),0,SUM(G590:K590)/SUM(L589:Q589,S589))</f>
        <v>0</v>
      </c>
      <c r="W589" s="19">
        <f ca="1">V589</f>
        <v>0</v>
      </c>
      <c r="X589" s="20">
        <f ca="1">W589/1000</f>
        <v>0</v>
      </c>
    </row>
    <row r="590" spans="1:25">
      <c r="A590" s="201"/>
      <c r="B590" s="201"/>
      <c r="C590" s="201"/>
      <c r="D590" s="199"/>
      <c r="E590" s="199"/>
      <c r="F590" s="21" t="s">
        <v>247</v>
      </c>
      <c r="G590" s="22" t="s">
        <v>254</v>
      </c>
      <c r="H590" s="184"/>
      <c r="I590" s="23">
        <f ca="1">I589*労務費経費単価SC!D$7</f>
        <v>0</v>
      </c>
      <c r="J590" s="23">
        <f ca="1">J589*労務費経費単価SC!D$11</f>
        <v>0</v>
      </c>
      <c r="K590" s="22">
        <f ca="1">K589*$E589</f>
        <v>0</v>
      </c>
      <c r="L590" s="22">
        <f ca="1">L589*$E589</f>
        <v>0</v>
      </c>
      <c r="M590" s="22">
        <f t="shared" ref="M590" ca="1" si="2038">M589*$E589</f>
        <v>0</v>
      </c>
      <c r="N590" s="22">
        <f t="shared" ref="N590" ca="1" si="2039">N589*$E589</f>
        <v>0</v>
      </c>
      <c r="O590" s="22">
        <f t="shared" ref="O590" ca="1" si="2040">O589*$E589</f>
        <v>0</v>
      </c>
      <c r="P590" s="22">
        <f t="shared" ref="P590" ca="1" si="2041">P589*$E589</f>
        <v>0</v>
      </c>
      <c r="Q590" s="22">
        <f t="shared" ref="Q590" ca="1" si="2042">Q589*$E589</f>
        <v>0</v>
      </c>
      <c r="R590" s="22">
        <f t="shared" ref="R590" ca="1" si="2043">R589*$E589</f>
        <v>0</v>
      </c>
      <c r="S590" s="22">
        <f t="shared" ref="S590" ca="1" si="2044">S589*$E589</f>
        <v>0</v>
      </c>
      <c r="U590" s="17"/>
      <c r="V590" s="18"/>
      <c r="W590" s="19"/>
      <c r="X590" s="20"/>
    </row>
    <row r="591" spans="1:25">
      <c r="A591" s="200"/>
      <c r="B591" s="211"/>
      <c r="C591" s="200" t="s">
        <v>443</v>
      </c>
      <c r="D591" s="199" t="str">
        <f>VLOOKUP(C591,'仕掛品名寄（貼付）'!B:C,2,FALSE)</f>
        <v>その他</v>
      </c>
      <c r="E591" s="199">
        <f>VLOOKUP(D591,'仕掛品標準単価一覧表（貼付）'!B:G,6,FALSE)</f>
        <v>1080</v>
      </c>
      <c r="F591" s="12" t="s">
        <v>246</v>
      </c>
      <c r="G591" s="24">
        <v>165</v>
      </c>
      <c r="H591" s="13">
        <f ca="1">SUMIF('1.3②原材料使用'!B:E,C591,'1.3②原材料使用'!E:E)</f>
        <v>32</v>
      </c>
      <c r="I591" s="13">
        <f ca="1">SUMIF('2.10原液別作業時間'!A:B,C591,'2.10原液別作業時間'!B:B)</f>
        <v>195</v>
      </c>
      <c r="J591" s="13">
        <f ca="1">SUM(G591:H591,K591)</f>
        <v>388.5</v>
      </c>
      <c r="K591" s="13">
        <f ca="1">SUMIF('2.2⑤純増減→前工程費'!B:E,C591,'2.2⑤純増減→前工程費'!E:E)</f>
        <v>191.5</v>
      </c>
      <c r="L591" s="13">
        <f ca="1">SUMIF('2.6完成品'!C:D,C591,'2.6完成品'!D:D)</f>
        <v>187.6</v>
      </c>
      <c r="M591" s="13">
        <f ca="1">SUMIF('2.3研究費'!D:E,C591,'2.3研究費'!E:E)</f>
        <v>0</v>
      </c>
      <c r="N591" s="13">
        <f ca="1">SUMIF('2.4販促費'!D:E,C591,'2.4販促費'!E:E)</f>
        <v>0</v>
      </c>
      <c r="O591" s="13">
        <f ca="1">SUMIF('2.5廃棄処分'!D:E,C591,'2.5廃棄処分'!E:E)</f>
        <v>0</v>
      </c>
      <c r="P591" s="13">
        <f ca="1">SUMIF('2.1④異種原液'!D:E,C591,'2.1④異種原液'!E:E)</f>
        <v>0</v>
      </c>
      <c r="Q591" s="14">
        <f ca="1">SUMIF('2.7製造部生産分'!D:I,C591,'2.7製造部生産分'!H:H)</f>
        <v>0</v>
      </c>
      <c r="R591" s="15">
        <f ca="1">-(G591+H591+K591-L591-M591-N591-O591-P591-Q591-S591)</f>
        <v>-37.900000000000006</v>
      </c>
      <c r="S591" s="13">
        <f ca="1">SUMIF('2.9原液在庫'!B:H,C591,'2.9原液在庫'!H:H)</f>
        <v>163</v>
      </c>
      <c r="T591" s="16">
        <f ca="1">IFERROR(SUM(G592:K592)/(G591+H591+K591),0)</f>
        <v>2779.9135144723846</v>
      </c>
      <c r="U591" s="17" t="str">
        <f>C591</f>
        <v>5A</v>
      </c>
      <c r="V591" s="18">
        <f ca="1">IF(ISERROR(SUM(G592:K592)/SUM(L591:Q591,S591)),0,SUM(G592:K592)/SUM(L591:Q591,S591))</f>
        <v>3080.4232754492909</v>
      </c>
      <c r="W591" s="19">
        <f ca="1">V591</f>
        <v>3080.4232754492909</v>
      </c>
      <c r="X591" s="20">
        <f ca="1">W591/1000</f>
        <v>3.0804232754492911</v>
      </c>
    </row>
    <row r="592" spans="1:25">
      <c r="A592" s="201"/>
      <c r="B592" s="201"/>
      <c r="C592" s="201"/>
      <c r="D592" s="199"/>
      <c r="E592" s="199"/>
      <c r="F592" s="21" t="s">
        <v>247</v>
      </c>
      <c r="G592" s="22">
        <v>771821.40037252137</v>
      </c>
      <c r="H592" s="184"/>
      <c r="I592" s="23">
        <f ca="1">I591*労務費経費単価SC!D$7</f>
        <v>89700</v>
      </c>
      <c r="J592" s="23">
        <f ca="1">J591*労務費経費単価SC!D$11</f>
        <v>11655</v>
      </c>
      <c r="K592" s="22">
        <f ca="1">K591*$E591</f>
        <v>206820</v>
      </c>
      <c r="L592" s="22">
        <f ca="1">L591*$E591</f>
        <v>202608</v>
      </c>
      <c r="M592" s="22">
        <f t="shared" ref="M592" ca="1" si="2045">M591*$E591</f>
        <v>0</v>
      </c>
      <c r="N592" s="22">
        <f t="shared" ref="N592" ca="1" si="2046">N591*$E591</f>
        <v>0</v>
      </c>
      <c r="O592" s="22">
        <f t="shared" ref="O592" ca="1" si="2047">O591*$E591</f>
        <v>0</v>
      </c>
      <c r="P592" s="22">
        <f t="shared" ref="P592" ca="1" si="2048">P591*$E591</f>
        <v>0</v>
      </c>
      <c r="Q592" s="22">
        <f t="shared" ref="Q592" ca="1" si="2049">Q591*$E591</f>
        <v>0</v>
      </c>
      <c r="R592" s="22">
        <f t="shared" ref="R592" ca="1" si="2050">R591*$E591</f>
        <v>-40932.000000000007</v>
      </c>
      <c r="S592" s="22">
        <f t="shared" ref="S592" ca="1" si="2051">S591*$E591</f>
        <v>176040</v>
      </c>
      <c r="U592" s="17"/>
      <c r="V592" s="18"/>
      <c r="W592" s="19"/>
      <c r="X592" s="20"/>
    </row>
    <row r="593" spans="1:25">
      <c r="A593" s="200"/>
      <c r="B593" s="211"/>
      <c r="C593" s="200" t="s">
        <v>150</v>
      </c>
      <c r="D593" s="199" t="str">
        <f>VLOOKUP(C593,'仕掛品名寄（貼付）'!B:C,2,FALSE)</f>
        <v>その他</v>
      </c>
      <c r="E593" s="199">
        <f>VLOOKUP(D593,'仕掛品標準単価一覧表（貼付）'!B:G,6,FALSE)</f>
        <v>1080</v>
      </c>
      <c r="F593" s="12" t="s">
        <v>246</v>
      </c>
      <c r="G593" s="24">
        <v>0</v>
      </c>
      <c r="H593" s="13">
        <f ca="1">SUMIF('1.3②原材料使用'!B:E,C593,'1.3②原材料使用'!E:E)</f>
        <v>0</v>
      </c>
      <c r="I593" s="13">
        <f ca="1">SUMIF('2.10原液別作業時間'!A:B,C593,'2.10原液別作業時間'!B:B)</f>
        <v>0</v>
      </c>
      <c r="J593" s="13">
        <f ca="1">SUM(G593:H593,K593)</f>
        <v>0</v>
      </c>
      <c r="K593" s="13">
        <f ca="1">SUMIF('2.2⑤純増減→前工程費'!B:E,C593,'2.2⑤純増減→前工程費'!E:E)</f>
        <v>0</v>
      </c>
      <c r="L593" s="13">
        <f ca="1">SUMIF('2.6完成品'!C:D,C593,'2.6完成品'!D:D)</f>
        <v>0</v>
      </c>
      <c r="M593" s="13">
        <f ca="1">SUMIF('2.3研究費'!D:E,C593,'2.3研究費'!E:E)</f>
        <v>0</v>
      </c>
      <c r="N593" s="13">
        <f ca="1">SUMIF('2.4販促費'!D:E,C593,'2.4販促費'!E:E)</f>
        <v>0</v>
      </c>
      <c r="O593" s="13">
        <f ca="1">SUMIF('2.5廃棄処分'!D:E,C593,'2.5廃棄処分'!E:E)</f>
        <v>0</v>
      </c>
      <c r="P593" s="13">
        <f ca="1">SUMIF('2.1④異種原液'!D:E,C593,'2.1④異種原液'!E:E)</f>
        <v>0</v>
      </c>
      <c r="Q593" s="14">
        <f ca="1">SUMIF('2.7製造部生産分'!D:I,C593,'2.7製造部生産分'!H:H)</f>
        <v>0</v>
      </c>
      <c r="R593" s="15">
        <f ca="1">-(G593+H593+K593-L593-M593-N593-O593-P593-Q593-S593)</f>
        <v>0</v>
      </c>
      <c r="S593" s="13">
        <f ca="1">SUMIF('2.9原液在庫'!B:H,C593,'2.9原液在庫'!H:H)</f>
        <v>0</v>
      </c>
      <c r="T593" s="16">
        <f ca="1">IFERROR(SUM(G594:K594)/(G593+H593+K593),0)</f>
        <v>0</v>
      </c>
      <c r="U593" s="17" t="str">
        <f>C593</f>
        <v>A</v>
      </c>
      <c r="V593" s="18">
        <f ca="1">IF(ISERROR(SUM(G594:K594)/SUM(L593:Q593,S593)),0,SUM(G594:K594)/SUM(L593:Q593,S593))</f>
        <v>0</v>
      </c>
      <c r="W593" s="19">
        <f ca="1">V593</f>
        <v>0</v>
      </c>
      <c r="X593" s="20">
        <f ca="1">W593/1000</f>
        <v>0</v>
      </c>
    </row>
    <row r="594" spans="1:25">
      <c r="A594" s="201"/>
      <c r="B594" s="201"/>
      <c r="C594" s="201"/>
      <c r="D594" s="199"/>
      <c r="E594" s="199"/>
      <c r="F594" s="21" t="s">
        <v>247</v>
      </c>
      <c r="G594" s="22" t="s">
        <v>254</v>
      </c>
      <c r="H594" s="184"/>
      <c r="I594" s="23">
        <f ca="1">I593*労務費経費単価SC!D$7</f>
        <v>0</v>
      </c>
      <c r="J594" s="23">
        <f ca="1">J593*労務費経費単価SC!D$11</f>
        <v>0</v>
      </c>
      <c r="K594" s="22">
        <f ca="1">K593*$E593</f>
        <v>0</v>
      </c>
      <c r="L594" s="22">
        <f ca="1">L593*$E593</f>
        <v>0</v>
      </c>
      <c r="M594" s="22">
        <f t="shared" ref="M594" ca="1" si="2052">M593*$E593</f>
        <v>0</v>
      </c>
      <c r="N594" s="22">
        <f t="shared" ref="N594" ca="1" si="2053">N593*$E593</f>
        <v>0</v>
      </c>
      <c r="O594" s="22">
        <f t="shared" ref="O594" ca="1" si="2054">O593*$E593</f>
        <v>0</v>
      </c>
      <c r="P594" s="22">
        <f t="shared" ref="P594" ca="1" si="2055">P593*$E593</f>
        <v>0</v>
      </c>
      <c r="Q594" s="22">
        <f t="shared" ref="Q594" ca="1" si="2056">Q593*$E593</f>
        <v>0</v>
      </c>
      <c r="R594" s="22">
        <f t="shared" ref="R594" ca="1" si="2057">R593*$E593</f>
        <v>0</v>
      </c>
      <c r="S594" s="22">
        <f t="shared" ref="S594" ca="1" si="2058">S593*$E593</f>
        <v>0</v>
      </c>
      <c r="U594" s="17"/>
      <c r="V594" s="18"/>
      <c r="W594" s="19"/>
      <c r="X594" s="20"/>
    </row>
    <row r="595" spans="1:25">
      <c r="A595" s="200"/>
      <c r="B595" s="211"/>
      <c r="C595" s="200" t="s">
        <v>444</v>
      </c>
      <c r="D595" s="199" t="str">
        <f>VLOOKUP(C595,'仕掛品名寄（貼付）'!B:C,2,FALSE)</f>
        <v>その他</v>
      </c>
      <c r="E595" s="199">
        <f>VLOOKUP(D595,'仕掛品標準単価一覧表（貼付）'!B:G,6,FALSE)</f>
        <v>1080</v>
      </c>
      <c r="F595" s="12" t="s">
        <v>246</v>
      </c>
      <c r="G595" s="24">
        <v>0</v>
      </c>
      <c r="H595" s="13">
        <f ca="1">SUMIF('1.3②原材料使用'!B:E,C595,'1.3②原材料使用'!E:E)</f>
        <v>0</v>
      </c>
      <c r="I595" s="13">
        <f ca="1">SUMIF('2.10原液別作業時間'!A:B,C595,'2.10原液別作業時間'!B:B)</f>
        <v>0</v>
      </c>
      <c r="J595" s="13">
        <f ca="1">SUM(G595:H595,K595)</f>
        <v>0</v>
      </c>
      <c r="K595" s="13">
        <f ca="1">SUMIF('2.2⑤純増減→前工程費'!B:E,C595,'2.2⑤純増減→前工程費'!E:E)</f>
        <v>0</v>
      </c>
      <c r="L595" s="13">
        <f ca="1">SUMIF('2.6完成品'!C:D,C595,'2.6完成品'!D:D)</f>
        <v>0</v>
      </c>
      <c r="M595" s="13">
        <f ca="1">SUMIF('2.3研究費'!D:E,C595,'2.3研究費'!E:E)</f>
        <v>0</v>
      </c>
      <c r="N595" s="13">
        <f ca="1">SUMIF('2.4販促費'!D:E,C595,'2.4販促費'!E:E)</f>
        <v>0</v>
      </c>
      <c r="O595" s="13">
        <f ca="1">SUMIF('2.5廃棄処分'!D:E,C595,'2.5廃棄処分'!E:E)</f>
        <v>0</v>
      </c>
      <c r="P595" s="13">
        <f ca="1">SUMIF('2.1④異種原液'!D:E,C595,'2.1④異種原液'!E:E)</f>
        <v>0</v>
      </c>
      <c r="Q595" s="14">
        <f ca="1">SUMIF('2.7製造部生産分'!D:I,C595,'2.7製造部生産分'!H:H)</f>
        <v>0</v>
      </c>
      <c r="R595" s="15">
        <f ca="1">-(G595+H595+K595-L595-M595-N595-O595-P595-Q595-S595)</f>
        <v>0</v>
      </c>
      <c r="S595" s="13">
        <f ca="1">SUMIF('2.9原液在庫'!B:H,C595,'2.9原液在庫'!H:H)</f>
        <v>0</v>
      </c>
      <c r="T595" s="16">
        <f ca="1">IFERROR(SUM(G596:K596)/(G595+H595+K595),0)</f>
        <v>0</v>
      </c>
      <c r="U595" s="17" t="str">
        <f>C595</f>
        <v>BA</v>
      </c>
      <c r="V595" s="18">
        <f ca="1">IF(ISERROR(SUM(G596:K596)/SUM(L595:Q595,S595)),0,SUM(G596:K596)/SUM(L595:Q595,S595))</f>
        <v>0</v>
      </c>
      <c r="W595" s="19">
        <f ca="1">V595</f>
        <v>0</v>
      </c>
      <c r="X595" s="20">
        <f ca="1">W595/1000</f>
        <v>0</v>
      </c>
    </row>
    <row r="596" spans="1:25">
      <c r="A596" s="201"/>
      <c r="B596" s="201"/>
      <c r="C596" s="201"/>
      <c r="D596" s="199"/>
      <c r="E596" s="199"/>
      <c r="F596" s="21" t="s">
        <v>247</v>
      </c>
      <c r="G596" s="22" t="s">
        <v>254</v>
      </c>
      <c r="H596" s="184"/>
      <c r="I596" s="23">
        <f ca="1">I595*労務費経費単価SC!D$7</f>
        <v>0</v>
      </c>
      <c r="J596" s="23">
        <f ca="1">J595*労務費経費単価SC!D$11</f>
        <v>0</v>
      </c>
      <c r="K596" s="22">
        <f ca="1">K595*$E595</f>
        <v>0</v>
      </c>
      <c r="L596" s="22">
        <f ca="1">L595*$E595</f>
        <v>0</v>
      </c>
      <c r="M596" s="22">
        <f t="shared" ref="M596" ca="1" si="2059">M595*$E595</f>
        <v>0</v>
      </c>
      <c r="N596" s="22">
        <f t="shared" ref="N596" ca="1" si="2060">N595*$E595</f>
        <v>0</v>
      </c>
      <c r="O596" s="22">
        <f t="shared" ref="O596" ca="1" si="2061">O595*$E595</f>
        <v>0</v>
      </c>
      <c r="P596" s="22">
        <f t="shared" ref="P596" ca="1" si="2062">P595*$E595</f>
        <v>0</v>
      </c>
      <c r="Q596" s="22">
        <f t="shared" ref="Q596" ca="1" si="2063">Q595*$E595</f>
        <v>0</v>
      </c>
      <c r="R596" s="22">
        <f t="shared" ref="R596" ca="1" si="2064">R595*$E595</f>
        <v>0</v>
      </c>
      <c r="S596" s="22">
        <f t="shared" ref="S596" ca="1" si="2065">S595*$E595</f>
        <v>0</v>
      </c>
      <c r="U596" s="17"/>
      <c r="V596" s="18"/>
      <c r="W596" s="19"/>
      <c r="X596" s="20"/>
    </row>
    <row r="597" spans="1:25">
      <c r="A597" s="200"/>
      <c r="B597" s="211"/>
      <c r="C597" s="200" t="s">
        <v>445</v>
      </c>
      <c r="D597" s="199" t="str">
        <f>VLOOKUP(C597,'仕掛品名寄（貼付）'!B:C,2,FALSE)</f>
        <v>その他</v>
      </c>
      <c r="E597" s="199">
        <f>VLOOKUP(D597,'仕掛品標準単価一覧表（貼付）'!B:G,6,FALSE)</f>
        <v>1080</v>
      </c>
      <c r="F597" s="12" t="s">
        <v>246</v>
      </c>
      <c r="G597" s="13">
        <v>0</v>
      </c>
      <c r="H597" s="13">
        <f ca="1">SUMIF('1.3②原材料使用'!B:E,C597,'1.3②原材料使用'!E:E)</f>
        <v>0</v>
      </c>
      <c r="I597" s="13">
        <f ca="1">SUMIF('2.10原液別作業時間'!A:B,C597,'2.10原液別作業時間'!B:B)</f>
        <v>0</v>
      </c>
      <c r="J597" s="13">
        <f ca="1">SUM(G597:H597,K597)</f>
        <v>0</v>
      </c>
      <c r="K597" s="13">
        <f ca="1">SUMIF('2.2⑤純増減→前工程費'!B:E,C597,'2.2⑤純増減→前工程費'!E:E)</f>
        <v>0</v>
      </c>
      <c r="L597" s="13">
        <f ca="1">SUMIF('2.6完成品'!C:D,C597,'2.6完成品'!D:D)</f>
        <v>0</v>
      </c>
      <c r="M597" s="13">
        <f ca="1">SUMIF('2.3研究費'!D:E,C597,'2.3研究費'!E:E)</f>
        <v>0</v>
      </c>
      <c r="N597" s="13">
        <f ca="1">SUMIF('2.4販促費'!D:E,C597,'2.4販促費'!E:E)</f>
        <v>0</v>
      </c>
      <c r="O597" s="13">
        <f ca="1">SUMIF('2.5廃棄処分'!D:E,C597,'2.5廃棄処分'!E:E)</f>
        <v>0</v>
      </c>
      <c r="P597" s="13">
        <f ca="1">SUMIF('2.1④異種原液'!D:E,C597,'2.1④異種原液'!E:E)</f>
        <v>0</v>
      </c>
      <c r="Q597" s="14">
        <f ca="1">SUMIF('2.7製造部生産分'!D:I,C597,'2.7製造部生産分'!H:H)</f>
        <v>0</v>
      </c>
      <c r="R597" s="15">
        <f ca="1">-(G597+H597+K597-L597-M597-N597-O597-P597-Q597-S597)</f>
        <v>0</v>
      </c>
      <c r="S597" s="13">
        <f ca="1">SUMIF('2.9原液在庫'!B:H,C597,'2.9原液在庫'!H:H)</f>
        <v>0</v>
      </c>
      <c r="T597" s="16">
        <f ca="1">IFERROR(SUM(G598:K598)/(G597+H597+K597),0)</f>
        <v>0</v>
      </c>
      <c r="U597" s="17" t="str">
        <f>C597</f>
        <v>BB</v>
      </c>
      <c r="V597" s="18">
        <f ca="1">IF(ISERROR(SUM(G598:K598)/SUM(L597:Q597,S597)),0,SUM(G598:K598)/SUM(L597:Q597,S597))</f>
        <v>0</v>
      </c>
      <c r="W597" s="19">
        <f ca="1">V597</f>
        <v>0</v>
      </c>
      <c r="X597" s="20">
        <f ca="1">W597/1000</f>
        <v>0</v>
      </c>
    </row>
    <row r="598" spans="1:25">
      <c r="A598" s="201"/>
      <c r="B598" s="201"/>
      <c r="C598" s="201"/>
      <c r="D598" s="199"/>
      <c r="E598" s="199"/>
      <c r="F598" s="21" t="s">
        <v>247</v>
      </c>
      <c r="G598" s="22" t="s">
        <v>254</v>
      </c>
      <c r="H598" s="184"/>
      <c r="I598" s="23">
        <f ca="1">I597*労務費経費単価SC!D$7</f>
        <v>0</v>
      </c>
      <c r="J598" s="23">
        <f ca="1">J597*労務費経費単価SC!D$11</f>
        <v>0</v>
      </c>
      <c r="K598" s="22">
        <f ca="1">K597*$E597</f>
        <v>0</v>
      </c>
      <c r="L598" s="22">
        <f ca="1">L597*$E597</f>
        <v>0</v>
      </c>
      <c r="M598" s="22">
        <f t="shared" ref="M598" ca="1" si="2066">M597*$E597</f>
        <v>0</v>
      </c>
      <c r="N598" s="22">
        <f t="shared" ref="N598" ca="1" si="2067">N597*$E597</f>
        <v>0</v>
      </c>
      <c r="O598" s="22">
        <f t="shared" ref="O598" ca="1" si="2068">O597*$E597</f>
        <v>0</v>
      </c>
      <c r="P598" s="22">
        <f t="shared" ref="P598" ca="1" si="2069">P597*$E597</f>
        <v>0</v>
      </c>
      <c r="Q598" s="22">
        <f t="shared" ref="Q598" ca="1" si="2070">Q597*$E597</f>
        <v>0</v>
      </c>
      <c r="R598" s="22">
        <f t="shared" ref="R598" ca="1" si="2071">R597*$E597</f>
        <v>0</v>
      </c>
      <c r="S598" s="22">
        <f t="shared" ref="S598" ca="1" si="2072">S597*$E597</f>
        <v>0</v>
      </c>
      <c r="U598" s="17"/>
      <c r="V598" s="18"/>
      <c r="W598" s="19"/>
      <c r="X598" s="20"/>
    </row>
    <row r="599" spans="1:25">
      <c r="A599" s="200"/>
      <c r="B599" s="211"/>
      <c r="C599" s="200" t="s">
        <v>446</v>
      </c>
      <c r="D599" s="199" t="str">
        <f>VLOOKUP(C599,'仕掛品名寄（貼付）'!B:C,2,FALSE)</f>
        <v>その他</v>
      </c>
      <c r="E599" s="199">
        <f>VLOOKUP(D599,'仕掛品標準単価一覧表（貼付）'!B:G,6,FALSE)</f>
        <v>1080</v>
      </c>
      <c r="F599" s="12" t="s">
        <v>246</v>
      </c>
      <c r="G599" s="24">
        <v>0</v>
      </c>
      <c r="H599" s="13">
        <f ca="1">SUMIF('1.3②原材料使用'!B:E,C599,'1.3②原材料使用'!E:E)</f>
        <v>0</v>
      </c>
      <c r="I599" s="13">
        <f ca="1">SUMIF('2.10原液別作業時間'!A:B,C599,'2.10原液別作業時間'!B:B)</f>
        <v>0</v>
      </c>
      <c r="J599" s="13">
        <f ca="1">SUM(G599:H599,K599)</f>
        <v>0</v>
      </c>
      <c r="K599" s="13">
        <f ca="1">SUMIF('2.2⑤純増減→前工程費'!B:E,C599,'2.2⑤純増減→前工程費'!E:E)</f>
        <v>0</v>
      </c>
      <c r="L599" s="13">
        <f ca="1">SUMIF('2.6完成品'!C:D,C599,'2.6完成品'!D:D)</f>
        <v>0</v>
      </c>
      <c r="M599" s="13">
        <f ca="1">SUMIF('2.3研究費'!D:E,C599,'2.3研究費'!E:E)</f>
        <v>0</v>
      </c>
      <c r="N599" s="13">
        <f ca="1">SUMIF('2.4販促費'!D:E,C599,'2.4販促費'!E:E)</f>
        <v>0</v>
      </c>
      <c r="O599" s="13">
        <f ca="1">SUMIF('2.5廃棄処分'!D:E,C599,'2.5廃棄処分'!E:E)</f>
        <v>0</v>
      </c>
      <c r="P599" s="13">
        <f ca="1">SUMIF('2.1④異種原液'!D:E,C599,'2.1④異種原液'!E:E)</f>
        <v>0</v>
      </c>
      <c r="Q599" s="14">
        <f ca="1">SUMIF('2.7製造部生産分'!D:I,C599,'2.7製造部生産分'!H:H)</f>
        <v>0</v>
      </c>
      <c r="R599" s="15">
        <f ca="1">-(G599+H599+K599-L599-M599-N599-O599-P599-Q599-S599)</f>
        <v>0</v>
      </c>
      <c r="S599" s="13">
        <f ca="1">SUMIF('2.9原液在庫'!B:H,C599,'2.9原液在庫'!H:H)</f>
        <v>0</v>
      </c>
      <c r="T599" s="16">
        <f ca="1">IFERROR(SUM(G600:K600)/(G599+H599+K599),0)</f>
        <v>0</v>
      </c>
      <c r="U599" s="17" t="str">
        <f>C599</f>
        <v>BC</v>
      </c>
      <c r="V599" s="18">
        <f ca="1">IF(ISERROR(SUM(G600:K600)/SUM(L599:Q599,S599)),0,SUM(G600:K600)/SUM(L599:Q599,S599))</f>
        <v>0</v>
      </c>
      <c r="W599" s="19">
        <f ca="1">V599</f>
        <v>0</v>
      </c>
      <c r="X599" s="20">
        <f ca="1">W599/1000</f>
        <v>0</v>
      </c>
    </row>
    <row r="600" spans="1:25">
      <c r="A600" s="201"/>
      <c r="B600" s="201"/>
      <c r="C600" s="201"/>
      <c r="D600" s="199"/>
      <c r="E600" s="199"/>
      <c r="F600" s="21" t="s">
        <v>247</v>
      </c>
      <c r="G600" s="22" t="s">
        <v>254</v>
      </c>
      <c r="H600" s="184"/>
      <c r="I600" s="23">
        <f ca="1">I599*労務費経費単価SC!D$7</f>
        <v>0</v>
      </c>
      <c r="J600" s="23">
        <f ca="1">J599*労務費経費単価SC!D$11</f>
        <v>0</v>
      </c>
      <c r="K600" s="22">
        <f ca="1">K599*$E599</f>
        <v>0</v>
      </c>
      <c r="L600" s="22">
        <f ca="1">L599*$E599</f>
        <v>0</v>
      </c>
      <c r="M600" s="22">
        <f t="shared" ref="M600" ca="1" si="2073">M599*$E599</f>
        <v>0</v>
      </c>
      <c r="N600" s="22">
        <f t="shared" ref="N600" ca="1" si="2074">N599*$E599</f>
        <v>0</v>
      </c>
      <c r="O600" s="22">
        <f t="shared" ref="O600" ca="1" si="2075">O599*$E599</f>
        <v>0</v>
      </c>
      <c r="P600" s="22">
        <f t="shared" ref="P600" ca="1" si="2076">P599*$E599</f>
        <v>0</v>
      </c>
      <c r="Q600" s="22">
        <f t="shared" ref="Q600" ca="1" si="2077">Q599*$E599</f>
        <v>0</v>
      </c>
      <c r="R600" s="22">
        <f t="shared" ref="R600" ca="1" si="2078">R599*$E599</f>
        <v>0</v>
      </c>
      <c r="S600" s="22">
        <f t="shared" ref="S600" ca="1" si="2079">S599*$E599</f>
        <v>0</v>
      </c>
      <c r="U600" s="17"/>
      <c r="V600" s="18"/>
      <c r="W600" s="19"/>
      <c r="X600" s="20"/>
    </row>
    <row r="601" spans="1:25">
      <c r="A601" s="200"/>
      <c r="B601" s="211"/>
      <c r="C601" s="200" t="s">
        <v>447</v>
      </c>
      <c r="D601" s="199" t="str">
        <f>VLOOKUP(C601,'仕掛品名寄（貼付）'!B:C,2,FALSE)</f>
        <v>その他</v>
      </c>
      <c r="E601" s="199">
        <f>VLOOKUP(D601,'仕掛品標準単価一覧表（貼付）'!B:G,6,FALSE)</f>
        <v>1080</v>
      </c>
      <c r="F601" s="12" t="s">
        <v>246</v>
      </c>
      <c r="G601" s="24">
        <v>0</v>
      </c>
      <c r="H601" s="13">
        <f ca="1">SUMIF('1.3②原材料使用'!B:E,C601,'1.3②原材料使用'!E:E)</f>
        <v>0</v>
      </c>
      <c r="I601" s="13">
        <f ca="1">SUMIF('2.10原液別作業時間'!A:B,C601,'2.10原液別作業時間'!B:B)</f>
        <v>0</v>
      </c>
      <c r="J601" s="13">
        <f ca="1">SUM(G601:H601,K601)</f>
        <v>0</v>
      </c>
      <c r="K601" s="13">
        <f ca="1">SUMIF('2.2⑤純増減→前工程費'!B:E,C601,'2.2⑤純増減→前工程費'!E:E)</f>
        <v>0</v>
      </c>
      <c r="L601" s="13">
        <f ca="1">SUMIF('2.6完成品'!C:D,C601,'2.6完成品'!D:D)</f>
        <v>0</v>
      </c>
      <c r="M601" s="13">
        <f ca="1">SUMIF('2.3研究費'!D:E,C601,'2.3研究費'!E:E)</f>
        <v>0</v>
      </c>
      <c r="N601" s="13">
        <f ca="1">SUMIF('2.4販促費'!D:E,C601,'2.4販促費'!E:E)</f>
        <v>0</v>
      </c>
      <c r="O601" s="13">
        <f ca="1">SUMIF('2.5廃棄処分'!D:E,C601,'2.5廃棄処分'!E:E)</f>
        <v>0</v>
      </c>
      <c r="P601" s="13">
        <f ca="1">SUMIF('2.1④異種原液'!D:E,C601,'2.1④異種原液'!E:E)</f>
        <v>0</v>
      </c>
      <c r="Q601" s="14">
        <f ca="1">SUMIF('2.7製造部生産分'!D:I,C601,'2.7製造部生産分'!H:H)</f>
        <v>0</v>
      </c>
      <c r="R601" s="15">
        <f ca="1">-(G601+H601+K601-L601-M601-N601-O601-P601-Q601-S601)</f>
        <v>0</v>
      </c>
      <c r="S601" s="13">
        <f ca="1">SUMIF('2.9原液在庫'!B:H,C601,'2.9原液在庫'!H:H)</f>
        <v>0</v>
      </c>
      <c r="T601" s="16">
        <f ca="1">IFERROR(SUM(G602:K602)/(G601+H601+K601),0)</f>
        <v>0</v>
      </c>
      <c r="U601" s="17" t="str">
        <f>C601</f>
        <v>BD</v>
      </c>
      <c r="V601" s="18">
        <f ca="1">IF(ISERROR(SUM(G602:K602)/SUM(L601:Q601,S601)),0,SUM(G602:K602)/SUM(L601:Q601,S601))</f>
        <v>0</v>
      </c>
      <c r="W601" s="19">
        <f ca="1">V601</f>
        <v>0</v>
      </c>
      <c r="X601" s="20">
        <f ca="1">W601/1000</f>
        <v>0</v>
      </c>
    </row>
    <row r="602" spans="1:25">
      <c r="A602" s="201"/>
      <c r="B602" s="201"/>
      <c r="C602" s="201"/>
      <c r="D602" s="199"/>
      <c r="E602" s="199"/>
      <c r="F602" s="21" t="s">
        <v>247</v>
      </c>
      <c r="G602" s="22" t="s">
        <v>254</v>
      </c>
      <c r="H602" s="184"/>
      <c r="I602" s="23">
        <f ca="1">I601*労務費経費単価SC!D$7</f>
        <v>0</v>
      </c>
      <c r="J602" s="23">
        <f ca="1">J601*労務費経費単価SC!D$11</f>
        <v>0</v>
      </c>
      <c r="K602" s="22">
        <f ca="1">K601*$E601</f>
        <v>0</v>
      </c>
      <c r="L602" s="22">
        <f ca="1">L601*$E601</f>
        <v>0</v>
      </c>
      <c r="M602" s="22">
        <f t="shared" ref="M602" ca="1" si="2080">M601*$E601</f>
        <v>0</v>
      </c>
      <c r="N602" s="22">
        <f t="shared" ref="N602" ca="1" si="2081">N601*$E601</f>
        <v>0</v>
      </c>
      <c r="O602" s="22">
        <f t="shared" ref="O602" ca="1" si="2082">O601*$E601</f>
        <v>0</v>
      </c>
      <c r="P602" s="22">
        <f t="shared" ref="P602" ca="1" si="2083">P601*$E601</f>
        <v>0</v>
      </c>
      <c r="Q602" s="22">
        <f t="shared" ref="Q602" ca="1" si="2084">Q601*$E601</f>
        <v>0</v>
      </c>
      <c r="R602" s="22">
        <f t="shared" ref="R602" ca="1" si="2085">R601*$E601</f>
        <v>0</v>
      </c>
      <c r="S602" s="22">
        <f t="shared" ref="S602" ca="1" si="2086">S601*$E601</f>
        <v>0</v>
      </c>
      <c r="U602" s="17"/>
      <c r="V602" s="18"/>
      <c r="W602" s="19"/>
      <c r="X602" s="20"/>
    </row>
    <row r="603" spans="1:25">
      <c r="A603" s="200"/>
      <c r="B603" s="211"/>
      <c r="C603" s="200" t="s">
        <v>448</v>
      </c>
      <c r="D603" s="199" t="str">
        <f>VLOOKUP(C603,'仕掛品名寄（貼付）'!B:C,2,FALSE)</f>
        <v>その他</v>
      </c>
      <c r="E603" s="199">
        <f>VLOOKUP(D603,'仕掛品標準単価一覧表（貼付）'!B:G,6,FALSE)</f>
        <v>1080</v>
      </c>
      <c r="F603" s="12" t="s">
        <v>246</v>
      </c>
      <c r="G603" s="13">
        <v>753</v>
      </c>
      <c r="H603" s="13">
        <f ca="1">SUMIF('1.3②原材料使用'!B:E,C603,'1.3②原材料使用'!E:E)</f>
        <v>0</v>
      </c>
      <c r="I603" s="13">
        <f ca="1">SUMIF('2.10原液別作業時間'!A:B,C603,'2.10原液別作業時間'!B:B)</f>
        <v>0</v>
      </c>
      <c r="J603" s="13">
        <f ca="1">SUM(G603:H603,K603)</f>
        <v>753</v>
      </c>
      <c r="K603" s="13">
        <f ca="1">SUMIF('2.2⑤純増減→前工程費'!B:E,C603,'2.2⑤純増減→前工程費'!E:E)</f>
        <v>0</v>
      </c>
      <c r="L603" s="13">
        <f ca="1">SUMIF('2.6完成品'!C:D,C603,'2.6完成品'!D:D)</f>
        <v>278</v>
      </c>
      <c r="M603" s="13">
        <f ca="1">SUMIF('2.3研究費'!D:E,C603,'2.3研究費'!E:E)</f>
        <v>0</v>
      </c>
      <c r="N603" s="13">
        <f ca="1">SUMIF('2.4販促費'!D:E,C603,'2.4販促費'!E:E)</f>
        <v>0</v>
      </c>
      <c r="O603" s="13">
        <f ca="1">SUMIF('2.5廃棄処分'!D:E,C603,'2.5廃棄処分'!E:E)</f>
        <v>0</v>
      </c>
      <c r="P603" s="13">
        <f ca="1">SUMIF('2.1④異種原液'!D:E,C603,'2.1④異種原液'!E:E)</f>
        <v>0</v>
      </c>
      <c r="Q603" s="14">
        <f ca="1">SUMIF('2.7製造部生産分'!D:I,C603,'2.7製造部生産分'!H:H)</f>
        <v>0</v>
      </c>
      <c r="R603" s="15">
        <f ca="1">-(G603+H603+K603-L603-M603-N603-O603-P603-Q603-S603)</f>
        <v>0</v>
      </c>
      <c r="S603" s="13">
        <f ca="1">SUMIF('2.9原液在庫'!B:H,C603,'2.9原液在庫'!H:H)</f>
        <v>475</v>
      </c>
      <c r="T603" s="16">
        <f ca="1">IFERROR(SUM(G604:K604)/(G603+H603+K603),0)</f>
        <v>1695.213437441995</v>
      </c>
      <c r="U603" s="17" t="str">
        <f>C603</f>
        <v>BE</v>
      </c>
      <c r="V603" s="18">
        <f ca="1">IF(ISERROR(SUM(G604:K604)/SUM(L603:Q603,S603)),0,SUM(G604:K604)/SUM(L603:Q603,S603))</f>
        <v>1695.213437441995</v>
      </c>
      <c r="W603" s="19">
        <f ca="1">V603</f>
        <v>1695.213437441995</v>
      </c>
      <c r="X603" s="20">
        <f ca="1">W603/1000</f>
        <v>1.6952134374419949</v>
      </c>
    </row>
    <row r="604" spans="1:25">
      <c r="A604" s="201"/>
      <c r="B604" s="201"/>
      <c r="C604" s="201"/>
      <c r="D604" s="199"/>
      <c r="E604" s="199"/>
      <c r="F604" s="21" t="s">
        <v>247</v>
      </c>
      <c r="G604" s="22">
        <v>1253905.7183938222</v>
      </c>
      <c r="H604" s="184"/>
      <c r="I604" s="23">
        <f ca="1">I603*労務費経費単価SC!D$7</f>
        <v>0</v>
      </c>
      <c r="J604" s="23">
        <f ca="1">J603*労務費経費単価SC!D$11</f>
        <v>22590</v>
      </c>
      <c r="K604" s="22">
        <f ca="1">K603*$E603</f>
        <v>0</v>
      </c>
      <c r="L604" s="22">
        <f ca="1">L603*$E603</f>
        <v>300240</v>
      </c>
      <c r="M604" s="22">
        <f t="shared" ref="M604" ca="1" si="2087">M603*$E603</f>
        <v>0</v>
      </c>
      <c r="N604" s="22">
        <f t="shared" ref="N604" ca="1" si="2088">N603*$E603</f>
        <v>0</v>
      </c>
      <c r="O604" s="22">
        <f t="shared" ref="O604" ca="1" si="2089">O603*$E603</f>
        <v>0</v>
      </c>
      <c r="P604" s="22">
        <f t="shared" ref="P604" ca="1" si="2090">P603*$E603</f>
        <v>0</v>
      </c>
      <c r="Q604" s="22">
        <f t="shared" ref="Q604" ca="1" si="2091">Q603*$E603</f>
        <v>0</v>
      </c>
      <c r="R604" s="22">
        <f t="shared" ref="R604" ca="1" si="2092">R603*$E603</f>
        <v>0</v>
      </c>
      <c r="S604" s="22">
        <f t="shared" ref="S604" ca="1" si="2093">S603*$E603</f>
        <v>513000</v>
      </c>
      <c r="U604" s="17"/>
      <c r="V604" s="18"/>
      <c r="W604" s="19"/>
      <c r="X604" s="20"/>
    </row>
    <row r="605" spans="1:25">
      <c r="A605" s="200"/>
      <c r="B605" s="211"/>
      <c r="C605" s="200" t="s">
        <v>449</v>
      </c>
      <c r="D605" s="199" t="str">
        <f>VLOOKUP(C605,'仕掛品名寄（貼付）'!B:C,2,FALSE)</f>
        <v>その他</v>
      </c>
      <c r="E605" s="199">
        <f>VLOOKUP(D605,'仕掛品標準単価一覧表（貼付）'!B:G,6,FALSE)</f>
        <v>1080</v>
      </c>
      <c r="F605" s="12" t="s">
        <v>246</v>
      </c>
      <c r="G605" s="13">
        <v>0</v>
      </c>
      <c r="H605" s="13">
        <f ca="1">SUMIF('1.3②原材料使用'!B:E,C605,'1.3②原材料使用'!E:E)</f>
        <v>0</v>
      </c>
      <c r="I605" s="13">
        <f ca="1">SUMIF('2.10原液別作業時間'!A:B,C605,'2.10原液別作業時間'!B:B)</f>
        <v>0</v>
      </c>
      <c r="J605" s="13">
        <f ca="1">SUM(G605:H605,K605)</f>
        <v>0</v>
      </c>
      <c r="K605" s="13">
        <f ca="1">SUMIF('2.2⑤純増減→前工程費'!B:E,C605,'2.2⑤純増減→前工程費'!E:E)</f>
        <v>0</v>
      </c>
      <c r="L605" s="13">
        <f ca="1">SUMIF('2.6完成品'!C:D,C605,'2.6完成品'!D:D)</f>
        <v>0</v>
      </c>
      <c r="M605" s="13">
        <f ca="1">SUMIF('2.3研究費'!D:E,C605,'2.3研究費'!E:E)</f>
        <v>0</v>
      </c>
      <c r="N605" s="13">
        <f ca="1">SUMIF('2.4販促費'!D:E,C605,'2.4販促費'!E:E)</f>
        <v>0</v>
      </c>
      <c r="O605" s="13">
        <f ca="1">SUMIF('2.5廃棄処分'!D:E,C605,'2.5廃棄処分'!E:E)</f>
        <v>0</v>
      </c>
      <c r="P605" s="13">
        <f ca="1">SUMIF('2.1④異種原液'!D:E,C605,'2.1④異種原液'!E:E)</f>
        <v>0</v>
      </c>
      <c r="Q605" s="14">
        <f ca="1">SUMIF('2.7製造部生産分'!D:I,C605,'2.7製造部生産分'!H:H)</f>
        <v>0</v>
      </c>
      <c r="R605" s="15">
        <f ca="1">-(G605+H605+K605-L605-M605-N605-O605-P605-Q605-S605)</f>
        <v>0</v>
      </c>
      <c r="S605" s="13">
        <f ca="1">SUMIF('2.9原液在庫'!B:H,C605,'2.9原液在庫'!H:H)</f>
        <v>0</v>
      </c>
      <c r="T605" s="16">
        <f ca="1">IFERROR(SUM(G606:K606)/(G605+H605+K605),0)</f>
        <v>0</v>
      </c>
      <c r="U605" s="17" t="str">
        <f>C605</f>
        <v>BF</v>
      </c>
      <c r="V605" s="18">
        <f ca="1">IF(ISERROR(SUM(G606:K606)/SUM(L605:Q605,S605)),0,SUM(G606:K606)/SUM(L605:Q605,S605))</f>
        <v>0</v>
      </c>
      <c r="W605" s="19">
        <f ca="1">V605</f>
        <v>0</v>
      </c>
      <c r="X605" s="20">
        <f ca="1">W605/1000</f>
        <v>0</v>
      </c>
    </row>
    <row r="606" spans="1:25">
      <c r="A606" s="201"/>
      <c r="B606" s="201"/>
      <c r="C606" s="201"/>
      <c r="D606" s="199"/>
      <c r="E606" s="199"/>
      <c r="F606" s="21" t="s">
        <v>247</v>
      </c>
      <c r="G606" s="22" t="s">
        <v>254</v>
      </c>
      <c r="H606" s="184"/>
      <c r="I606" s="23">
        <f ca="1">I605*労務費経費単価SC!D$7</f>
        <v>0</v>
      </c>
      <c r="J606" s="23">
        <f ca="1">J605*労務費経費単価SC!D$11</f>
        <v>0</v>
      </c>
      <c r="K606" s="22">
        <f ca="1">K605*$E605</f>
        <v>0</v>
      </c>
      <c r="L606" s="22">
        <f ca="1">L605*$E605</f>
        <v>0</v>
      </c>
      <c r="M606" s="22">
        <f t="shared" ref="M606" ca="1" si="2094">M605*$E605</f>
        <v>0</v>
      </c>
      <c r="N606" s="22">
        <f t="shared" ref="N606" ca="1" si="2095">N605*$E605</f>
        <v>0</v>
      </c>
      <c r="O606" s="22">
        <f t="shared" ref="O606" ca="1" si="2096">O605*$E605</f>
        <v>0</v>
      </c>
      <c r="P606" s="22">
        <f t="shared" ref="P606" ca="1" si="2097">P605*$E605</f>
        <v>0</v>
      </c>
      <c r="Q606" s="22">
        <f t="shared" ref="Q606" ca="1" si="2098">Q605*$E605</f>
        <v>0</v>
      </c>
      <c r="R606" s="22">
        <f t="shared" ref="R606" ca="1" si="2099">R605*$E605</f>
        <v>0</v>
      </c>
      <c r="S606" s="22">
        <f t="shared" ref="S606" ca="1" si="2100">S605*$E605</f>
        <v>0</v>
      </c>
      <c r="U606" s="17"/>
      <c r="V606" s="18"/>
      <c r="W606" s="19"/>
      <c r="X606" s="20"/>
    </row>
    <row r="607" spans="1:25" ht="18">
      <c r="A607" s="200"/>
      <c r="B607" s="211"/>
      <c r="C607" s="200" t="s">
        <v>450</v>
      </c>
      <c r="D607" s="199" t="str">
        <f>VLOOKUP(C607,'仕掛品名寄（貼付）'!B:C,2,FALSE)</f>
        <v>その他</v>
      </c>
      <c r="E607" s="199">
        <f>VLOOKUP(D607,'仕掛品標準単価一覧表（貼付）'!B:G,6,FALSE)</f>
        <v>1080</v>
      </c>
      <c r="F607" s="12" t="s">
        <v>246</v>
      </c>
      <c r="G607" s="13">
        <v>3.7</v>
      </c>
      <c r="H607" s="13">
        <f ca="1">SUMIF('1.3②原材料使用'!B:E,C607,'1.3②原材料使用'!E:E)</f>
        <v>3.4000000000000004</v>
      </c>
      <c r="I607" s="13">
        <f ca="1">SUMIF('2.10原液別作業時間'!A:B,C607,'2.10原液別作業時間'!B:B)</f>
        <v>335</v>
      </c>
      <c r="J607" s="13">
        <f ca="1">SUM(G607:H607,K607)</f>
        <v>141.6</v>
      </c>
      <c r="K607" s="13">
        <f ca="1">SUMIF('2.2⑤純増減→前工程費'!B:E,C607,'2.2⑤純増減→前工程費'!E:E)</f>
        <v>134.5</v>
      </c>
      <c r="L607" s="13">
        <f ca="1">SUMIF('2.6完成品'!C:D,C607,'2.6完成品'!D:D)</f>
        <v>0</v>
      </c>
      <c r="M607" s="13">
        <f ca="1">SUMIF('2.3研究費'!D:E,C607,'2.3研究費'!E:E)</f>
        <v>0</v>
      </c>
      <c r="N607" s="13">
        <f ca="1">SUMIF('2.4販促費'!D:E,C607,'2.4販促費'!E:E)</f>
        <v>0</v>
      </c>
      <c r="O607" s="13">
        <f ca="1">SUMIF('2.5廃棄処分'!D:E,C607,'2.5廃棄処分'!E:E)</f>
        <v>0</v>
      </c>
      <c r="P607" s="13">
        <f ca="1">SUMIF('2.1④異種原液'!D:E,C607,'2.1④異種原液'!E:E)</f>
        <v>0</v>
      </c>
      <c r="Q607" s="14">
        <f ca="1">SUMIF('2.7製造部生産分'!D:I,C607,'2.7製造部生産分'!H:H)</f>
        <v>136</v>
      </c>
      <c r="R607" s="15">
        <f ca="1">-(G607+H607+K607-L607-M607-N607-O607-P607-Q607-S607)</f>
        <v>-4.3999999999999941</v>
      </c>
      <c r="S607" s="13">
        <f ca="1">SUMIF('2.9原液在庫'!B:H,C607,'2.9原液在庫'!H:H)</f>
        <v>1.2</v>
      </c>
      <c r="T607" s="16">
        <f ca="1">IFERROR(SUM(G608:K608)/(G607+H607+K607),0)</f>
        <v>2184.2885370004674</v>
      </c>
      <c r="U607" s="17" t="str">
        <f>C607</f>
        <v>BG</v>
      </c>
      <c r="V607" s="18">
        <f ca="1">IF(ISERROR(SUM(G608:K608)/SUM(L607:Q607,S607)),0,SUM(G608:K608)/SUM(L607:Q607,S607))</f>
        <v>2254.3386067001907</v>
      </c>
      <c r="W607" s="19">
        <f ca="1">V607</f>
        <v>2254.3386067001907</v>
      </c>
      <c r="X607" s="20">
        <f ca="1">W607/1000</f>
        <v>2.2543386067001907</v>
      </c>
      <c r="Y607" s="26" t="s">
        <v>451</v>
      </c>
    </row>
    <row r="608" spans="1:25">
      <c r="A608" s="201"/>
      <c r="B608" s="201"/>
      <c r="C608" s="201"/>
      <c r="D608" s="199"/>
      <c r="E608" s="199"/>
      <c r="F608" s="21" t="s">
        <v>247</v>
      </c>
      <c r="G608" s="22">
        <v>5687.2568392661733</v>
      </c>
      <c r="H608" s="184"/>
      <c r="I608" s="23">
        <f ca="1">I607*労務費経費単価SC!D$7</f>
        <v>154100</v>
      </c>
      <c r="J608" s="23">
        <f ca="1">J607*労務費経費単価SC!D$11</f>
        <v>4248</v>
      </c>
      <c r="K608" s="22">
        <f ca="1">K607*$E607</f>
        <v>145260</v>
      </c>
      <c r="L608" s="22">
        <f ca="1">L607*$E607</f>
        <v>0</v>
      </c>
      <c r="M608" s="22">
        <f t="shared" ref="M608" ca="1" si="2101">M607*$E607</f>
        <v>0</v>
      </c>
      <c r="N608" s="22">
        <f t="shared" ref="N608" ca="1" si="2102">N607*$E607</f>
        <v>0</v>
      </c>
      <c r="O608" s="22">
        <f t="shared" ref="O608" ca="1" si="2103">O607*$E607</f>
        <v>0</v>
      </c>
      <c r="P608" s="22">
        <f t="shared" ref="P608" ca="1" si="2104">P607*$E607</f>
        <v>0</v>
      </c>
      <c r="Q608" s="22">
        <f t="shared" ref="Q608" ca="1" si="2105">Q607*$E607</f>
        <v>146880</v>
      </c>
      <c r="R608" s="22">
        <f t="shared" ref="R608" ca="1" si="2106">R607*$E607</f>
        <v>-4751.9999999999936</v>
      </c>
      <c r="S608" s="22">
        <f t="shared" ref="S608" ca="1" si="2107">S607*$E607</f>
        <v>1296</v>
      </c>
      <c r="U608" s="17"/>
      <c r="V608" s="18"/>
      <c r="W608" s="19"/>
      <c r="X608" s="20"/>
    </row>
    <row r="609" spans="1:25" ht="18">
      <c r="A609" s="200"/>
      <c r="B609" s="211"/>
      <c r="C609" s="200" t="s">
        <v>452</v>
      </c>
      <c r="D609" s="199" t="str">
        <f>VLOOKUP(C609,'仕掛品名寄（貼付）'!B:C,2,FALSE)</f>
        <v>その他</v>
      </c>
      <c r="E609" s="199">
        <f>VLOOKUP(D609,'仕掛品標準単価一覧表（貼付）'!B:G,6,FALSE)</f>
        <v>1080</v>
      </c>
      <c r="F609" s="12" t="s">
        <v>246</v>
      </c>
      <c r="G609" s="13">
        <v>0</v>
      </c>
      <c r="H609" s="13">
        <f ca="1">SUMIF('1.3②原材料使用'!B:E,C609,'1.3②原材料使用'!E:E)</f>
        <v>0</v>
      </c>
      <c r="I609" s="13">
        <f ca="1">SUMIF('2.10原液別作業時間'!A:B,C609,'2.10原液別作業時間'!B:B)</f>
        <v>0</v>
      </c>
      <c r="J609" s="13">
        <f ca="1">SUM(G609:H609,K609)</f>
        <v>0</v>
      </c>
      <c r="K609" s="13">
        <f ca="1">SUMIF('2.2⑤純増減→前工程費'!B:E,C609,'2.2⑤純増減→前工程費'!E:E)</f>
        <v>0</v>
      </c>
      <c r="L609" s="13">
        <f ca="1">SUMIF('2.6完成品'!C:D,C609,'2.6完成品'!D:D)</f>
        <v>0</v>
      </c>
      <c r="M609" s="13">
        <f ca="1">SUMIF('2.3研究費'!D:E,C609,'2.3研究費'!E:E)</f>
        <v>0</v>
      </c>
      <c r="N609" s="13">
        <f ca="1">SUMIF('2.4販促費'!D:E,C609,'2.4販促費'!E:E)</f>
        <v>0</v>
      </c>
      <c r="O609" s="13">
        <f ca="1">SUMIF('2.5廃棄処分'!D:E,C609,'2.5廃棄処分'!E:E)</f>
        <v>0</v>
      </c>
      <c r="P609" s="13">
        <f ca="1">SUMIF('2.1④異種原液'!D:E,C609,'2.1④異種原液'!E:E)</f>
        <v>0</v>
      </c>
      <c r="Q609" s="14">
        <f ca="1">SUMIF('2.7製造部生産分'!D:I,C609,'2.7製造部生産分'!H:H)</f>
        <v>0</v>
      </c>
      <c r="R609" s="15">
        <f ca="1">-(G609+H609+K609-L609-M609-N609-O609-P609-Q609-S609)</f>
        <v>0</v>
      </c>
      <c r="S609" s="13">
        <f ca="1">SUMIF('2.9原液在庫'!B:H,C609,'2.9原液在庫'!H:H)</f>
        <v>0</v>
      </c>
      <c r="T609" s="16">
        <f ca="1">IFERROR(SUM(G610:K610)/(G609+H609+K609),0)</f>
        <v>0</v>
      </c>
      <c r="U609" s="17" t="str">
        <f>C609</f>
        <v>BH</v>
      </c>
      <c r="V609" s="18">
        <f ca="1">IF(ISERROR(SUM(G610:K610)/SUM(L609:Q609,S609)),0,SUM(G610:K610)/SUM(L609:Q609,S609))</f>
        <v>0</v>
      </c>
      <c r="W609" s="19">
        <f ca="1">V609</f>
        <v>0</v>
      </c>
      <c r="X609" s="20">
        <f ca="1">W609/1000</f>
        <v>0</v>
      </c>
      <c r="Y609" s="26" t="s">
        <v>451</v>
      </c>
    </row>
    <row r="610" spans="1:25">
      <c r="A610" s="201"/>
      <c r="B610" s="201"/>
      <c r="C610" s="201"/>
      <c r="D610" s="199"/>
      <c r="E610" s="199"/>
      <c r="F610" s="21" t="s">
        <v>247</v>
      </c>
      <c r="G610" s="22" t="s">
        <v>254</v>
      </c>
      <c r="H610" s="184"/>
      <c r="I610" s="23">
        <f ca="1">I609*労務費経費単価SC!D$7</f>
        <v>0</v>
      </c>
      <c r="J610" s="23">
        <f ca="1">J609*労務費経費単価SC!D$11</f>
        <v>0</v>
      </c>
      <c r="K610" s="22">
        <f ca="1">K609*$E609</f>
        <v>0</v>
      </c>
      <c r="L610" s="22">
        <f ca="1">L609*$E609</f>
        <v>0</v>
      </c>
      <c r="M610" s="22">
        <f t="shared" ref="M610" ca="1" si="2108">M609*$E609</f>
        <v>0</v>
      </c>
      <c r="N610" s="22">
        <f t="shared" ref="N610" ca="1" si="2109">N609*$E609</f>
        <v>0</v>
      </c>
      <c r="O610" s="22">
        <f t="shared" ref="O610" ca="1" si="2110">O609*$E609</f>
        <v>0</v>
      </c>
      <c r="P610" s="22">
        <f t="shared" ref="P610" ca="1" si="2111">P609*$E609</f>
        <v>0</v>
      </c>
      <c r="Q610" s="22">
        <f t="shared" ref="Q610" ca="1" si="2112">Q609*$E609</f>
        <v>0</v>
      </c>
      <c r="R610" s="22">
        <f t="shared" ref="R610" ca="1" si="2113">R609*$E609</f>
        <v>0</v>
      </c>
      <c r="S610" s="22">
        <f t="shared" ref="S610" ca="1" si="2114">S609*$E609</f>
        <v>0</v>
      </c>
      <c r="U610" s="17"/>
      <c r="V610" s="18"/>
      <c r="W610" s="19"/>
      <c r="X610" s="20"/>
    </row>
    <row r="611" spans="1:25">
      <c r="A611" s="200"/>
      <c r="B611" s="211"/>
      <c r="C611" s="200" t="s">
        <v>453</v>
      </c>
      <c r="D611" s="199" t="str">
        <f>VLOOKUP(C611,'仕掛品名寄（貼付）'!B:C,2,FALSE)</f>
        <v>その他</v>
      </c>
      <c r="E611" s="199">
        <f>VLOOKUP(D611,'仕掛品標準単価一覧表（貼付）'!B:G,6,FALSE)</f>
        <v>1080</v>
      </c>
      <c r="F611" s="12" t="s">
        <v>246</v>
      </c>
      <c r="G611" s="24">
        <v>2</v>
      </c>
      <c r="H611" s="13">
        <f ca="1">SUMIF('1.3②原材料使用'!B:E,C611,'1.3②原材料使用'!E:E)</f>
        <v>0</v>
      </c>
      <c r="I611" s="13">
        <f ca="1">SUMIF('2.10原液別作業時間'!A:B,C611,'2.10原液別作業時間'!B:B)</f>
        <v>0</v>
      </c>
      <c r="J611" s="13">
        <f ca="1">SUM(G611:H611,K611)</f>
        <v>2</v>
      </c>
      <c r="K611" s="13">
        <f ca="1">SUMIF('2.2⑤純増減→前工程費'!B:E,C611,'2.2⑤純増減→前工程費'!E:E)</f>
        <v>0</v>
      </c>
      <c r="L611" s="13">
        <f ca="1">SUMIF('2.6完成品'!C:D,C611,'2.6完成品'!D:D)</f>
        <v>0</v>
      </c>
      <c r="M611" s="13">
        <f ca="1">SUMIF('2.3研究費'!D:E,C611,'2.3研究費'!E:E)</f>
        <v>0</v>
      </c>
      <c r="N611" s="13">
        <f ca="1">SUMIF('2.4販促費'!D:E,C611,'2.4販促費'!E:E)</f>
        <v>0</v>
      </c>
      <c r="O611" s="13">
        <f ca="1">SUMIF('2.5廃棄処分'!D:E,C611,'2.5廃棄処分'!E:E)</f>
        <v>0</v>
      </c>
      <c r="P611" s="13">
        <f ca="1">SUMIF('2.1④異種原液'!D:E,C611,'2.1④異種原液'!E:E)</f>
        <v>0</v>
      </c>
      <c r="Q611" s="14">
        <f ca="1">SUMIF('2.7製造部生産分'!D:I,C611,'2.7製造部生産分'!H:H)</f>
        <v>0</v>
      </c>
      <c r="R611" s="15">
        <f ca="1">-(G611+H611+K611-L611-M611-N611-O611-P611-Q611-S611)</f>
        <v>0</v>
      </c>
      <c r="S611" s="13">
        <f ca="1">SUMIF('2.9原液在庫'!B:H,C611,'2.9原液在庫'!H:H)</f>
        <v>2</v>
      </c>
      <c r="T611" s="16">
        <f ca="1">IFERROR(SUM(G612:K612)/(G611+H611+K611),0)</f>
        <v>4980.8884387254147</v>
      </c>
      <c r="U611" s="17" t="str">
        <f>C611</f>
        <v>BHA</v>
      </c>
      <c r="V611" s="18">
        <f ca="1">IF(ISERROR(SUM(G612:K612)/SUM(L611:Q611,S611)),0,SUM(G612:K612)/SUM(L611:Q611,S611))</f>
        <v>4980.8884387254147</v>
      </c>
      <c r="W611" s="19">
        <f ca="1">V611</f>
        <v>4980.8884387254147</v>
      </c>
      <c r="X611" s="20">
        <f ca="1">W611/1000</f>
        <v>4.9808884387254144</v>
      </c>
    </row>
    <row r="612" spans="1:25">
      <c r="A612" s="212"/>
      <c r="B612" s="212"/>
      <c r="C612" s="201"/>
      <c r="D612" s="199"/>
      <c r="E612" s="199"/>
      <c r="F612" s="21" t="s">
        <v>247</v>
      </c>
      <c r="G612" s="22">
        <v>9901.7768774508295</v>
      </c>
      <c r="H612" s="184"/>
      <c r="I612" s="23">
        <f ca="1">I611*労務費経費単価SC!D$7</f>
        <v>0</v>
      </c>
      <c r="J612" s="23">
        <f ca="1">J611*労務費経費単価SC!D$11</f>
        <v>60</v>
      </c>
      <c r="K612" s="22">
        <f ca="1">K611*$E611</f>
        <v>0</v>
      </c>
      <c r="L612" s="22">
        <f ca="1">L611*$E611</f>
        <v>0</v>
      </c>
      <c r="M612" s="22">
        <f t="shared" ref="M612" ca="1" si="2115">M611*$E611</f>
        <v>0</v>
      </c>
      <c r="N612" s="22">
        <f t="shared" ref="N612" ca="1" si="2116">N611*$E611</f>
        <v>0</v>
      </c>
      <c r="O612" s="22">
        <f t="shared" ref="O612" ca="1" si="2117">O611*$E611</f>
        <v>0</v>
      </c>
      <c r="P612" s="22">
        <f t="shared" ref="P612" ca="1" si="2118">P611*$E611</f>
        <v>0</v>
      </c>
      <c r="Q612" s="22">
        <f t="shared" ref="Q612" ca="1" si="2119">Q611*$E611</f>
        <v>0</v>
      </c>
      <c r="R612" s="22">
        <f t="shared" ref="R612" ca="1" si="2120">R611*$E611</f>
        <v>0</v>
      </c>
      <c r="S612" s="22">
        <f t="shared" ref="S612" ca="1" si="2121">S611*$E611</f>
        <v>2160</v>
      </c>
      <c r="U612" s="17"/>
      <c r="V612" s="18"/>
      <c r="W612" s="19"/>
      <c r="X612" s="20"/>
    </row>
    <row r="613" spans="1:25" ht="18">
      <c r="A613" s="200"/>
      <c r="B613" s="211"/>
      <c r="C613" s="200" t="s">
        <v>152</v>
      </c>
      <c r="D613" s="199" t="str">
        <f>VLOOKUP(C613,'仕掛品名寄（貼付）'!B:C,2,FALSE)</f>
        <v>BM</v>
      </c>
      <c r="E613" s="199">
        <f>VLOOKUP(D613,'仕掛品標準単価一覧表（貼付）'!B:G,6,FALSE)</f>
        <v>5780</v>
      </c>
      <c r="F613" s="12" t="s">
        <v>246</v>
      </c>
      <c r="G613" s="13">
        <v>452.5</v>
      </c>
      <c r="H613" s="13">
        <f ca="1">SUMIF('1.3②原材料使用'!B:E,C613,'1.3②原材料使用'!E:E)</f>
        <v>684</v>
      </c>
      <c r="I613" s="13">
        <f ca="1">SUMIF('2.10原液別作業時間'!A:B,C613,'2.10原液別作業時間'!B:B)</f>
        <v>1820</v>
      </c>
      <c r="J613" s="13">
        <f ca="1">SUM(G613:H613,K613)</f>
        <v>3034</v>
      </c>
      <c r="K613" s="13">
        <f ca="1">SUMIF('2.2⑤純増減→前工程費'!B:E,C613,'2.2⑤純増減→前工程費'!E:E)</f>
        <v>1897.5</v>
      </c>
      <c r="L613" s="13">
        <f ca="1">SUMIF('2.6完成品'!C:D,C613,'2.6完成品'!D:D)</f>
        <v>1288.0999999999999</v>
      </c>
      <c r="M613" s="13">
        <f ca="1">SUMIF('2.3研究費'!D:E,C613,'2.3研究費'!E:E)</f>
        <v>0</v>
      </c>
      <c r="N613" s="13">
        <f ca="1">SUMIF('2.4販促費'!D:E,C613,'2.4販促費'!E:E)</f>
        <v>0</v>
      </c>
      <c r="O613" s="13">
        <f ca="1">SUMIF('2.5廃棄処分'!D:E,C613,'2.5廃棄処分'!E:E)</f>
        <v>0</v>
      </c>
      <c r="P613" s="13">
        <f ca="1">SUMIF('2.1④異種原液'!D:E,C613,'2.1④異種原液'!E:E)</f>
        <v>0</v>
      </c>
      <c r="Q613" s="14">
        <f ca="1">SUMIF('2.7製造部生産分'!D:I,C613,'2.7製造部生産分'!H:H)</f>
        <v>0</v>
      </c>
      <c r="R613" s="15">
        <f ca="1">-(G613+H613+K613-L613-M613-N613-O613-P613-Q613-S613)</f>
        <v>-685.40000000000009</v>
      </c>
      <c r="S613" s="13">
        <f ca="1">SUMIF('2.9原液在庫'!B:H,C613,'2.9原液在庫'!H:H)</f>
        <v>1060.5</v>
      </c>
      <c r="T613" s="16">
        <f ca="1">IFERROR(SUM(G614:K614)/(G613+H613+K613),0)</f>
        <v>4480.5949553976589</v>
      </c>
      <c r="U613" s="17" t="str">
        <f>C613</f>
        <v>BM</v>
      </c>
      <c r="V613" s="18">
        <f ca="1">IF(ISERROR(SUM(G614:K614)/SUM(L613:Q613,S613)),0,SUM(G614:K614)/SUM(L613:Q613,S613))</f>
        <v>5788.1823616948386</v>
      </c>
      <c r="W613" s="19">
        <f ca="1">V613</f>
        <v>5788.1823616948386</v>
      </c>
      <c r="X613" s="20">
        <f ca="1">W613/1000</f>
        <v>5.7881823616948385</v>
      </c>
      <c r="Y613" s="26" t="s">
        <v>451</v>
      </c>
    </row>
    <row r="614" spans="1:25">
      <c r="A614" s="201"/>
      <c r="B614" s="201"/>
      <c r="C614" s="201"/>
      <c r="D614" s="199"/>
      <c r="E614" s="199"/>
      <c r="F614" s="21" t="s">
        <v>247</v>
      </c>
      <c r="G614" s="22">
        <v>1698355.0946764988</v>
      </c>
      <c r="H614" s="184"/>
      <c r="I614" s="23">
        <f ca="1">I613*労務費経費単価SC!D$7</f>
        <v>837200</v>
      </c>
      <c r="J614" s="23">
        <f ca="1">J613*労務費経費単価SC!D$11</f>
        <v>91020</v>
      </c>
      <c r="K614" s="22">
        <f ca="1">K613*$E613</f>
        <v>10967550</v>
      </c>
      <c r="L614" s="22">
        <f ca="1">L613*$E613</f>
        <v>7445217.9999999991</v>
      </c>
      <c r="M614" s="22">
        <f t="shared" ref="M614" ca="1" si="2122">M613*$E613</f>
        <v>0</v>
      </c>
      <c r="N614" s="22">
        <f t="shared" ref="N614" ca="1" si="2123">N613*$E613</f>
        <v>0</v>
      </c>
      <c r="O614" s="22">
        <f t="shared" ref="O614" ca="1" si="2124">O613*$E613</f>
        <v>0</v>
      </c>
      <c r="P614" s="22">
        <f t="shared" ref="P614" ca="1" si="2125">P613*$E613</f>
        <v>0</v>
      </c>
      <c r="Q614" s="22">
        <f t="shared" ref="Q614" ca="1" si="2126">Q613*$E613</f>
        <v>0</v>
      </c>
      <c r="R614" s="22">
        <f t="shared" ref="R614" ca="1" si="2127">R613*$E613</f>
        <v>-3961612.0000000005</v>
      </c>
      <c r="S614" s="22">
        <f t="shared" ref="S614" ca="1" si="2128">S613*$E613</f>
        <v>6129690</v>
      </c>
      <c r="U614" s="17"/>
      <c r="V614" s="18"/>
      <c r="W614" s="19"/>
      <c r="X614" s="20"/>
    </row>
    <row r="615" spans="1:25">
      <c r="A615" s="200"/>
      <c r="B615" s="211"/>
      <c r="C615" s="200" t="s">
        <v>454</v>
      </c>
      <c r="D615" s="199" t="str">
        <f>VLOOKUP(C615,'仕掛品名寄（貼付）'!B:C,2,FALSE)</f>
        <v>その他</v>
      </c>
      <c r="E615" s="199">
        <f>VLOOKUP(D615,'仕掛品標準単価一覧表（貼付）'!B:G,6,FALSE)</f>
        <v>1080</v>
      </c>
      <c r="F615" s="12" t="s">
        <v>246</v>
      </c>
      <c r="G615" s="13">
        <v>0</v>
      </c>
      <c r="H615" s="13">
        <f ca="1">SUMIF('1.3②原材料使用'!B:E,C615,'1.3②原材料使用'!E:E)</f>
        <v>0</v>
      </c>
      <c r="I615" s="13">
        <f ca="1">SUMIF('2.10原液別作業時間'!A:B,C615,'2.10原液別作業時間'!B:B)</f>
        <v>0</v>
      </c>
      <c r="J615" s="13">
        <f ca="1">SUM(G615:H615,K615)</f>
        <v>0</v>
      </c>
      <c r="K615" s="13">
        <f ca="1">SUMIF('2.2⑤純増減→前工程費'!B:E,C615,'2.2⑤純増減→前工程費'!E:E)</f>
        <v>0</v>
      </c>
      <c r="L615" s="13">
        <f ca="1">SUMIF('2.6完成品'!C:D,C615,'2.6完成品'!D:D)</f>
        <v>0</v>
      </c>
      <c r="M615" s="13">
        <f ca="1">SUMIF('2.3研究費'!D:E,C615,'2.3研究費'!E:E)</f>
        <v>0</v>
      </c>
      <c r="N615" s="13">
        <f ca="1">SUMIF('2.4販促費'!D:E,C615,'2.4販促費'!E:E)</f>
        <v>0</v>
      </c>
      <c r="O615" s="13">
        <f ca="1">SUMIF('2.5廃棄処分'!D:E,C615,'2.5廃棄処分'!E:E)</f>
        <v>0</v>
      </c>
      <c r="P615" s="13">
        <f ca="1">SUMIF('2.1④異種原液'!D:E,C615,'2.1④異種原液'!E:E)</f>
        <v>0</v>
      </c>
      <c r="Q615" s="14">
        <f ca="1">SUMIF('2.7製造部生産分'!D:I,C615,'2.7製造部生産分'!H:H)</f>
        <v>0</v>
      </c>
      <c r="R615" s="15">
        <f ca="1">-(G615+H615+K615-L615-M615-N615-O615-P615-Q615-S615)</f>
        <v>0</v>
      </c>
      <c r="S615" s="13">
        <f ca="1">SUMIF('2.9原液在庫'!B:H,C615,'2.9原液在庫'!H:H)</f>
        <v>0</v>
      </c>
      <c r="T615" s="16">
        <f ca="1">IFERROR(SUM(G616:K616)/(G615+H615+K615),0)</f>
        <v>0</v>
      </c>
      <c r="U615" s="17" t="str">
        <f>C615</f>
        <v>BK</v>
      </c>
      <c r="V615" s="18">
        <f ca="1">IF(ISERROR(SUM(G616:K616)/SUM(L615:Q615,S615)),0,SUM(G616:K616)/SUM(L615:Q615,S615))</f>
        <v>0</v>
      </c>
      <c r="W615" s="19">
        <f ca="1">V615</f>
        <v>0</v>
      </c>
      <c r="X615" s="20">
        <f ca="1">W615/1000</f>
        <v>0</v>
      </c>
    </row>
    <row r="616" spans="1:25">
      <c r="A616" s="201"/>
      <c r="B616" s="201"/>
      <c r="C616" s="201"/>
      <c r="D616" s="199"/>
      <c r="E616" s="199"/>
      <c r="F616" s="21" t="s">
        <v>247</v>
      </c>
      <c r="G616" s="22" t="s">
        <v>254</v>
      </c>
      <c r="H616" s="184"/>
      <c r="I616" s="23">
        <f ca="1">I615*労務費経費単価SC!D$7</f>
        <v>0</v>
      </c>
      <c r="J616" s="23">
        <f ca="1">J615*労務費経費単価SC!D$11</f>
        <v>0</v>
      </c>
      <c r="K616" s="22">
        <f ca="1">K615*$E615</f>
        <v>0</v>
      </c>
      <c r="L616" s="22">
        <f ca="1">L615*$E615</f>
        <v>0</v>
      </c>
      <c r="M616" s="22">
        <f t="shared" ref="M616" ca="1" si="2129">M615*$E615</f>
        <v>0</v>
      </c>
      <c r="N616" s="22">
        <f t="shared" ref="N616" ca="1" si="2130">N615*$E615</f>
        <v>0</v>
      </c>
      <c r="O616" s="22">
        <f t="shared" ref="O616" ca="1" si="2131">O615*$E615</f>
        <v>0</v>
      </c>
      <c r="P616" s="22">
        <f t="shared" ref="P616" ca="1" si="2132">P615*$E615</f>
        <v>0</v>
      </c>
      <c r="Q616" s="22">
        <f t="shared" ref="Q616" ca="1" si="2133">Q615*$E615</f>
        <v>0</v>
      </c>
      <c r="R616" s="22">
        <f t="shared" ref="R616" ca="1" si="2134">R615*$E615</f>
        <v>0</v>
      </c>
      <c r="S616" s="22">
        <f t="shared" ref="S616" ca="1" si="2135">S615*$E615</f>
        <v>0</v>
      </c>
      <c r="U616" s="17"/>
      <c r="V616" s="18"/>
      <c r="W616" s="19"/>
      <c r="X616" s="20"/>
    </row>
    <row r="617" spans="1:25">
      <c r="A617" s="200"/>
      <c r="B617" s="211"/>
      <c r="C617" s="200" t="s">
        <v>151</v>
      </c>
      <c r="D617" s="199" t="str">
        <f>VLOOKUP(C617,'仕掛品名寄（貼付）'!B:C,2,FALSE)</f>
        <v>その他</v>
      </c>
      <c r="E617" s="199">
        <f>VLOOKUP(D617,'仕掛品標準単価一覧表（貼付）'!B:G,6,FALSE)</f>
        <v>1080</v>
      </c>
      <c r="F617" s="12" t="s">
        <v>246</v>
      </c>
      <c r="G617" s="24">
        <v>0</v>
      </c>
      <c r="H617" s="13">
        <f ca="1">SUMIF('1.3②原材料使用'!B:E,C617,'1.3②原材料使用'!E:E)</f>
        <v>0</v>
      </c>
      <c r="I617" s="13">
        <f ca="1">SUMIF('2.10原液別作業時間'!A:B,C617,'2.10原液別作業時間'!B:B)</f>
        <v>0</v>
      </c>
      <c r="J617" s="13">
        <f ca="1">SUM(G617:H617,K617)</f>
        <v>0</v>
      </c>
      <c r="K617" s="13">
        <f ca="1">SUMIF('2.2⑤純増減→前工程費'!B:E,C617,'2.2⑤純増減→前工程費'!E:E)</f>
        <v>0</v>
      </c>
      <c r="L617" s="13">
        <f ca="1">SUMIF('2.6完成品'!C:D,C617,'2.6完成品'!D:D)</f>
        <v>0</v>
      </c>
      <c r="M617" s="13">
        <f ca="1">SUMIF('2.3研究費'!D:E,C617,'2.3研究費'!E:E)</f>
        <v>0</v>
      </c>
      <c r="N617" s="13">
        <f ca="1">SUMIF('2.4販促費'!D:E,C617,'2.4販促費'!E:E)</f>
        <v>0</v>
      </c>
      <c r="O617" s="13">
        <f ca="1">SUMIF('2.5廃棄処分'!D:E,C617,'2.5廃棄処分'!E:E)</f>
        <v>0</v>
      </c>
      <c r="P617" s="13">
        <f ca="1">SUMIF('2.1④異種原液'!D:E,C617,'2.1④異種原液'!E:E)</f>
        <v>0</v>
      </c>
      <c r="Q617" s="14">
        <f ca="1">SUMIF('2.7製造部生産分'!D:I,C617,'2.7製造部生産分'!H:H)</f>
        <v>0</v>
      </c>
      <c r="R617" s="15">
        <f ca="1">-(G617+H617+K617-L617-M617-N617-O617-P617-Q617-S617)</f>
        <v>0</v>
      </c>
      <c r="S617" s="13">
        <f ca="1">SUMIF('2.9原液在庫'!B:H,C617,'2.9原液在庫'!H:H)</f>
        <v>0</v>
      </c>
      <c r="T617" s="16">
        <f ca="1">IFERROR(SUM(G618:K618)/(G617+H617+K617),0)</f>
        <v>0</v>
      </c>
      <c r="U617" s="17" t="str">
        <f>C617</f>
        <v>BK1</v>
      </c>
      <c r="V617" s="18">
        <f ca="1">IF(ISERROR(SUM(G618:K618)/SUM(L617:Q617,S617)),0,SUM(G618:K618)/SUM(L617:Q617,S617))</f>
        <v>0</v>
      </c>
      <c r="W617" s="19">
        <f ca="1">V617</f>
        <v>0</v>
      </c>
      <c r="X617" s="20">
        <f ca="1">W617/1000</f>
        <v>0</v>
      </c>
    </row>
    <row r="618" spans="1:25">
      <c r="A618" s="201"/>
      <c r="B618" s="201"/>
      <c r="C618" s="201"/>
      <c r="D618" s="199"/>
      <c r="E618" s="199"/>
      <c r="F618" s="21" t="s">
        <v>247</v>
      </c>
      <c r="G618" s="22" t="s">
        <v>254</v>
      </c>
      <c r="H618" s="184"/>
      <c r="I618" s="23">
        <f ca="1">I617*労務費経費単価SC!D$7</f>
        <v>0</v>
      </c>
      <c r="J618" s="23">
        <f ca="1">J617*労務費経費単価SC!D$11</f>
        <v>0</v>
      </c>
      <c r="K618" s="22">
        <f ca="1">K617*$E617</f>
        <v>0</v>
      </c>
      <c r="L618" s="22">
        <f ca="1">L617*$E617</f>
        <v>0</v>
      </c>
      <c r="M618" s="22">
        <f t="shared" ref="M618" ca="1" si="2136">M617*$E617</f>
        <v>0</v>
      </c>
      <c r="N618" s="22">
        <f t="shared" ref="N618" ca="1" si="2137">N617*$E617</f>
        <v>0</v>
      </c>
      <c r="O618" s="22">
        <f t="shared" ref="O618" ca="1" si="2138">O617*$E617</f>
        <v>0</v>
      </c>
      <c r="P618" s="22">
        <f t="shared" ref="P618" ca="1" si="2139">P617*$E617</f>
        <v>0</v>
      </c>
      <c r="Q618" s="22">
        <f t="shared" ref="Q618" ca="1" si="2140">Q617*$E617</f>
        <v>0</v>
      </c>
      <c r="R618" s="22">
        <f t="shared" ref="R618" ca="1" si="2141">R617*$E617</f>
        <v>0</v>
      </c>
      <c r="S618" s="22">
        <f t="shared" ref="S618" ca="1" si="2142">S617*$E617</f>
        <v>0</v>
      </c>
      <c r="U618" s="17"/>
      <c r="V618" s="18"/>
      <c r="W618" s="19"/>
      <c r="X618" s="20"/>
    </row>
    <row r="619" spans="1:25">
      <c r="A619" s="200"/>
      <c r="B619" s="211"/>
      <c r="C619" s="200" t="s">
        <v>455</v>
      </c>
      <c r="D619" s="199" t="str">
        <f>VLOOKUP(C619,'仕掛品名寄（貼付）'!B:C,2,FALSE)</f>
        <v>その他</v>
      </c>
      <c r="E619" s="199">
        <f>VLOOKUP(D619,'仕掛品標準単価一覧表（貼付）'!B:G,6,FALSE)</f>
        <v>1080</v>
      </c>
      <c r="F619" s="12" t="s">
        <v>246</v>
      </c>
      <c r="G619" s="13">
        <v>0</v>
      </c>
      <c r="H619" s="13">
        <f ca="1">SUMIF('1.3②原材料使用'!B:E,C619,'1.3②原材料使用'!E:E)</f>
        <v>0</v>
      </c>
      <c r="I619" s="13">
        <f ca="1">SUMIF('2.10原液別作業時間'!A:B,C619,'2.10原液別作業時間'!B:B)</f>
        <v>0</v>
      </c>
      <c r="J619" s="13">
        <f ca="1">SUM(G619:H619,K619)</f>
        <v>0</v>
      </c>
      <c r="K619" s="13">
        <f ca="1">SUMIF('2.2⑤純増減→前工程費'!B:E,C619,'2.2⑤純増減→前工程費'!E:E)</f>
        <v>0</v>
      </c>
      <c r="L619" s="13">
        <f ca="1">SUMIF('2.6完成品'!C:D,C619,'2.6完成品'!D:D)</f>
        <v>0</v>
      </c>
      <c r="M619" s="13">
        <f ca="1">SUMIF('2.3研究費'!D:E,C619,'2.3研究費'!E:E)</f>
        <v>0</v>
      </c>
      <c r="N619" s="13">
        <f ca="1">SUMIF('2.4販促費'!D:E,C619,'2.4販促費'!E:E)</f>
        <v>0</v>
      </c>
      <c r="O619" s="13">
        <f ca="1">SUMIF('2.5廃棄処分'!D:E,C619,'2.5廃棄処分'!E:E)</f>
        <v>0</v>
      </c>
      <c r="P619" s="13">
        <f ca="1">SUMIF('2.1④異種原液'!D:E,C619,'2.1④異種原液'!E:E)</f>
        <v>0</v>
      </c>
      <c r="Q619" s="14">
        <f ca="1">SUMIF('2.7製造部生産分'!D:I,C619,'2.7製造部生産分'!H:H)</f>
        <v>0</v>
      </c>
      <c r="R619" s="15">
        <f ca="1">-(G619+H619+K619-L619-M619-N619-O619-P619-Q619-S619)</f>
        <v>0</v>
      </c>
      <c r="S619" s="13">
        <f ca="1">SUMIF('2.9原液在庫'!B:H,C619,'2.9原液在庫'!H:H)</f>
        <v>0</v>
      </c>
      <c r="T619" s="16">
        <f ca="1">IFERROR(SUM(G620:K620)/(G619+H619+K619),0)</f>
        <v>0</v>
      </c>
      <c r="U619" s="17" t="str">
        <f>C619</f>
        <v>BKN</v>
      </c>
      <c r="V619" s="18">
        <f ca="1">IF(ISERROR(SUM(G620:K620)/SUM(L619:Q619,S619)),0,SUM(G620:K620)/SUM(L619:Q619,S619))</f>
        <v>0</v>
      </c>
      <c r="W619" s="19">
        <f ca="1">V619</f>
        <v>0</v>
      </c>
      <c r="X619" s="20">
        <f ca="1">W619/1000</f>
        <v>0</v>
      </c>
    </row>
    <row r="620" spans="1:25">
      <c r="A620" s="201"/>
      <c r="B620" s="201"/>
      <c r="C620" s="201"/>
      <c r="D620" s="199"/>
      <c r="E620" s="199"/>
      <c r="F620" s="21" t="s">
        <v>247</v>
      </c>
      <c r="G620" s="22" t="s">
        <v>254</v>
      </c>
      <c r="H620" s="184"/>
      <c r="I620" s="23">
        <f ca="1">I619*労務費経費単価SC!D$7</f>
        <v>0</v>
      </c>
      <c r="J620" s="23">
        <f ca="1">J619*労務費経費単価SC!D$11</f>
        <v>0</v>
      </c>
      <c r="K620" s="22">
        <f ca="1">K619*$E619</f>
        <v>0</v>
      </c>
      <c r="L620" s="22">
        <f ca="1">L619*$E619</f>
        <v>0</v>
      </c>
      <c r="M620" s="22">
        <f t="shared" ref="M620" ca="1" si="2143">M619*$E619</f>
        <v>0</v>
      </c>
      <c r="N620" s="22">
        <f t="shared" ref="N620" ca="1" si="2144">N619*$E619</f>
        <v>0</v>
      </c>
      <c r="O620" s="22">
        <f t="shared" ref="O620" ca="1" si="2145">O619*$E619</f>
        <v>0</v>
      </c>
      <c r="P620" s="22">
        <f t="shared" ref="P620" ca="1" si="2146">P619*$E619</f>
        <v>0</v>
      </c>
      <c r="Q620" s="22">
        <f t="shared" ref="Q620" ca="1" si="2147">Q619*$E619</f>
        <v>0</v>
      </c>
      <c r="R620" s="22">
        <f t="shared" ref="R620" ca="1" si="2148">R619*$E619</f>
        <v>0</v>
      </c>
      <c r="S620" s="22">
        <f t="shared" ref="S620" ca="1" si="2149">S619*$E619</f>
        <v>0</v>
      </c>
      <c r="U620" s="17"/>
      <c r="V620" s="18"/>
      <c r="W620" s="19"/>
      <c r="X620" s="20"/>
    </row>
    <row r="621" spans="1:25">
      <c r="A621" s="200"/>
      <c r="B621" s="211"/>
      <c r="C621" s="200" t="s">
        <v>456</v>
      </c>
      <c r="D621" s="199" t="str">
        <f>VLOOKUP(C621,'仕掛品名寄（貼付）'!B:C,2,FALSE)</f>
        <v>その他</v>
      </c>
      <c r="E621" s="199">
        <f>VLOOKUP(D621,'仕掛品標準単価一覧表（貼付）'!B:G,6,FALSE)</f>
        <v>1080</v>
      </c>
      <c r="F621" s="12" t="s">
        <v>246</v>
      </c>
      <c r="G621" s="13">
        <v>0</v>
      </c>
      <c r="H621" s="13">
        <f ca="1">SUMIF('1.3②原材料使用'!B:E,C621,'1.3②原材料使用'!E:E)</f>
        <v>0</v>
      </c>
      <c r="I621" s="13">
        <f ca="1">SUMIF('2.10原液別作業時間'!A:B,C621,'2.10原液別作業時間'!B:B)</f>
        <v>0</v>
      </c>
      <c r="J621" s="13">
        <f ca="1">SUM(G621:H621,K621)</f>
        <v>0</v>
      </c>
      <c r="K621" s="13">
        <f ca="1">SUMIF('2.2⑤純増減→前工程費'!B:E,C621,'2.2⑤純増減→前工程費'!E:E)</f>
        <v>0</v>
      </c>
      <c r="L621" s="13">
        <f ca="1">SUMIF('2.6完成品'!C:D,C621,'2.6完成品'!D:D)</f>
        <v>0</v>
      </c>
      <c r="M621" s="13">
        <f ca="1">SUMIF('2.3研究費'!D:E,C621,'2.3研究費'!E:E)</f>
        <v>0</v>
      </c>
      <c r="N621" s="13">
        <f ca="1">SUMIF('2.4販促費'!D:E,C621,'2.4販促費'!E:E)</f>
        <v>0</v>
      </c>
      <c r="O621" s="13">
        <f ca="1">SUMIF('2.5廃棄処分'!D:E,C621,'2.5廃棄処分'!E:E)</f>
        <v>0</v>
      </c>
      <c r="P621" s="13">
        <f ca="1">SUMIF('2.1④異種原液'!D:E,C621,'2.1④異種原液'!E:E)</f>
        <v>0</v>
      </c>
      <c r="Q621" s="14">
        <f ca="1">SUMIF('2.7製造部生産分'!D:I,C621,'2.7製造部生産分'!H:H)</f>
        <v>0</v>
      </c>
      <c r="R621" s="15">
        <f ca="1">-(G621+H621+K621-L621-M621-N621-O621-P621-Q621-S621)</f>
        <v>0</v>
      </c>
      <c r="S621" s="13">
        <f ca="1">SUMIF('2.9原液在庫'!B:H,C621,'2.9原液在庫'!H:H)</f>
        <v>0</v>
      </c>
      <c r="T621" s="16">
        <f ca="1">IFERROR(SUM(G622:K622)/(G621+H621+K621),0)</f>
        <v>0</v>
      </c>
      <c r="U621" s="17" t="str">
        <f>C621</f>
        <v>BLK</v>
      </c>
      <c r="V621" s="18">
        <f ca="1">IF(ISERROR(SUM(G622:K622)/SUM(L621:Q621,S621)),0,SUM(G622:K622)/SUM(L621:Q621,S621))</f>
        <v>0</v>
      </c>
      <c r="W621" s="19">
        <f ca="1">V621</f>
        <v>0</v>
      </c>
      <c r="X621" s="20">
        <f ca="1">W621/1000</f>
        <v>0</v>
      </c>
    </row>
    <row r="622" spans="1:25">
      <c r="A622" s="201"/>
      <c r="B622" s="201"/>
      <c r="C622" s="201"/>
      <c r="D622" s="199"/>
      <c r="E622" s="199"/>
      <c r="F622" s="21" t="s">
        <v>247</v>
      </c>
      <c r="G622" s="22" t="s">
        <v>254</v>
      </c>
      <c r="H622" s="184"/>
      <c r="I622" s="23">
        <f ca="1">I621*労務費経費単価SC!D$7</f>
        <v>0</v>
      </c>
      <c r="J622" s="23">
        <f ca="1">J621*労務費経費単価SC!D$11</f>
        <v>0</v>
      </c>
      <c r="K622" s="22">
        <f ca="1">K621*$E621</f>
        <v>0</v>
      </c>
      <c r="L622" s="22">
        <f ca="1">L621*$E621</f>
        <v>0</v>
      </c>
      <c r="M622" s="22">
        <f t="shared" ref="M622" ca="1" si="2150">M621*$E621</f>
        <v>0</v>
      </c>
      <c r="N622" s="22">
        <f t="shared" ref="N622" ca="1" si="2151">N621*$E621</f>
        <v>0</v>
      </c>
      <c r="O622" s="22">
        <f t="shared" ref="O622" ca="1" si="2152">O621*$E621</f>
        <v>0</v>
      </c>
      <c r="P622" s="22">
        <f t="shared" ref="P622" ca="1" si="2153">P621*$E621</f>
        <v>0</v>
      </c>
      <c r="Q622" s="22">
        <f t="shared" ref="Q622" ca="1" si="2154">Q621*$E621</f>
        <v>0</v>
      </c>
      <c r="R622" s="22">
        <f t="shared" ref="R622" ca="1" si="2155">R621*$E621</f>
        <v>0</v>
      </c>
      <c r="S622" s="22">
        <f t="shared" ref="S622" ca="1" si="2156">S621*$E621</f>
        <v>0</v>
      </c>
      <c r="U622" s="17"/>
      <c r="V622" s="18"/>
      <c r="W622" s="19"/>
      <c r="X622" s="20"/>
    </row>
    <row r="623" spans="1:25">
      <c r="A623" s="200"/>
      <c r="B623" s="211"/>
      <c r="C623" s="200" t="s">
        <v>457</v>
      </c>
      <c r="D623" s="199" t="str">
        <f>VLOOKUP(C623,'仕掛品名寄（貼付）'!B:C,2,FALSE)</f>
        <v>その他</v>
      </c>
      <c r="E623" s="199">
        <f>VLOOKUP(D623,'仕掛品標準単価一覧表（貼付）'!B:G,6,FALSE)</f>
        <v>1080</v>
      </c>
      <c r="F623" s="12" t="s">
        <v>246</v>
      </c>
      <c r="G623" s="13">
        <v>0</v>
      </c>
      <c r="H623" s="13">
        <f ca="1">SUMIF('1.3②原材料使用'!B:E,C623,'1.3②原材料使用'!E:E)</f>
        <v>0</v>
      </c>
      <c r="I623" s="13">
        <f ca="1">SUMIF('2.10原液別作業時間'!A:B,C623,'2.10原液別作業時間'!B:B)</f>
        <v>0</v>
      </c>
      <c r="J623" s="13">
        <f ca="1">SUM(G623:H623,K623)</f>
        <v>0</v>
      </c>
      <c r="K623" s="13">
        <f ca="1">SUMIF('2.2⑤純増減→前工程費'!B:E,C623,'2.2⑤純増減→前工程費'!E:E)</f>
        <v>0</v>
      </c>
      <c r="L623" s="13">
        <f ca="1">SUMIF('2.6完成品'!C:D,C623,'2.6完成品'!D:D)</f>
        <v>0</v>
      </c>
      <c r="M623" s="13">
        <f ca="1">SUMIF('2.3研究費'!D:E,C623,'2.3研究費'!E:E)</f>
        <v>0</v>
      </c>
      <c r="N623" s="13">
        <f ca="1">SUMIF('2.4販促費'!D:E,C623,'2.4販促費'!E:E)</f>
        <v>0</v>
      </c>
      <c r="O623" s="13">
        <f ca="1">SUMIF('2.5廃棄処分'!D:E,C623,'2.5廃棄処分'!E:E)</f>
        <v>0</v>
      </c>
      <c r="P623" s="13">
        <f ca="1">SUMIF('2.1④異種原液'!D:E,C623,'2.1④異種原液'!E:E)</f>
        <v>0</v>
      </c>
      <c r="Q623" s="14">
        <f ca="1">SUMIF('2.7製造部生産分'!D:I,C623,'2.7製造部生産分'!H:H)</f>
        <v>0</v>
      </c>
      <c r="R623" s="15">
        <f ca="1">-(G623+H623+K623-L623-M623-N623-O623-P623-Q623-S623)</f>
        <v>0</v>
      </c>
      <c r="S623" s="13">
        <f ca="1">SUMIF('2.9原液在庫'!B:H,C623,'2.9原液在庫'!H:H)</f>
        <v>0</v>
      </c>
      <c r="T623" s="16">
        <f ca="1">IFERROR(SUM(G624:K624)/(G623+H623+K623),0)</f>
        <v>0</v>
      </c>
      <c r="U623" s="17" t="str">
        <f>C623</f>
        <v>BLKN</v>
      </c>
      <c r="V623" s="18">
        <f ca="1">IF(ISERROR(SUM(G624:K624)/SUM(L623:Q623,S623)),0,SUM(G624:K624)/SUM(L623:Q623,S623))</f>
        <v>0</v>
      </c>
      <c r="W623" s="19">
        <f ca="1">V623</f>
        <v>0</v>
      </c>
      <c r="X623" s="20">
        <f ca="1">W623/1000</f>
        <v>0</v>
      </c>
    </row>
    <row r="624" spans="1:25">
      <c r="A624" s="201"/>
      <c r="B624" s="201"/>
      <c r="C624" s="201"/>
      <c r="D624" s="199"/>
      <c r="E624" s="199"/>
      <c r="F624" s="21" t="s">
        <v>247</v>
      </c>
      <c r="G624" s="22" t="s">
        <v>254</v>
      </c>
      <c r="H624" s="184"/>
      <c r="I624" s="23">
        <f ca="1">I623*労務費経費単価SC!D$7</f>
        <v>0</v>
      </c>
      <c r="J624" s="23">
        <f ca="1">J623*労務費経費単価SC!D$11</f>
        <v>0</v>
      </c>
      <c r="K624" s="22">
        <f ca="1">K623*$E623</f>
        <v>0</v>
      </c>
      <c r="L624" s="22">
        <f ca="1">L623*$E623</f>
        <v>0</v>
      </c>
      <c r="M624" s="22">
        <f t="shared" ref="M624" ca="1" si="2157">M623*$E623</f>
        <v>0</v>
      </c>
      <c r="N624" s="22">
        <f t="shared" ref="N624" ca="1" si="2158">N623*$E623</f>
        <v>0</v>
      </c>
      <c r="O624" s="22">
        <f t="shared" ref="O624" ca="1" si="2159">O623*$E623</f>
        <v>0</v>
      </c>
      <c r="P624" s="22">
        <f t="shared" ref="P624" ca="1" si="2160">P623*$E623</f>
        <v>0</v>
      </c>
      <c r="Q624" s="22">
        <f t="shared" ref="Q624" ca="1" si="2161">Q623*$E623</f>
        <v>0</v>
      </c>
      <c r="R624" s="22">
        <f t="shared" ref="R624" ca="1" si="2162">R623*$E623</f>
        <v>0</v>
      </c>
      <c r="S624" s="22">
        <f t="shared" ref="S624" ca="1" si="2163">S623*$E623</f>
        <v>0</v>
      </c>
      <c r="U624" s="17"/>
      <c r="V624" s="18"/>
      <c r="W624" s="19"/>
      <c r="X624" s="20"/>
    </row>
    <row r="625" spans="1:24">
      <c r="A625" s="200"/>
      <c r="B625" s="211"/>
      <c r="C625" s="200" t="s">
        <v>235</v>
      </c>
      <c r="D625" s="199" t="str">
        <f>VLOOKUP(C625,'仕掛品名寄（貼付）'!B:C,2,FALSE)</f>
        <v>その他</v>
      </c>
      <c r="E625" s="199">
        <f>VLOOKUP(D625,'仕掛品標準単価一覧表（貼付）'!B:G,6,FALSE)</f>
        <v>1080</v>
      </c>
      <c r="F625" s="12" t="s">
        <v>246</v>
      </c>
      <c r="G625" s="13">
        <v>0</v>
      </c>
      <c r="H625" s="13">
        <f ca="1">SUMIF('1.3②原材料使用'!B:E,C625,'1.3②原材料使用'!E:E)</f>
        <v>0</v>
      </c>
      <c r="I625" s="13">
        <f ca="1">SUMIF('2.10原液別作業時間'!A:B,C625,'2.10原液別作業時間'!B:B)</f>
        <v>0</v>
      </c>
      <c r="J625" s="13">
        <f ca="1">SUM(G625:H625,K625)</f>
        <v>0</v>
      </c>
      <c r="K625" s="13">
        <f ca="1">SUMIF('2.2⑤純増減→前工程費'!B:E,C625,'2.2⑤純増減→前工程費'!E:E)</f>
        <v>0</v>
      </c>
      <c r="L625" s="13">
        <f ca="1">SUMIF('2.6完成品'!C:D,C625,'2.6完成品'!D:D)</f>
        <v>0</v>
      </c>
      <c r="M625" s="13">
        <f ca="1">SUMIF('2.3研究費'!D:E,C625,'2.3研究費'!E:E)</f>
        <v>0</v>
      </c>
      <c r="N625" s="13">
        <f ca="1">SUMIF('2.4販促費'!D:E,C625,'2.4販促費'!E:E)</f>
        <v>0</v>
      </c>
      <c r="O625" s="13">
        <f ca="1">SUMIF('2.5廃棄処分'!D:E,C625,'2.5廃棄処分'!E:E)</f>
        <v>0</v>
      </c>
      <c r="P625" s="13">
        <f ca="1">SUMIF('2.1④異種原液'!D:E,C625,'2.1④異種原液'!E:E)</f>
        <v>0</v>
      </c>
      <c r="Q625" s="14">
        <f ca="1">SUMIF('2.7製造部生産分'!D:I,C625,'2.7製造部生産分'!H:H)</f>
        <v>0</v>
      </c>
      <c r="R625" s="15">
        <f ca="1">-(G625+H625+K625-L625-M625-N625-O625-P625-Q625-S625)</f>
        <v>0</v>
      </c>
      <c r="S625" s="13">
        <f ca="1">SUMIF('2.9原液在庫'!B:H,C625,'2.9原液在庫'!H:H)</f>
        <v>0</v>
      </c>
      <c r="T625" s="16">
        <f ca="1">IFERROR(SUM(G626:K626)/(G625+H625+K625),0)</f>
        <v>0</v>
      </c>
      <c r="U625" s="17" t="str">
        <f>C625</f>
        <v>BW</v>
      </c>
      <c r="V625" s="18">
        <f ca="1">IF(ISERROR(SUM(G626:K626)/SUM(L625:Q625,S625)),0,SUM(G626:K626)/SUM(L625:Q625,S625))</f>
        <v>0</v>
      </c>
      <c r="W625" s="19">
        <f ca="1">V625</f>
        <v>0</v>
      </c>
      <c r="X625" s="20">
        <f ca="1">W625/1000</f>
        <v>0</v>
      </c>
    </row>
    <row r="626" spans="1:24">
      <c r="A626" s="201"/>
      <c r="B626" s="201"/>
      <c r="C626" s="201"/>
      <c r="D626" s="199"/>
      <c r="E626" s="199"/>
      <c r="F626" s="21" t="s">
        <v>247</v>
      </c>
      <c r="G626" s="22" t="s">
        <v>254</v>
      </c>
      <c r="H626" s="184"/>
      <c r="I626" s="23">
        <f ca="1">I625*労務費経費単価SC!D$7</f>
        <v>0</v>
      </c>
      <c r="J626" s="23">
        <f ca="1">J625*労務費経費単価SC!D$11</f>
        <v>0</v>
      </c>
      <c r="K626" s="22">
        <f ca="1">K625*$E625</f>
        <v>0</v>
      </c>
      <c r="L626" s="22">
        <f ca="1">L625*$E625</f>
        <v>0</v>
      </c>
      <c r="M626" s="22">
        <f t="shared" ref="M626" ca="1" si="2164">M625*$E625</f>
        <v>0</v>
      </c>
      <c r="N626" s="22">
        <f t="shared" ref="N626" ca="1" si="2165">N625*$E625</f>
        <v>0</v>
      </c>
      <c r="O626" s="22">
        <f t="shared" ref="O626" ca="1" si="2166">O625*$E625</f>
        <v>0</v>
      </c>
      <c r="P626" s="22">
        <f t="shared" ref="P626" ca="1" si="2167">P625*$E625</f>
        <v>0</v>
      </c>
      <c r="Q626" s="22">
        <f t="shared" ref="Q626" ca="1" si="2168">Q625*$E625</f>
        <v>0</v>
      </c>
      <c r="R626" s="22">
        <f t="shared" ref="R626" ca="1" si="2169">R625*$E625</f>
        <v>0</v>
      </c>
      <c r="S626" s="22">
        <f t="shared" ref="S626" ca="1" si="2170">S625*$E625</f>
        <v>0</v>
      </c>
      <c r="U626" s="17"/>
      <c r="V626" s="18"/>
      <c r="W626" s="19"/>
      <c r="X626" s="20"/>
    </row>
    <row r="627" spans="1:24">
      <c r="A627" s="200"/>
      <c r="B627" s="211"/>
      <c r="C627" s="200" t="s">
        <v>236</v>
      </c>
      <c r="D627" s="199" t="str">
        <f>VLOOKUP(C627,'仕掛品名寄（貼付）'!B:C,2,FALSE)</f>
        <v>その他</v>
      </c>
      <c r="E627" s="199">
        <f>VLOOKUP(D627,'仕掛品標準単価一覧表（貼付）'!B:G,6,FALSE)</f>
        <v>1080</v>
      </c>
      <c r="F627" s="12" t="s">
        <v>246</v>
      </c>
      <c r="G627" s="24">
        <v>461.5</v>
      </c>
      <c r="H627" s="13">
        <f ca="1">SUMIF('1.3②原材料使用'!B:E,C627,'1.3②原材料使用'!E:E)</f>
        <v>0</v>
      </c>
      <c r="I627" s="13">
        <f ca="1">SUMIF('2.10原液別作業時間'!A:B,C627,'2.10原液別作業時間'!B:B)</f>
        <v>0</v>
      </c>
      <c r="J627" s="13">
        <f ca="1">SUM(G627:H627,K627)</f>
        <v>461.5</v>
      </c>
      <c r="K627" s="13">
        <f ca="1">SUMIF('2.2⑤純増減→前工程費'!B:E,C627,'2.2⑤純増減→前工程費'!E:E)</f>
        <v>0</v>
      </c>
      <c r="L627" s="13">
        <f ca="1">SUMIF('2.6完成品'!C:D,C627,'2.6完成品'!D:D)</f>
        <v>0</v>
      </c>
      <c r="M627" s="13">
        <f ca="1">SUMIF('2.3研究費'!D:E,C627,'2.3研究費'!E:E)</f>
        <v>0</v>
      </c>
      <c r="N627" s="13">
        <f ca="1">SUMIF('2.4販促費'!D:E,C627,'2.4販促費'!E:E)</f>
        <v>0</v>
      </c>
      <c r="O627" s="13">
        <f ca="1">SUMIF('2.5廃棄処分'!D:E,C627,'2.5廃棄処分'!E:E)</f>
        <v>0</v>
      </c>
      <c r="P627" s="13">
        <f ca="1">SUMIF('2.1④異種原液'!D:E,C627,'2.1④異種原液'!E:E)</f>
        <v>0</v>
      </c>
      <c r="Q627" s="14">
        <f ca="1">SUMIF('2.7製造部生産分'!D:I,C627,'2.7製造部生産分'!H:H)</f>
        <v>0</v>
      </c>
      <c r="R627" s="15">
        <f ca="1">-(G627+H627+K627-L627-M627-N627-O627-P627-Q627-S627)</f>
        <v>0</v>
      </c>
      <c r="S627" s="13">
        <f ca="1">SUMIF('2.9原液在庫'!B:H,C627,'2.9原液在庫'!H:H)</f>
        <v>461.5</v>
      </c>
      <c r="T627" s="16">
        <f ca="1">IFERROR(SUM(G628:K628)/(G627+H627+K627),0)</f>
        <v>1138.2126034496771</v>
      </c>
      <c r="U627" s="17" t="str">
        <f>C627</f>
        <v>BZ</v>
      </c>
      <c r="V627" s="18">
        <f ca="1">IF(ISERROR(SUM(G628:K628)/SUM(L627:Q627,S627)),0,SUM(G628:K628)/SUM(L627:Q627,S627))</f>
        <v>1138.2126034496771</v>
      </c>
      <c r="W627" s="19">
        <f ca="1">V627</f>
        <v>1138.2126034496771</v>
      </c>
      <c r="X627" s="20">
        <f ca="1">W627/1000</f>
        <v>1.1382126034496771</v>
      </c>
    </row>
    <row r="628" spans="1:24">
      <c r="A628" s="201"/>
      <c r="B628" s="201"/>
      <c r="C628" s="201"/>
      <c r="D628" s="199"/>
      <c r="E628" s="199"/>
      <c r="F628" s="21" t="s">
        <v>247</v>
      </c>
      <c r="G628" s="22">
        <v>511440.11649202596</v>
      </c>
      <c r="H628" s="184"/>
      <c r="I628" s="23">
        <f ca="1">I627*労務費経費単価SC!D$7</f>
        <v>0</v>
      </c>
      <c r="J628" s="23">
        <f ca="1">J627*労務費経費単価SC!D$11</f>
        <v>13845</v>
      </c>
      <c r="K628" s="22">
        <f ca="1">K627*$E627</f>
        <v>0</v>
      </c>
      <c r="L628" s="22">
        <f ca="1">L627*$E627</f>
        <v>0</v>
      </c>
      <c r="M628" s="22">
        <f t="shared" ref="M628" ca="1" si="2171">M627*$E627</f>
        <v>0</v>
      </c>
      <c r="N628" s="22">
        <f t="shared" ref="N628" ca="1" si="2172">N627*$E627</f>
        <v>0</v>
      </c>
      <c r="O628" s="22">
        <f t="shared" ref="O628" ca="1" si="2173">O627*$E627</f>
        <v>0</v>
      </c>
      <c r="P628" s="22">
        <f t="shared" ref="P628" ca="1" si="2174">P627*$E627</f>
        <v>0</v>
      </c>
      <c r="Q628" s="22">
        <f t="shared" ref="Q628" ca="1" si="2175">Q627*$E627</f>
        <v>0</v>
      </c>
      <c r="R628" s="22">
        <f t="shared" ref="R628" ca="1" si="2176">R627*$E627</f>
        <v>0</v>
      </c>
      <c r="S628" s="22">
        <f t="shared" ref="S628" ca="1" si="2177">S627*$E627</f>
        <v>498420</v>
      </c>
      <c r="U628" s="17"/>
      <c r="V628" s="18"/>
      <c r="W628" s="19"/>
      <c r="X628" s="20"/>
    </row>
    <row r="629" spans="1:24">
      <c r="A629" s="200"/>
      <c r="B629" s="211"/>
      <c r="C629" s="200" t="s">
        <v>458</v>
      </c>
      <c r="D629" s="199" t="str">
        <f>VLOOKUP(C629,'仕掛品名寄（貼付）'!B:C,2,FALSE)</f>
        <v>その他</v>
      </c>
      <c r="E629" s="199">
        <f>VLOOKUP(D629,'仕掛品標準単価一覧表（貼付）'!B:G,6,FALSE)</f>
        <v>1080</v>
      </c>
      <c r="F629" s="12" t="s">
        <v>246</v>
      </c>
      <c r="G629" s="13">
        <v>0</v>
      </c>
      <c r="H629" s="13">
        <f ca="1">SUMIF('1.3②原材料使用'!B:E,C629,'1.3②原材料使用'!E:E)</f>
        <v>0</v>
      </c>
      <c r="I629" s="13">
        <f ca="1">SUMIF('2.10原液別作業時間'!A:B,C629,'2.10原液別作業時間'!B:B)</f>
        <v>0</v>
      </c>
      <c r="J629" s="13">
        <f ca="1">SUM(G629:H629,K629)</f>
        <v>0</v>
      </c>
      <c r="K629" s="13">
        <f ca="1">SUMIF('2.2⑤純増減→前工程費'!B:E,C629,'2.2⑤純増減→前工程費'!E:E)</f>
        <v>0</v>
      </c>
      <c r="L629" s="13">
        <f ca="1">SUMIF('2.6完成品'!C:D,C629,'2.6完成品'!D:D)</f>
        <v>0</v>
      </c>
      <c r="M629" s="13">
        <f ca="1">SUMIF('2.3研究費'!D:E,C629,'2.3研究費'!E:E)</f>
        <v>0</v>
      </c>
      <c r="N629" s="13">
        <f ca="1">SUMIF('2.4販促費'!D:E,C629,'2.4販促費'!E:E)</f>
        <v>0</v>
      </c>
      <c r="O629" s="13">
        <f ca="1">SUMIF('2.5廃棄処分'!D:E,C629,'2.5廃棄処分'!E:E)</f>
        <v>0</v>
      </c>
      <c r="P629" s="13">
        <f ca="1">SUMIF('2.1④異種原液'!D:E,C629,'2.1④異種原液'!E:E)</f>
        <v>0</v>
      </c>
      <c r="Q629" s="14">
        <f ca="1">SUMIF('2.7製造部生産分'!D:I,C629,'2.7製造部生産分'!H:H)</f>
        <v>0</v>
      </c>
      <c r="R629" s="15">
        <f ca="1">-(G629+H629+K629-L629-M629-N629-O629-P629-Q629-S629)</f>
        <v>0</v>
      </c>
      <c r="S629" s="13">
        <f ca="1">SUMIF('2.9原液在庫'!B:H,C629,'2.9原液在庫'!H:H)</f>
        <v>0</v>
      </c>
      <c r="T629" s="16">
        <f ca="1">IFERROR(SUM(G630:K630)/(G629+H629+K629),0)</f>
        <v>0</v>
      </c>
      <c r="U629" s="17" t="str">
        <f>C629</f>
        <v>CA</v>
      </c>
      <c r="V629" s="18">
        <f ca="1">IF(ISERROR(SUM(G630:K630)/SUM(L629:Q629,S629)),0,SUM(G630:K630)/SUM(L629:Q629,S629))</f>
        <v>0</v>
      </c>
      <c r="W629" s="19">
        <f ca="1">V629</f>
        <v>0</v>
      </c>
      <c r="X629" s="20">
        <f ca="1">W629/1000</f>
        <v>0</v>
      </c>
    </row>
    <row r="630" spans="1:24">
      <c r="A630" s="201"/>
      <c r="B630" s="201"/>
      <c r="C630" s="201"/>
      <c r="D630" s="199"/>
      <c r="E630" s="199"/>
      <c r="F630" s="21" t="s">
        <v>247</v>
      </c>
      <c r="G630" s="22" t="s">
        <v>254</v>
      </c>
      <c r="H630" s="184"/>
      <c r="I630" s="23">
        <f ca="1">I629*労務費経費単価SC!D$7</f>
        <v>0</v>
      </c>
      <c r="J630" s="23">
        <f ca="1">J629*労務費経費単価SC!D$11</f>
        <v>0</v>
      </c>
      <c r="K630" s="22">
        <f ca="1">K629*$E629</f>
        <v>0</v>
      </c>
      <c r="L630" s="22">
        <f ca="1">L629*$E629</f>
        <v>0</v>
      </c>
      <c r="M630" s="22">
        <f t="shared" ref="M630" ca="1" si="2178">M629*$E629</f>
        <v>0</v>
      </c>
      <c r="N630" s="22">
        <f t="shared" ref="N630" ca="1" si="2179">N629*$E629</f>
        <v>0</v>
      </c>
      <c r="O630" s="22">
        <f t="shared" ref="O630" ca="1" si="2180">O629*$E629</f>
        <v>0</v>
      </c>
      <c r="P630" s="22">
        <f t="shared" ref="P630" ca="1" si="2181">P629*$E629</f>
        <v>0</v>
      </c>
      <c r="Q630" s="22">
        <f t="shared" ref="Q630" ca="1" si="2182">Q629*$E629</f>
        <v>0</v>
      </c>
      <c r="R630" s="22">
        <f t="shared" ref="R630" ca="1" si="2183">R629*$E629</f>
        <v>0</v>
      </c>
      <c r="S630" s="22">
        <f t="shared" ref="S630" ca="1" si="2184">S629*$E629</f>
        <v>0</v>
      </c>
      <c r="U630" s="17"/>
      <c r="V630" s="18"/>
      <c r="W630" s="19"/>
      <c r="X630" s="20"/>
    </row>
    <row r="631" spans="1:24">
      <c r="A631" s="200"/>
      <c r="B631" s="211"/>
      <c r="C631" s="200" t="s">
        <v>459</v>
      </c>
      <c r="D631" s="199" t="str">
        <f>VLOOKUP(C631,'仕掛品名寄（貼付）'!B:C,2,FALSE)</f>
        <v>その他</v>
      </c>
      <c r="E631" s="199">
        <f>VLOOKUP(D631,'仕掛品標準単価一覧表（貼付）'!B:G,6,FALSE)</f>
        <v>1080</v>
      </c>
      <c r="F631" s="12" t="s">
        <v>246</v>
      </c>
      <c r="G631" s="24">
        <v>0</v>
      </c>
      <c r="H631" s="13">
        <f ca="1">SUMIF('1.3②原材料使用'!B:E,C631,'1.3②原材料使用'!E:E)</f>
        <v>0</v>
      </c>
      <c r="I631" s="13">
        <f ca="1">SUMIF('2.10原液別作業時間'!A:B,C631,'2.10原液別作業時間'!B:B)</f>
        <v>0</v>
      </c>
      <c r="J631" s="13">
        <f ca="1">SUM(G631:H631,K631)</f>
        <v>0</v>
      </c>
      <c r="K631" s="13">
        <f ca="1">SUMIF('2.2⑤純増減→前工程費'!B:E,C631,'2.2⑤純増減→前工程費'!E:E)</f>
        <v>0</v>
      </c>
      <c r="L631" s="13">
        <f ca="1">SUMIF('2.6完成品'!C:D,C631,'2.6完成品'!D:D)</f>
        <v>0</v>
      </c>
      <c r="M631" s="13">
        <f ca="1">SUMIF('2.3研究費'!D:E,C631,'2.3研究費'!E:E)</f>
        <v>0</v>
      </c>
      <c r="N631" s="13">
        <f ca="1">SUMIF('2.4販促費'!D:E,C631,'2.4販促費'!E:E)</f>
        <v>0</v>
      </c>
      <c r="O631" s="13">
        <f ca="1">SUMIF('2.5廃棄処分'!D:E,C631,'2.5廃棄処分'!E:E)</f>
        <v>0</v>
      </c>
      <c r="P631" s="13">
        <f ca="1">SUMIF('2.1④異種原液'!D:E,C631,'2.1④異種原液'!E:E)</f>
        <v>0</v>
      </c>
      <c r="Q631" s="14">
        <f ca="1">SUMIF('2.7製造部生産分'!D:I,C631,'2.7製造部生産分'!H:H)</f>
        <v>0</v>
      </c>
      <c r="R631" s="15">
        <f ca="1">-(G631+H631+K631-L631-M631-N631-O631-P631-Q631-S631)</f>
        <v>0</v>
      </c>
      <c r="S631" s="13">
        <f ca="1">SUMIF('2.9原液在庫'!B:H,C631,'2.9原液在庫'!H:H)</f>
        <v>0</v>
      </c>
      <c r="T631" s="16">
        <f ca="1">IFERROR(SUM(G632:K632)/(G631+H631+K631),0)</f>
        <v>0</v>
      </c>
      <c r="U631" s="17" t="str">
        <f>C631</f>
        <v>CB</v>
      </c>
      <c r="V631" s="18">
        <f ca="1">IF(ISERROR(SUM(G632:K632)/SUM(L631:Q631,S631)),0,SUM(G632:K632)/SUM(L631:Q631,S631))</f>
        <v>0</v>
      </c>
      <c r="W631" s="19">
        <f ca="1">V631</f>
        <v>0</v>
      </c>
      <c r="X631" s="20">
        <f ca="1">W631/1000</f>
        <v>0</v>
      </c>
    </row>
    <row r="632" spans="1:24">
      <c r="A632" s="201"/>
      <c r="B632" s="201"/>
      <c r="C632" s="201"/>
      <c r="D632" s="199"/>
      <c r="E632" s="199"/>
      <c r="F632" s="21" t="s">
        <v>247</v>
      </c>
      <c r="G632" s="22" t="s">
        <v>254</v>
      </c>
      <c r="H632" s="184"/>
      <c r="I632" s="23">
        <f ca="1">I631*労務費経費単価SC!D$7</f>
        <v>0</v>
      </c>
      <c r="J632" s="23">
        <f ca="1">J631*労務費経費単価SC!D$11</f>
        <v>0</v>
      </c>
      <c r="K632" s="22">
        <f ca="1">K631*$E631</f>
        <v>0</v>
      </c>
      <c r="L632" s="22">
        <f ca="1">L631*$E631</f>
        <v>0</v>
      </c>
      <c r="M632" s="22">
        <f t="shared" ref="M632" ca="1" si="2185">M631*$E631</f>
        <v>0</v>
      </c>
      <c r="N632" s="22">
        <f t="shared" ref="N632" ca="1" si="2186">N631*$E631</f>
        <v>0</v>
      </c>
      <c r="O632" s="22">
        <f t="shared" ref="O632" ca="1" si="2187">O631*$E631</f>
        <v>0</v>
      </c>
      <c r="P632" s="22">
        <f t="shared" ref="P632" ca="1" si="2188">P631*$E631</f>
        <v>0</v>
      </c>
      <c r="Q632" s="22">
        <f t="shared" ref="Q632" ca="1" si="2189">Q631*$E631</f>
        <v>0</v>
      </c>
      <c r="R632" s="22">
        <f t="shared" ref="R632" ca="1" si="2190">R631*$E631</f>
        <v>0</v>
      </c>
      <c r="S632" s="22">
        <f t="shared" ref="S632" ca="1" si="2191">S631*$E631</f>
        <v>0</v>
      </c>
      <c r="U632" s="17"/>
      <c r="V632" s="18"/>
      <c r="W632" s="19"/>
      <c r="X632" s="20"/>
    </row>
    <row r="633" spans="1:24">
      <c r="A633" s="200"/>
      <c r="B633" s="211"/>
      <c r="C633" s="200" t="s">
        <v>460</v>
      </c>
      <c r="D633" s="199" t="str">
        <f>VLOOKUP(C633,'仕掛品名寄（貼付）'!B:C,2,FALSE)</f>
        <v>その他</v>
      </c>
      <c r="E633" s="199">
        <f>VLOOKUP(D633,'仕掛品標準単価一覧表（貼付）'!B:G,6,FALSE)</f>
        <v>1080</v>
      </c>
      <c r="F633" s="12" t="s">
        <v>246</v>
      </c>
      <c r="G633" s="13">
        <v>256</v>
      </c>
      <c r="H633" s="13">
        <f ca="1">SUMIF('1.3②原材料使用'!B:E,C633,'1.3②原材料使用'!E:E)</f>
        <v>0</v>
      </c>
      <c r="I633" s="13">
        <f ca="1">SUMIF('2.10原液別作業時間'!A:B,C633,'2.10原液別作業時間'!B:B)</f>
        <v>0</v>
      </c>
      <c r="J633" s="13">
        <f ca="1">SUM(G633:H633,K633)</f>
        <v>256</v>
      </c>
      <c r="K633" s="13">
        <f ca="1">SUMIF('2.2⑤純増減→前工程費'!B:E,C633,'2.2⑤純増減→前工程費'!E:E)</f>
        <v>0</v>
      </c>
      <c r="L633" s="13">
        <f ca="1">SUMIF('2.6完成品'!C:D,C633,'2.6完成品'!D:D)</f>
        <v>0</v>
      </c>
      <c r="M633" s="13">
        <f ca="1">SUMIF('2.3研究費'!D:E,C633,'2.3研究費'!E:E)</f>
        <v>0</v>
      </c>
      <c r="N633" s="13">
        <f ca="1">SUMIF('2.4販促費'!D:E,C633,'2.4販促費'!E:E)</f>
        <v>0</v>
      </c>
      <c r="O633" s="13">
        <f ca="1">SUMIF('2.5廃棄処分'!D:E,C633,'2.5廃棄処分'!E:E)</f>
        <v>0</v>
      </c>
      <c r="P633" s="13">
        <f ca="1">SUMIF('2.1④異種原液'!D:E,C633,'2.1④異種原液'!E:E)</f>
        <v>0</v>
      </c>
      <c r="Q633" s="14">
        <f ca="1">SUMIF('2.7製造部生産分'!D:I,C633,'2.7製造部生産分'!H:H)</f>
        <v>0</v>
      </c>
      <c r="R633" s="15">
        <f ca="1">-(G633+H633+K633-L633-M633-N633-O633-P633-Q633-S633)</f>
        <v>0</v>
      </c>
      <c r="S633" s="13">
        <f ca="1">SUMIF('2.9原液在庫'!B:H,C633,'2.9原液在庫'!H:H)</f>
        <v>256</v>
      </c>
      <c r="T633" s="16">
        <f ca="1">IFERROR(SUM(G634:K634)/(G633+H633+K633),0)</f>
        <v>851.22237822030286</v>
      </c>
      <c r="U633" s="17" t="str">
        <f>C633</f>
        <v>CC</v>
      </c>
      <c r="V633" s="18">
        <f ca="1">IF(ISERROR(SUM(G634:K634)/SUM(L633:Q633,S633)),0,SUM(G634:K634)/SUM(L633:Q633,S633))</f>
        <v>851.22237822030286</v>
      </c>
      <c r="W633" s="19">
        <f ca="1">V633</f>
        <v>851.22237822030286</v>
      </c>
      <c r="X633" s="20">
        <f ca="1">W633/1000</f>
        <v>0.85122237822030289</v>
      </c>
    </row>
    <row r="634" spans="1:24">
      <c r="A634" s="201"/>
      <c r="B634" s="201"/>
      <c r="C634" s="201"/>
      <c r="D634" s="199"/>
      <c r="E634" s="199"/>
      <c r="F634" s="21" t="s">
        <v>247</v>
      </c>
      <c r="G634" s="22">
        <v>210232.92882439753</v>
      </c>
      <c r="H634" s="184"/>
      <c r="I634" s="23">
        <f ca="1">I633*労務費経費単価SC!D$7</f>
        <v>0</v>
      </c>
      <c r="J634" s="23">
        <f ca="1">J633*労務費経費単価SC!D$11</f>
        <v>7680</v>
      </c>
      <c r="K634" s="22">
        <f ca="1">K633*$E633</f>
        <v>0</v>
      </c>
      <c r="L634" s="22">
        <f ca="1">L633*$E633</f>
        <v>0</v>
      </c>
      <c r="M634" s="22">
        <f t="shared" ref="M634" ca="1" si="2192">M633*$E633</f>
        <v>0</v>
      </c>
      <c r="N634" s="22">
        <f t="shared" ref="N634" ca="1" si="2193">N633*$E633</f>
        <v>0</v>
      </c>
      <c r="O634" s="22">
        <f t="shared" ref="O634" ca="1" si="2194">O633*$E633</f>
        <v>0</v>
      </c>
      <c r="P634" s="22">
        <f t="shared" ref="P634" ca="1" si="2195">P633*$E633</f>
        <v>0</v>
      </c>
      <c r="Q634" s="22">
        <f t="shared" ref="Q634" ca="1" si="2196">Q633*$E633</f>
        <v>0</v>
      </c>
      <c r="R634" s="22">
        <f t="shared" ref="R634" ca="1" si="2197">R633*$E633</f>
        <v>0</v>
      </c>
      <c r="S634" s="22">
        <f t="shared" ref="S634" ca="1" si="2198">S633*$E633</f>
        <v>276480</v>
      </c>
      <c r="U634" s="17"/>
      <c r="V634" s="18"/>
      <c r="W634" s="19"/>
      <c r="X634" s="20"/>
    </row>
    <row r="635" spans="1:24">
      <c r="A635" s="200"/>
      <c r="B635" s="211"/>
      <c r="C635" s="200" t="s">
        <v>461</v>
      </c>
      <c r="D635" s="199" t="str">
        <f>VLOOKUP(C635,'仕掛品名寄（貼付）'!B:C,2,FALSE)</f>
        <v>その他</v>
      </c>
      <c r="E635" s="199">
        <f>VLOOKUP(D635,'仕掛品標準単価一覧表（貼付）'!B:G,6,FALSE)</f>
        <v>1080</v>
      </c>
      <c r="F635" s="12" t="s">
        <v>246</v>
      </c>
      <c r="G635" s="13">
        <v>267</v>
      </c>
      <c r="H635" s="13">
        <f ca="1">SUMIF('1.3②原材料使用'!B:E,C635,'1.3②原材料使用'!E:E)</f>
        <v>0</v>
      </c>
      <c r="I635" s="13">
        <f ca="1">SUMIF('2.10原液別作業時間'!A:B,C635,'2.10原液別作業時間'!B:B)</f>
        <v>0</v>
      </c>
      <c r="J635" s="13">
        <f ca="1">SUM(G635:H635,K635)</f>
        <v>267</v>
      </c>
      <c r="K635" s="13">
        <f ca="1">SUMIF('2.2⑤純増減→前工程費'!B:E,C635,'2.2⑤純増減→前工程費'!E:E)</f>
        <v>0</v>
      </c>
      <c r="L635" s="13">
        <f ca="1">SUMIF('2.6完成品'!C:D,C635,'2.6完成品'!D:D)</f>
        <v>0</v>
      </c>
      <c r="M635" s="13">
        <f ca="1">SUMIF('2.3研究費'!D:E,C635,'2.3研究費'!E:E)</f>
        <v>0</v>
      </c>
      <c r="N635" s="13">
        <f ca="1">SUMIF('2.4販促費'!D:E,C635,'2.4販促費'!E:E)</f>
        <v>0</v>
      </c>
      <c r="O635" s="13">
        <f ca="1">SUMIF('2.5廃棄処分'!D:E,C635,'2.5廃棄処分'!E:E)</f>
        <v>0</v>
      </c>
      <c r="P635" s="13">
        <f ca="1">SUMIF('2.1④異種原液'!D:E,C635,'2.1④異種原液'!E:E)</f>
        <v>0</v>
      </c>
      <c r="Q635" s="14">
        <f ca="1">SUMIF('2.7製造部生産分'!D:I,C635,'2.7製造部生産分'!H:H)</f>
        <v>0</v>
      </c>
      <c r="R635" s="15">
        <f ca="1">-(G635+H635+K635-L635-M635-N635-O635-P635-Q635-S635)</f>
        <v>0</v>
      </c>
      <c r="S635" s="13">
        <f ca="1">SUMIF('2.9原液在庫'!B:H,C635,'2.9原液在庫'!H:H)</f>
        <v>267</v>
      </c>
      <c r="T635" s="16">
        <f ca="1">IFERROR(SUM(G636:K636)/(G635+H635+K635),0)</f>
        <v>2080.9956912317889</v>
      </c>
      <c r="U635" s="17" t="str">
        <f>C635</f>
        <v>CD</v>
      </c>
      <c r="V635" s="18">
        <f ca="1">IF(ISERROR(SUM(G636:K636)/SUM(L635:Q635,S635)),0,SUM(G636:K636)/SUM(L635:Q635,S635))</f>
        <v>2080.9956912317889</v>
      </c>
      <c r="W635" s="19">
        <f ca="1">V635</f>
        <v>2080.9956912317889</v>
      </c>
      <c r="X635" s="20">
        <f ca="1">W635/1000</f>
        <v>2.0809956912317888</v>
      </c>
    </row>
    <row r="636" spans="1:24">
      <c r="A636" s="201"/>
      <c r="B636" s="201"/>
      <c r="C636" s="201"/>
      <c r="D636" s="199"/>
      <c r="E636" s="199"/>
      <c r="F636" s="21" t="s">
        <v>247</v>
      </c>
      <c r="G636" s="22">
        <v>547615.84955888765</v>
      </c>
      <c r="H636" s="184"/>
      <c r="I636" s="23">
        <f ca="1">I635*労務費経費単価SC!D$7</f>
        <v>0</v>
      </c>
      <c r="J636" s="23">
        <f ca="1">J635*労務費経費単価SC!D$11</f>
        <v>8010</v>
      </c>
      <c r="K636" s="22">
        <f ca="1">K635*$E635</f>
        <v>0</v>
      </c>
      <c r="L636" s="22">
        <f ca="1">L635*$E635</f>
        <v>0</v>
      </c>
      <c r="M636" s="22">
        <f t="shared" ref="M636" ca="1" si="2199">M635*$E635</f>
        <v>0</v>
      </c>
      <c r="N636" s="22">
        <f t="shared" ref="N636" ca="1" si="2200">N635*$E635</f>
        <v>0</v>
      </c>
      <c r="O636" s="22">
        <f t="shared" ref="O636" ca="1" si="2201">O635*$E635</f>
        <v>0</v>
      </c>
      <c r="P636" s="22">
        <f t="shared" ref="P636" ca="1" si="2202">P635*$E635</f>
        <v>0</v>
      </c>
      <c r="Q636" s="22">
        <f t="shared" ref="Q636" ca="1" si="2203">Q635*$E635</f>
        <v>0</v>
      </c>
      <c r="R636" s="22">
        <f t="shared" ref="R636" ca="1" si="2204">R635*$E635</f>
        <v>0</v>
      </c>
      <c r="S636" s="22">
        <f t="shared" ref="S636" ca="1" si="2205">S635*$E635</f>
        <v>288360</v>
      </c>
      <c r="U636" s="17"/>
      <c r="V636" s="18"/>
      <c r="W636" s="19"/>
      <c r="X636" s="20"/>
    </row>
    <row r="637" spans="1:24">
      <c r="A637" s="200"/>
      <c r="B637" s="211"/>
      <c r="C637" s="200" t="s">
        <v>153</v>
      </c>
      <c r="D637" s="199" t="str">
        <f>VLOOKUP(C637,'仕掛品名寄（貼付）'!B:C,2,FALSE)</f>
        <v>その他</v>
      </c>
      <c r="E637" s="199">
        <f>VLOOKUP(D637,'仕掛品標準単価一覧表（貼付）'!B:G,6,FALSE)</f>
        <v>1080</v>
      </c>
      <c r="F637" s="12" t="s">
        <v>246</v>
      </c>
      <c r="G637" s="13">
        <v>0</v>
      </c>
      <c r="H637" s="13">
        <f ca="1">SUMIF('1.3②原材料使用'!B:E,C637,'1.3②原材料使用'!E:E)</f>
        <v>0</v>
      </c>
      <c r="I637" s="13">
        <f ca="1">SUMIF('2.10原液別作業時間'!A:B,C637,'2.10原液別作業時間'!B:B)</f>
        <v>0</v>
      </c>
      <c r="J637" s="13">
        <f ca="1">SUM(G637:H637,K637)</f>
        <v>0</v>
      </c>
      <c r="K637" s="13">
        <f ca="1">SUMIF('2.2⑤純増減→前工程費'!B:E,C637,'2.2⑤純増減→前工程費'!E:E)</f>
        <v>0</v>
      </c>
      <c r="L637" s="13">
        <f ca="1">SUMIF('2.6完成品'!C:D,C637,'2.6完成品'!D:D)</f>
        <v>0</v>
      </c>
      <c r="M637" s="13">
        <f ca="1">SUMIF('2.3研究費'!D:E,C637,'2.3研究費'!E:E)</f>
        <v>0</v>
      </c>
      <c r="N637" s="13">
        <f ca="1">SUMIF('2.4販促費'!D:E,C637,'2.4販促費'!E:E)</f>
        <v>0</v>
      </c>
      <c r="O637" s="13">
        <f ca="1">SUMIF('2.5廃棄処分'!D:E,C637,'2.5廃棄処分'!E:E)</f>
        <v>0</v>
      </c>
      <c r="P637" s="13">
        <f ca="1">SUMIF('2.1④異種原液'!D:E,C637,'2.1④異種原液'!E:E)</f>
        <v>0</v>
      </c>
      <c r="Q637" s="14">
        <f ca="1">SUMIF('2.7製造部生産分'!D:I,C637,'2.7製造部生産分'!H:H)</f>
        <v>0</v>
      </c>
      <c r="R637" s="15">
        <f ca="1">-(G637+H637+K637-L637-M637-N637-O637-P637-Q637-S637)</f>
        <v>0</v>
      </c>
      <c r="S637" s="13">
        <f ca="1">SUMIF('2.9原液在庫'!B:H,C637,'2.9原液在庫'!H:H)</f>
        <v>0</v>
      </c>
      <c r="T637" s="16">
        <f ca="1">IFERROR(SUM(G638:K638)/(G637+H637+K637),0)</f>
        <v>0</v>
      </c>
      <c r="U637" s="17" t="str">
        <f>C637</f>
        <v>CE</v>
      </c>
      <c r="V637" s="18">
        <f ca="1">IF(ISERROR(SUM(G638:K638)/SUM(L637:Q637,S637)),0,SUM(G638:K638)/SUM(L637:Q637,S637))</f>
        <v>0</v>
      </c>
      <c r="W637" s="19">
        <f ca="1">V637</f>
        <v>0</v>
      </c>
      <c r="X637" s="20">
        <f ca="1">W637/1000</f>
        <v>0</v>
      </c>
    </row>
    <row r="638" spans="1:24">
      <c r="A638" s="201"/>
      <c r="B638" s="201"/>
      <c r="C638" s="201"/>
      <c r="D638" s="199"/>
      <c r="E638" s="199"/>
      <c r="F638" s="21" t="s">
        <v>247</v>
      </c>
      <c r="G638" s="22" t="s">
        <v>254</v>
      </c>
      <c r="H638" s="184"/>
      <c r="I638" s="23">
        <f ca="1">I637*労務費経費単価SC!D$7</f>
        <v>0</v>
      </c>
      <c r="J638" s="23">
        <f ca="1">J637*労務費経費単価SC!D$11</f>
        <v>0</v>
      </c>
      <c r="K638" s="22">
        <f ca="1">K637*$E637</f>
        <v>0</v>
      </c>
      <c r="L638" s="22">
        <f ca="1">L637*$E637</f>
        <v>0</v>
      </c>
      <c r="M638" s="22">
        <f t="shared" ref="M638" ca="1" si="2206">M637*$E637</f>
        <v>0</v>
      </c>
      <c r="N638" s="22">
        <f t="shared" ref="N638" ca="1" si="2207">N637*$E637</f>
        <v>0</v>
      </c>
      <c r="O638" s="22">
        <f t="shared" ref="O638" ca="1" si="2208">O637*$E637</f>
        <v>0</v>
      </c>
      <c r="P638" s="22">
        <f t="shared" ref="P638" ca="1" si="2209">P637*$E637</f>
        <v>0</v>
      </c>
      <c r="Q638" s="22">
        <f t="shared" ref="Q638" ca="1" si="2210">Q637*$E637</f>
        <v>0</v>
      </c>
      <c r="R638" s="22">
        <f t="shared" ref="R638" ca="1" si="2211">R637*$E637</f>
        <v>0</v>
      </c>
      <c r="S638" s="22">
        <f t="shared" ref="S638" ca="1" si="2212">S637*$E637</f>
        <v>0</v>
      </c>
      <c r="U638" s="17"/>
      <c r="V638" s="18"/>
      <c r="W638" s="19"/>
      <c r="X638" s="20"/>
    </row>
    <row r="639" spans="1:24">
      <c r="A639" s="200"/>
      <c r="B639" s="211"/>
      <c r="C639" s="200" t="s">
        <v>462</v>
      </c>
      <c r="D639" s="199" t="str">
        <f>VLOOKUP(C639,'仕掛品名寄（貼付）'!B:C,2,FALSE)</f>
        <v>その他</v>
      </c>
      <c r="E639" s="199">
        <f>VLOOKUP(D639,'仕掛品標準単価一覧表（貼付）'!B:G,6,FALSE)</f>
        <v>1080</v>
      </c>
      <c r="F639" s="12" t="s">
        <v>246</v>
      </c>
      <c r="G639" s="13">
        <v>0</v>
      </c>
      <c r="H639" s="13">
        <f ca="1">SUMIF('1.3②原材料使用'!B:E,C639,'1.3②原材料使用'!E:E)</f>
        <v>0</v>
      </c>
      <c r="I639" s="13">
        <f ca="1">SUMIF('2.10原液別作業時間'!A:B,C639,'2.10原液別作業時間'!B:B)</f>
        <v>0</v>
      </c>
      <c r="J639" s="13">
        <f ca="1">SUM(G639:H639,K639)</f>
        <v>0</v>
      </c>
      <c r="K639" s="13">
        <f ca="1">SUMIF('2.2⑤純増減→前工程費'!B:E,C639,'2.2⑤純増減→前工程費'!E:E)</f>
        <v>0</v>
      </c>
      <c r="L639" s="13">
        <f ca="1">SUMIF('2.6完成品'!C:D,C639,'2.6完成品'!D:D)</f>
        <v>0</v>
      </c>
      <c r="M639" s="13">
        <f ca="1">SUMIF('2.3研究費'!D:E,C639,'2.3研究費'!E:E)</f>
        <v>0</v>
      </c>
      <c r="N639" s="13">
        <f ca="1">SUMIF('2.4販促費'!D:E,C639,'2.4販促費'!E:E)</f>
        <v>0</v>
      </c>
      <c r="O639" s="13">
        <f ca="1">SUMIF('2.5廃棄処分'!D:E,C639,'2.5廃棄処分'!E:E)</f>
        <v>0</v>
      </c>
      <c r="P639" s="13">
        <f ca="1">SUMIF('2.1④異種原液'!D:E,C639,'2.1④異種原液'!E:E)</f>
        <v>0</v>
      </c>
      <c r="Q639" s="14">
        <f ca="1">SUMIF('2.7製造部生産分'!D:I,C639,'2.7製造部生産分'!H:H)</f>
        <v>0</v>
      </c>
      <c r="R639" s="15">
        <f ca="1">-(G639+H639+K639-L639-M639-N639-O639-P639-Q639-S639)</f>
        <v>0</v>
      </c>
      <c r="S639" s="13">
        <f ca="1">SUMIF('2.9原液在庫'!B:H,C639,'2.9原液在庫'!H:H)</f>
        <v>0</v>
      </c>
      <c r="T639" s="16">
        <f ca="1">IFERROR(SUM(G640:K640)/(G639+H639+K639),0)</f>
        <v>0</v>
      </c>
      <c r="U639" s="17" t="str">
        <f>C639</f>
        <v>DA</v>
      </c>
      <c r="V639" s="18">
        <f ca="1">IF(ISERROR(SUM(G640:K640)/SUM(L639:Q639,S639)),0,SUM(G640:K640)/SUM(L639:Q639,S639))</f>
        <v>0</v>
      </c>
      <c r="W639" s="19">
        <f ca="1">V639</f>
        <v>0</v>
      </c>
      <c r="X639" s="20">
        <f ca="1">W639/1000</f>
        <v>0</v>
      </c>
    </row>
    <row r="640" spans="1:24">
      <c r="A640" s="201"/>
      <c r="B640" s="201"/>
      <c r="C640" s="201"/>
      <c r="D640" s="199"/>
      <c r="E640" s="199"/>
      <c r="F640" s="21" t="s">
        <v>247</v>
      </c>
      <c r="G640" s="22" t="s">
        <v>254</v>
      </c>
      <c r="H640" s="184"/>
      <c r="I640" s="23">
        <f ca="1">I639*労務費経費単価SC!D$7</f>
        <v>0</v>
      </c>
      <c r="J640" s="23">
        <f ca="1">J639*労務費経費単価SC!D$11</f>
        <v>0</v>
      </c>
      <c r="K640" s="22">
        <f ca="1">K639*$E639</f>
        <v>0</v>
      </c>
      <c r="L640" s="22">
        <f ca="1">L639*$E639</f>
        <v>0</v>
      </c>
      <c r="M640" s="22">
        <f t="shared" ref="M640" ca="1" si="2213">M639*$E639</f>
        <v>0</v>
      </c>
      <c r="N640" s="22">
        <f t="shared" ref="N640" ca="1" si="2214">N639*$E639</f>
        <v>0</v>
      </c>
      <c r="O640" s="22">
        <f t="shared" ref="O640" ca="1" si="2215">O639*$E639</f>
        <v>0</v>
      </c>
      <c r="P640" s="22">
        <f t="shared" ref="P640" ca="1" si="2216">P639*$E639</f>
        <v>0</v>
      </c>
      <c r="Q640" s="22">
        <f t="shared" ref="Q640" ca="1" si="2217">Q639*$E639</f>
        <v>0</v>
      </c>
      <c r="R640" s="22">
        <f t="shared" ref="R640" ca="1" si="2218">R639*$E639</f>
        <v>0</v>
      </c>
      <c r="S640" s="22">
        <f t="shared" ref="S640" ca="1" si="2219">S639*$E639</f>
        <v>0</v>
      </c>
      <c r="U640" s="17"/>
      <c r="V640" s="18"/>
      <c r="W640" s="19"/>
      <c r="X640" s="20"/>
    </row>
    <row r="641" spans="1:24">
      <c r="A641" s="200"/>
      <c r="B641" s="211"/>
      <c r="C641" s="200" t="s">
        <v>463</v>
      </c>
      <c r="D641" s="199" t="str">
        <f>VLOOKUP(C641,'仕掛品名寄（貼付）'!B:C,2,FALSE)</f>
        <v>その他</v>
      </c>
      <c r="E641" s="199">
        <f>VLOOKUP(D641,'仕掛品標準単価一覧表（貼付）'!B:G,6,FALSE)</f>
        <v>1080</v>
      </c>
      <c r="F641" s="12" t="s">
        <v>246</v>
      </c>
      <c r="G641" s="13">
        <v>0</v>
      </c>
      <c r="H641" s="13">
        <f ca="1">SUMIF('1.3②原材料使用'!B:E,C641,'1.3②原材料使用'!E:E)</f>
        <v>0</v>
      </c>
      <c r="I641" s="13">
        <f ca="1">SUMIF('2.10原液別作業時間'!A:B,C641,'2.10原液別作業時間'!B:B)</f>
        <v>0</v>
      </c>
      <c r="J641" s="13">
        <f ca="1">SUM(G641:H641,K641)</f>
        <v>0</v>
      </c>
      <c r="K641" s="13">
        <f ca="1">SUMIF('2.2⑤純増減→前工程費'!B:E,C641,'2.2⑤純増減→前工程費'!E:E)</f>
        <v>0</v>
      </c>
      <c r="L641" s="13">
        <f ca="1">SUMIF('2.6完成品'!C:D,C641,'2.6完成品'!D:D)</f>
        <v>0</v>
      </c>
      <c r="M641" s="13">
        <f ca="1">SUMIF('2.3研究費'!D:E,C641,'2.3研究費'!E:E)</f>
        <v>0</v>
      </c>
      <c r="N641" s="13">
        <f ca="1">SUMIF('2.4販促費'!D:E,C641,'2.4販促費'!E:E)</f>
        <v>0</v>
      </c>
      <c r="O641" s="13">
        <f ca="1">SUMIF('2.5廃棄処分'!D:E,C641,'2.5廃棄処分'!E:E)</f>
        <v>0</v>
      </c>
      <c r="P641" s="13">
        <f ca="1">SUMIF('2.1④異種原液'!D:E,C641,'2.1④異種原液'!E:E)</f>
        <v>0</v>
      </c>
      <c r="Q641" s="14">
        <f ca="1">SUMIF('2.7製造部生産分'!D:I,C641,'2.7製造部生産分'!H:H)</f>
        <v>0</v>
      </c>
      <c r="R641" s="15">
        <f ca="1">-(G641+H641+K641-L641-M641-N641-O641-P641-Q641-S641)</f>
        <v>0</v>
      </c>
      <c r="S641" s="13">
        <f ca="1">SUMIF('2.9原液在庫'!B:H,C641,'2.9原液在庫'!H:H)</f>
        <v>0</v>
      </c>
      <c r="T641" s="16">
        <f ca="1">IFERROR(SUM(G642:K642)/(G641+H641+K641),0)</f>
        <v>0</v>
      </c>
      <c r="U641" s="17" t="str">
        <f>C641</f>
        <v>DB</v>
      </c>
      <c r="V641" s="18">
        <f ca="1">IF(ISERROR(SUM(G642:K642)/SUM(L641:Q641,S641)),0,SUM(G642:K642)/SUM(L641:Q641,S641))</f>
        <v>0</v>
      </c>
      <c r="W641" s="19">
        <f ca="1">V641</f>
        <v>0</v>
      </c>
      <c r="X641" s="20">
        <f ca="1">W641/1000</f>
        <v>0</v>
      </c>
    </row>
    <row r="642" spans="1:24">
      <c r="A642" s="201"/>
      <c r="B642" s="201"/>
      <c r="C642" s="201"/>
      <c r="D642" s="199"/>
      <c r="E642" s="199"/>
      <c r="F642" s="21" t="s">
        <v>247</v>
      </c>
      <c r="G642" s="22" t="s">
        <v>254</v>
      </c>
      <c r="H642" s="184"/>
      <c r="I642" s="23">
        <f ca="1">I641*労務費経費単価SC!D$7</f>
        <v>0</v>
      </c>
      <c r="J642" s="23">
        <f ca="1">J641*労務費経費単価SC!D$11</f>
        <v>0</v>
      </c>
      <c r="K642" s="22">
        <f ca="1">K641*$E641</f>
        <v>0</v>
      </c>
      <c r="L642" s="22">
        <f ca="1">L641*$E641</f>
        <v>0</v>
      </c>
      <c r="M642" s="22">
        <f t="shared" ref="M642" ca="1" si="2220">M641*$E641</f>
        <v>0</v>
      </c>
      <c r="N642" s="22">
        <f t="shared" ref="N642" ca="1" si="2221">N641*$E641</f>
        <v>0</v>
      </c>
      <c r="O642" s="22">
        <f t="shared" ref="O642" ca="1" si="2222">O641*$E641</f>
        <v>0</v>
      </c>
      <c r="P642" s="22">
        <f t="shared" ref="P642" ca="1" si="2223">P641*$E641</f>
        <v>0</v>
      </c>
      <c r="Q642" s="22">
        <f t="shared" ref="Q642" ca="1" si="2224">Q641*$E641</f>
        <v>0</v>
      </c>
      <c r="R642" s="22">
        <f t="shared" ref="R642" ca="1" si="2225">R641*$E641</f>
        <v>0</v>
      </c>
      <c r="S642" s="22">
        <f t="shared" ref="S642" ca="1" si="2226">S641*$E641</f>
        <v>0</v>
      </c>
      <c r="U642" s="17"/>
      <c r="V642" s="18"/>
      <c r="W642" s="19"/>
      <c r="X642" s="20"/>
    </row>
    <row r="643" spans="1:24">
      <c r="A643" s="200"/>
      <c r="B643" s="211"/>
      <c r="C643" s="200" t="s">
        <v>464</v>
      </c>
      <c r="D643" s="199" t="str">
        <f>VLOOKUP(C643,'仕掛品名寄（貼付）'!B:C,2,FALSE)</f>
        <v>その他</v>
      </c>
      <c r="E643" s="199">
        <f>VLOOKUP(D643,'仕掛品標準単価一覧表（貼付）'!B:G,6,FALSE)</f>
        <v>1080</v>
      </c>
      <c r="F643" s="12" t="s">
        <v>246</v>
      </c>
      <c r="G643" s="13">
        <v>385.5</v>
      </c>
      <c r="H643" s="13">
        <f ca="1">SUMIF('1.3②原材料使用'!B:E,C643,'1.3②原材料使用'!E:E)</f>
        <v>23.7</v>
      </c>
      <c r="I643" s="13">
        <f ca="1">SUMIF('2.10原液別作業時間'!A:B,C643,'2.10原液別作業時間'!B:B)</f>
        <v>385</v>
      </c>
      <c r="J643" s="13">
        <f ca="1">SUM(G643:H643,K643)</f>
        <v>1221.7</v>
      </c>
      <c r="K643" s="13">
        <f ca="1">SUMIF('2.2⑤純増減→前工程費'!B:E,C643,'2.2⑤純増減→前工程費'!E:E)</f>
        <v>812.5</v>
      </c>
      <c r="L643" s="13">
        <f ca="1">SUMIF('2.6完成品'!C:D,C643,'2.6完成品'!D:D)</f>
        <v>987.5</v>
      </c>
      <c r="M643" s="13">
        <f ca="1">SUMIF('2.3研究費'!D:E,C643,'2.3研究費'!E:E)</f>
        <v>0</v>
      </c>
      <c r="N643" s="13">
        <f ca="1">SUMIF('2.4販促費'!D:E,C643,'2.4販促費'!E:E)</f>
        <v>0</v>
      </c>
      <c r="O643" s="13">
        <f ca="1">SUMIF('2.5廃棄処分'!D:E,C643,'2.5廃棄処分'!E:E)</f>
        <v>0</v>
      </c>
      <c r="P643" s="13">
        <f ca="1">SUMIF('2.1④異種原液'!D:E,C643,'2.1④異種原液'!E:E)</f>
        <v>350</v>
      </c>
      <c r="Q643" s="14">
        <f ca="1">SUMIF('2.7製造部生産分'!D:I,C643,'2.7製造部生産分'!H:H)</f>
        <v>0</v>
      </c>
      <c r="R643" s="15">
        <f ca="1">-(G643+H643+K643-L643-M643-N643-O643-P643-Q643-S643)</f>
        <v>319.29999999999995</v>
      </c>
      <c r="S643" s="13">
        <f ca="1">SUMIF('2.9原液在庫'!B:H,C643,'2.9原液在庫'!H:H)</f>
        <v>203.5</v>
      </c>
      <c r="T643" s="16">
        <f ca="1">IFERROR(SUM(G644:K644)/(G643+H643+K643),0)</f>
        <v>1946.4514385669536</v>
      </c>
      <c r="U643" s="17" t="str">
        <f>C643</f>
        <v>DC</v>
      </c>
      <c r="V643" s="18">
        <f ca="1">IF(ISERROR(SUM(G644:K644)/SUM(L643:Q643,S643)),0,SUM(G644:K644)/SUM(L643:Q643,S643))</f>
        <v>1543.1406375712181</v>
      </c>
      <c r="W643" s="19">
        <f ca="1">V643</f>
        <v>1543.1406375712181</v>
      </c>
      <c r="X643" s="20">
        <f ca="1">W643/1000</f>
        <v>1.5431406375712182</v>
      </c>
    </row>
    <row r="644" spans="1:24">
      <c r="A644" s="201"/>
      <c r="B644" s="201"/>
      <c r="C644" s="201"/>
      <c r="D644" s="199"/>
      <c r="E644" s="199"/>
      <c r="F644" s="21" t="s">
        <v>247</v>
      </c>
      <c r="G644" s="22">
        <v>1286728.7224972472</v>
      </c>
      <c r="H644" s="184"/>
      <c r="I644" s="23">
        <f ca="1">I643*労務費経費単価SC!D$7</f>
        <v>177100</v>
      </c>
      <c r="J644" s="23">
        <f ca="1">J643*労務費経費単価SC!D$11</f>
        <v>36651</v>
      </c>
      <c r="K644" s="22">
        <f ca="1">K643*$E643</f>
        <v>877500</v>
      </c>
      <c r="L644" s="22">
        <f ca="1">L643*$E643</f>
        <v>1066500</v>
      </c>
      <c r="M644" s="22">
        <f t="shared" ref="M644" ca="1" si="2227">M643*$E643</f>
        <v>0</v>
      </c>
      <c r="N644" s="22">
        <f t="shared" ref="N644" ca="1" si="2228">N643*$E643</f>
        <v>0</v>
      </c>
      <c r="O644" s="22">
        <f t="shared" ref="O644" ca="1" si="2229">O643*$E643</f>
        <v>0</v>
      </c>
      <c r="P644" s="22">
        <f t="shared" ref="P644" ca="1" si="2230">P643*$E643</f>
        <v>378000</v>
      </c>
      <c r="Q644" s="22">
        <f t="shared" ref="Q644" ca="1" si="2231">Q643*$E643</f>
        <v>0</v>
      </c>
      <c r="R644" s="22">
        <f t="shared" ref="R644" ca="1" si="2232">R643*$E643</f>
        <v>344843.99999999994</v>
      </c>
      <c r="S644" s="22">
        <f t="shared" ref="S644" ca="1" si="2233">S643*$E643</f>
        <v>219780</v>
      </c>
      <c r="U644" s="17"/>
      <c r="V644" s="18"/>
      <c r="W644" s="19"/>
      <c r="X644" s="20"/>
    </row>
    <row r="645" spans="1:24">
      <c r="A645" s="200"/>
      <c r="B645" s="211"/>
      <c r="C645" s="200" t="s">
        <v>180</v>
      </c>
      <c r="D645" s="199" t="str">
        <f>VLOOKUP(C645,'仕掛品名寄（貼付）'!B:C,2,FALSE)</f>
        <v>その他</v>
      </c>
      <c r="E645" s="199">
        <f>VLOOKUP(D645,'仕掛品標準単価一覧表（貼付）'!B:G,6,FALSE)</f>
        <v>1080</v>
      </c>
      <c r="F645" s="12" t="s">
        <v>246</v>
      </c>
      <c r="G645" s="24">
        <v>152.2999999999999</v>
      </c>
      <c r="H645" s="13">
        <f ca="1">SUMIF('1.3②原材料使用'!B:E,C645,'1.3②原材料使用'!E:E)</f>
        <v>0</v>
      </c>
      <c r="I645" s="13">
        <f ca="1">SUMIF('2.10原液別作業時間'!A:B,C645,'2.10原液別作業時間'!B:B)</f>
        <v>0</v>
      </c>
      <c r="J645" s="13">
        <f ca="1">SUM(G645:H645,K645)</f>
        <v>152.2999999999999</v>
      </c>
      <c r="K645" s="13">
        <f ca="1">SUMIF('2.2⑤純増減→前工程費'!B:E,C645,'2.2⑤純増減→前工程費'!E:E)</f>
        <v>0</v>
      </c>
      <c r="L645" s="13">
        <f ca="1">SUMIF('2.6完成品'!C:D,C645,'2.6完成品'!D:D)</f>
        <v>0</v>
      </c>
      <c r="M645" s="13">
        <f ca="1">SUMIF('2.3研究費'!D:E,C645,'2.3研究費'!E:E)</f>
        <v>0</v>
      </c>
      <c r="N645" s="13">
        <f ca="1">SUMIF('2.4販促費'!D:E,C645,'2.4販促費'!E:E)</f>
        <v>0</v>
      </c>
      <c r="O645" s="13">
        <f ca="1">SUMIF('2.5廃棄処分'!D:E,C645,'2.5廃棄処分'!E:E)</f>
        <v>0</v>
      </c>
      <c r="P645" s="13">
        <f ca="1">SUMIF('2.1④異種原液'!D:E,C645,'2.1④異種原液'!E:E)</f>
        <v>0</v>
      </c>
      <c r="Q645" s="14">
        <f ca="1">SUMIF('2.7製造部生産分'!D:I,C645,'2.7製造部生産分'!H:H)</f>
        <v>0</v>
      </c>
      <c r="R645" s="15">
        <f ca="1">-(G645+H645+K645-L645-M645-N645-O645-P645-Q645-S645)</f>
        <v>0</v>
      </c>
      <c r="S645" s="13">
        <f ca="1">SUMIF('2.9原液在庫'!B:H,C645,'2.9原液在庫'!H:H)</f>
        <v>152.2999999999999</v>
      </c>
      <c r="T645" s="16">
        <f ca="1">IFERROR(SUM(G646:K646)/(G645+H645+K645),0)</f>
        <v>1422.0796525126043</v>
      </c>
      <c r="U645" s="17" t="str">
        <f>C645</f>
        <v>KOD</v>
      </c>
      <c r="V645" s="18">
        <f ca="1">IF(ISERROR(SUM(G646:K646)/SUM(L645:Q645,S645)),0,SUM(G646:K646)/SUM(L645:Q645,S645))</f>
        <v>1422.0796525126043</v>
      </c>
      <c r="W645" s="19">
        <f ca="1">V645</f>
        <v>1422.0796525126043</v>
      </c>
      <c r="X645" s="20">
        <f ca="1">W645/1000</f>
        <v>1.4220796525126043</v>
      </c>
    </row>
    <row r="646" spans="1:24">
      <c r="A646" s="212"/>
      <c r="B646" s="212"/>
      <c r="C646" s="201"/>
      <c r="D646" s="199"/>
      <c r="E646" s="199"/>
      <c r="F646" s="21" t="s">
        <v>247</v>
      </c>
      <c r="G646" s="22">
        <v>212013.73107766948</v>
      </c>
      <c r="H646" s="184"/>
      <c r="I646" s="23">
        <f ca="1">I645*労務費経費単価SC!D$7</f>
        <v>0</v>
      </c>
      <c r="J646" s="23">
        <f ca="1">J645*労務費経費単価SC!D$11</f>
        <v>4568.9999999999973</v>
      </c>
      <c r="K646" s="22">
        <f ca="1">K645*$E645</f>
        <v>0</v>
      </c>
      <c r="L646" s="22">
        <f ca="1">L645*$E645</f>
        <v>0</v>
      </c>
      <c r="M646" s="22">
        <f t="shared" ref="M646" ca="1" si="2234">M645*$E645</f>
        <v>0</v>
      </c>
      <c r="N646" s="22">
        <f t="shared" ref="N646" ca="1" si="2235">N645*$E645</f>
        <v>0</v>
      </c>
      <c r="O646" s="22">
        <f t="shared" ref="O646" ca="1" si="2236">O645*$E645</f>
        <v>0</v>
      </c>
      <c r="P646" s="22">
        <f t="shared" ref="P646" ca="1" si="2237">P645*$E645</f>
        <v>0</v>
      </c>
      <c r="Q646" s="22">
        <f t="shared" ref="Q646" ca="1" si="2238">Q645*$E645</f>
        <v>0</v>
      </c>
      <c r="R646" s="22">
        <f t="shared" ref="R646" ca="1" si="2239">R645*$E645</f>
        <v>0</v>
      </c>
      <c r="S646" s="22">
        <f t="shared" ref="S646" ca="1" si="2240">S645*$E645</f>
        <v>164483.99999999988</v>
      </c>
      <c r="U646" s="17"/>
      <c r="V646" s="18"/>
      <c r="W646" s="19"/>
      <c r="X646" s="20"/>
    </row>
    <row r="647" spans="1:24">
      <c r="A647" s="200"/>
      <c r="B647" s="211"/>
      <c r="C647" s="200" t="s">
        <v>465</v>
      </c>
      <c r="D647" s="199" t="str">
        <f>VLOOKUP(C647,'仕掛品名寄（貼付）'!B:C,2,FALSE)</f>
        <v>その他</v>
      </c>
      <c r="E647" s="199">
        <f>VLOOKUP(D647,'仕掛品標準単価一覧表（貼付）'!B:G,6,FALSE)</f>
        <v>1080</v>
      </c>
      <c r="F647" s="12" t="s">
        <v>246</v>
      </c>
      <c r="G647" s="13">
        <v>0</v>
      </c>
      <c r="H647" s="13">
        <f ca="1">SUMIF('1.3②原材料使用'!B:E,C647,'1.3②原材料使用'!E:E)</f>
        <v>0</v>
      </c>
      <c r="I647" s="13">
        <f ca="1">SUMIF('2.10原液別作業時間'!A:B,C647,'2.10原液別作業時間'!B:B)</f>
        <v>0</v>
      </c>
      <c r="J647" s="13">
        <f ca="1">SUM(G647:H647,K647)</f>
        <v>0</v>
      </c>
      <c r="K647" s="13">
        <f ca="1">SUMIF('2.2⑤純増減→前工程費'!B:E,C647,'2.2⑤純増減→前工程費'!E:E)</f>
        <v>0</v>
      </c>
      <c r="L647" s="13">
        <f ca="1">SUMIF('2.6完成品'!C:D,C647,'2.6完成品'!D:D)</f>
        <v>0</v>
      </c>
      <c r="M647" s="13">
        <f ca="1">SUMIF('2.3研究費'!D:E,C647,'2.3研究費'!E:E)</f>
        <v>0</v>
      </c>
      <c r="N647" s="13">
        <f ca="1">SUMIF('2.4販促費'!D:E,C647,'2.4販促費'!E:E)</f>
        <v>0</v>
      </c>
      <c r="O647" s="13">
        <f ca="1">SUMIF('2.5廃棄処分'!D:E,C647,'2.5廃棄処分'!E:E)</f>
        <v>0</v>
      </c>
      <c r="P647" s="13">
        <f ca="1">SUMIF('2.1④異種原液'!D:E,C647,'2.1④異種原液'!E:E)</f>
        <v>0</v>
      </c>
      <c r="Q647" s="14">
        <f ca="1">SUMIF('2.7製造部生産分'!D:I,C647,'2.7製造部生産分'!H:H)</f>
        <v>0</v>
      </c>
      <c r="R647" s="15">
        <f ca="1">-(G647+H647+K647-L647-M647-N647-O647-P647-Q647-S647)</f>
        <v>0</v>
      </c>
      <c r="S647" s="13">
        <f ca="1">SUMIF('2.9原液在庫'!B:H,C647,'2.9原液在庫'!H:H)</f>
        <v>0</v>
      </c>
      <c r="T647" s="16">
        <f ca="1">IFERROR(SUM(G648:K648)/(G647+H647+K647),0)</f>
        <v>0</v>
      </c>
      <c r="U647" s="17" t="str">
        <f>C647</f>
        <v>EA</v>
      </c>
      <c r="V647" s="18">
        <f ca="1">IF(ISERROR(SUM(G648:K648)/SUM(L647:Q647,S647)),0,SUM(G648:K648)/SUM(L647:Q647,S647))</f>
        <v>0</v>
      </c>
      <c r="W647" s="19">
        <f ca="1">V647</f>
        <v>0</v>
      </c>
      <c r="X647" s="20">
        <f ca="1">W647/1000</f>
        <v>0</v>
      </c>
    </row>
    <row r="648" spans="1:24">
      <c r="A648" s="201"/>
      <c r="B648" s="201"/>
      <c r="C648" s="201"/>
      <c r="D648" s="199"/>
      <c r="E648" s="199"/>
      <c r="F648" s="21" t="s">
        <v>247</v>
      </c>
      <c r="G648" s="22" t="s">
        <v>254</v>
      </c>
      <c r="H648" s="184"/>
      <c r="I648" s="23">
        <f ca="1">I647*労務費経費単価SC!D$7</f>
        <v>0</v>
      </c>
      <c r="J648" s="23">
        <f ca="1">J647*労務費経費単価SC!D$11</f>
        <v>0</v>
      </c>
      <c r="K648" s="22">
        <f ca="1">K647*$E647</f>
        <v>0</v>
      </c>
      <c r="L648" s="22">
        <f ca="1">L647*$E647</f>
        <v>0</v>
      </c>
      <c r="M648" s="22">
        <f t="shared" ref="M648" ca="1" si="2241">M647*$E647</f>
        <v>0</v>
      </c>
      <c r="N648" s="22">
        <f t="shared" ref="N648" ca="1" si="2242">N647*$E647</f>
        <v>0</v>
      </c>
      <c r="O648" s="22">
        <f t="shared" ref="O648" ca="1" si="2243">O647*$E647</f>
        <v>0</v>
      </c>
      <c r="P648" s="22">
        <f t="shared" ref="P648" ca="1" si="2244">P647*$E647</f>
        <v>0</v>
      </c>
      <c r="Q648" s="22">
        <f t="shared" ref="Q648" ca="1" si="2245">Q647*$E647</f>
        <v>0</v>
      </c>
      <c r="R648" s="22">
        <f t="shared" ref="R648" ca="1" si="2246">R647*$E647</f>
        <v>0</v>
      </c>
      <c r="S648" s="22">
        <f t="shared" ref="S648" ca="1" si="2247">S647*$E647</f>
        <v>0</v>
      </c>
      <c r="U648" s="17"/>
      <c r="V648" s="18"/>
      <c r="W648" s="19"/>
      <c r="X648" s="20"/>
    </row>
    <row r="649" spans="1:24">
      <c r="A649" s="200"/>
      <c r="B649" s="211"/>
      <c r="C649" s="200" t="s">
        <v>466</v>
      </c>
      <c r="D649" s="199" t="str">
        <f>VLOOKUP(C649,'仕掛品名寄（貼付）'!B:C,2,FALSE)</f>
        <v>その他</v>
      </c>
      <c r="E649" s="199">
        <f>VLOOKUP(D649,'仕掛品標準単価一覧表（貼付）'!B:G,6,FALSE)</f>
        <v>1080</v>
      </c>
      <c r="F649" s="12" t="s">
        <v>246</v>
      </c>
      <c r="G649" s="13">
        <v>384</v>
      </c>
      <c r="H649" s="13">
        <f ca="1">SUMIF('1.3②原材料使用'!B:E,C649,'1.3②原材料使用'!E:E)</f>
        <v>0</v>
      </c>
      <c r="I649" s="13">
        <f ca="1">SUMIF('2.10原液別作業時間'!A:B,C649,'2.10原液別作業時間'!B:B)</f>
        <v>490</v>
      </c>
      <c r="J649" s="13">
        <f ca="1">SUM(G649:H649,K649)</f>
        <v>1183</v>
      </c>
      <c r="K649" s="13">
        <f ca="1">SUMIF('2.2⑤純増減→前工程費'!B:E,C649,'2.2⑤純増減→前工程費'!E:E)</f>
        <v>799</v>
      </c>
      <c r="L649" s="13">
        <f ca="1">SUMIF('2.6完成品'!C:D,C649,'2.6完成品'!D:D)</f>
        <v>661.2</v>
      </c>
      <c r="M649" s="13">
        <f ca="1">SUMIF('2.3研究費'!D:E,C649,'2.3研究費'!E:E)</f>
        <v>0</v>
      </c>
      <c r="N649" s="13">
        <f ca="1">SUMIF('2.4販促費'!D:E,C649,'2.4販促費'!E:E)</f>
        <v>0</v>
      </c>
      <c r="O649" s="13">
        <f ca="1">SUMIF('2.5廃棄処分'!D:E,C649,'2.5廃棄処分'!E:E)</f>
        <v>0</v>
      </c>
      <c r="P649" s="13">
        <f ca="1">SUMIF('2.1④異種原液'!D:E,C649,'2.1④異種原液'!E:E)</f>
        <v>0</v>
      </c>
      <c r="Q649" s="14">
        <f ca="1">SUMIF('2.7製造部生産分'!D:I,C649,'2.7製造部生産分'!H:H)</f>
        <v>0</v>
      </c>
      <c r="R649" s="15">
        <f ca="1">-(G649+H649+K649-L649-M649-N649-O649-P649-Q649-S649)</f>
        <v>-2.7999999999999545</v>
      </c>
      <c r="S649" s="13">
        <f ca="1">SUMIF('2.9原液在庫'!B:H,C649,'2.9原液在庫'!H:H)</f>
        <v>519</v>
      </c>
      <c r="T649" s="16">
        <f ca="1">IFERROR(SUM(G650:K650)/(G649+H649+K649),0)</f>
        <v>1231.3397303659622</v>
      </c>
      <c r="U649" s="17" t="str">
        <f>C649</f>
        <v>EB</v>
      </c>
      <c r="V649" s="18">
        <f ca="1">IF(ISERROR(SUM(G650:K650)/SUM(L649:Q649,S649)),0,SUM(G650:K650)/SUM(L649:Q649,S649))</f>
        <v>1234.2610583146359</v>
      </c>
      <c r="W649" s="19">
        <f ca="1">V649</f>
        <v>1234.2610583146359</v>
      </c>
      <c r="X649" s="20">
        <f ca="1">W649/1000</f>
        <v>1.2342610583146358</v>
      </c>
    </row>
    <row r="650" spans="1:24">
      <c r="A650" s="201"/>
      <c r="B650" s="201"/>
      <c r="C650" s="201"/>
      <c r="D650" s="199"/>
      <c r="E650" s="199"/>
      <c r="F650" s="21" t="s">
        <v>247</v>
      </c>
      <c r="G650" s="22">
        <v>332864.90102293313</v>
      </c>
      <c r="H650" s="184"/>
      <c r="I650" s="23">
        <f ca="1">I649*労務費経費単価SC!D$7</f>
        <v>225400</v>
      </c>
      <c r="J650" s="23">
        <f ca="1">J649*労務費経費単価SC!D$11</f>
        <v>35490</v>
      </c>
      <c r="K650" s="22">
        <f ca="1">K649*$E649</f>
        <v>862920</v>
      </c>
      <c r="L650" s="22">
        <f ca="1">L649*$E649</f>
        <v>714096</v>
      </c>
      <c r="M650" s="22">
        <f t="shared" ref="M650" ca="1" si="2248">M649*$E649</f>
        <v>0</v>
      </c>
      <c r="N650" s="22">
        <f t="shared" ref="N650" ca="1" si="2249">N649*$E649</f>
        <v>0</v>
      </c>
      <c r="O650" s="22">
        <f t="shared" ref="O650" ca="1" si="2250">O649*$E649</f>
        <v>0</v>
      </c>
      <c r="P650" s="22">
        <f t="shared" ref="P650" ca="1" si="2251">P649*$E649</f>
        <v>0</v>
      </c>
      <c r="Q650" s="22">
        <f t="shared" ref="Q650" ca="1" si="2252">Q649*$E649</f>
        <v>0</v>
      </c>
      <c r="R650" s="22">
        <f t="shared" ref="R650" ca="1" si="2253">R649*$E649</f>
        <v>-3023.9999999999509</v>
      </c>
      <c r="S650" s="22">
        <f t="shared" ref="S650" ca="1" si="2254">S649*$E649</f>
        <v>560520</v>
      </c>
      <c r="U650" s="17"/>
      <c r="V650" s="18"/>
      <c r="W650" s="19"/>
      <c r="X650" s="20"/>
    </row>
    <row r="651" spans="1:24">
      <c r="A651" s="200"/>
      <c r="B651" s="211"/>
      <c r="C651" s="200" t="s">
        <v>467</v>
      </c>
      <c r="D651" s="199" t="str">
        <f>VLOOKUP(C651,'仕掛品名寄（貼付）'!B:C,2,FALSE)</f>
        <v>その他</v>
      </c>
      <c r="E651" s="199">
        <f>VLOOKUP(D651,'仕掛品標準単価一覧表（貼付）'!B:G,6,FALSE)</f>
        <v>1080</v>
      </c>
      <c r="F651" s="12" t="s">
        <v>246</v>
      </c>
      <c r="G651" s="24">
        <v>0</v>
      </c>
      <c r="H651" s="13">
        <f ca="1">SUMIF('1.3②原材料使用'!B:E,C651,'1.3②原材料使用'!E:E)</f>
        <v>0</v>
      </c>
      <c r="I651" s="13">
        <f ca="1">SUMIF('2.10原液別作業時間'!A:B,C651,'2.10原液別作業時間'!B:B)</f>
        <v>0</v>
      </c>
      <c r="J651" s="13">
        <f ca="1">SUM(G651:H651,K651)</f>
        <v>0</v>
      </c>
      <c r="K651" s="13">
        <f ca="1">SUMIF('2.2⑤純増減→前工程費'!B:E,C651,'2.2⑤純増減→前工程費'!E:E)</f>
        <v>0</v>
      </c>
      <c r="L651" s="13">
        <f ca="1">SUMIF('2.6完成品'!C:D,C651,'2.6完成品'!D:D)</f>
        <v>0</v>
      </c>
      <c r="M651" s="13">
        <f ca="1">SUMIF('2.3研究費'!D:E,C651,'2.3研究費'!E:E)</f>
        <v>0</v>
      </c>
      <c r="N651" s="13">
        <f ca="1">SUMIF('2.4販促費'!D:E,C651,'2.4販促費'!E:E)</f>
        <v>0</v>
      </c>
      <c r="O651" s="13">
        <f ca="1">SUMIF('2.5廃棄処分'!D:E,C651,'2.5廃棄処分'!E:E)</f>
        <v>0</v>
      </c>
      <c r="P651" s="13">
        <f ca="1">SUMIF('2.1④異種原液'!D:E,C651,'2.1④異種原液'!E:E)</f>
        <v>0</v>
      </c>
      <c r="Q651" s="14">
        <f ca="1">SUMIF('2.7製造部生産分'!D:I,C651,'2.7製造部生産分'!H:H)</f>
        <v>0</v>
      </c>
      <c r="R651" s="15">
        <f ca="1">-(G651+H651+K651-L651-M651-N651-O651-P651-Q651-S651)</f>
        <v>0</v>
      </c>
      <c r="S651" s="13">
        <f ca="1">SUMIF('2.9原液在庫'!B:H,C651,'2.9原液在庫'!H:H)</f>
        <v>0</v>
      </c>
      <c r="T651" s="16">
        <f ca="1">IFERROR(SUM(G652:K652)/(G651+H651+K651),0)</f>
        <v>0</v>
      </c>
      <c r="U651" s="17" t="str">
        <f>C651</f>
        <v>EC</v>
      </c>
      <c r="V651" s="18">
        <f ca="1">IF(ISERROR(SUM(G652:K652)/SUM(L651:Q651,S651)),0,SUM(G652:K652)/SUM(L651:Q651,S651))</f>
        <v>0</v>
      </c>
      <c r="W651" s="19">
        <f ca="1">V651</f>
        <v>0</v>
      </c>
      <c r="X651" s="20">
        <f ca="1">W651/1000</f>
        <v>0</v>
      </c>
    </row>
    <row r="652" spans="1:24">
      <c r="A652" s="201"/>
      <c r="B652" s="201"/>
      <c r="C652" s="201"/>
      <c r="D652" s="199"/>
      <c r="E652" s="199"/>
      <c r="F652" s="21" t="s">
        <v>247</v>
      </c>
      <c r="G652" s="22" t="s">
        <v>254</v>
      </c>
      <c r="H652" s="184"/>
      <c r="I652" s="23">
        <f ca="1">I651*労務費経費単価SC!D$7</f>
        <v>0</v>
      </c>
      <c r="J652" s="23">
        <f ca="1">J651*労務費経費単価SC!D$11</f>
        <v>0</v>
      </c>
      <c r="K652" s="22">
        <f ca="1">K651*$E651</f>
        <v>0</v>
      </c>
      <c r="L652" s="22">
        <f ca="1">L651*$E651</f>
        <v>0</v>
      </c>
      <c r="M652" s="22">
        <f t="shared" ref="M652" ca="1" si="2255">M651*$E651</f>
        <v>0</v>
      </c>
      <c r="N652" s="22">
        <f t="shared" ref="N652" ca="1" si="2256">N651*$E651</f>
        <v>0</v>
      </c>
      <c r="O652" s="22">
        <f t="shared" ref="O652" ca="1" si="2257">O651*$E651</f>
        <v>0</v>
      </c>
      <c r="P652" s="22">
        <f t="shared" ref="P652" ca="1" si="2258">P651*$E651</f>
        <v>0</v>
      </c>
      <c r="Q652" s="22">
        <f t="shared" ref="Q652" ca="1" si="2259">Q651*$E651</f>
        <v>0</v>
      </c>
      <c r="R652" s="22">
        <f t="shared" ref="R652" ca="1" si="2260">R651*$E651</f>
        <v>0</v>
      </c>
      <c r="S652" s="22">
        <f t="shared" ref="S652" ca="1" si="2261">S651*$E651</f>
        <v>0</v>
      </c>
      <c r="U652" s="17"/>
      <c r="V652" s="18"/>
      <c r="W652" s="19"/>
      <c r="X652" s="20"/>
    </row>
    <row r="653" spans="1:24">
      <c r="A653" s="200"/>
      <c r="B653" s="211"/>
      <c r="C653" s="200" t="s">
        <v>154</v>
      </c>
      <c r="D653" s="199" t="str">
        <f>VLOOKUP(C653,'仕掛品名寄（貼付）'!B:C,2,FALSE)</f>
        <v>その他</v>
      </c>
      <c r="E653" s="199">
        <f>VLOOKUP(D653,'仕掛品標準単価一覧表（貼付）'!B:G,6,FALSE)</f>
        <v>1080</v>
      </c>
      <c r="F653" s="12" t="s">
        <v>246</v>
      </c>
      <c r="G653" s="24">
        <v>30</v>
      </c>
      <c r="H653" s="13">
        <f ca="1">SUMIF('1.3②原材料使用'!B:E,C653,'1.3②原材料使用'!E:E)</f>
        <v>0</v>
      </c>
      <c r="I653" s="13">
        <f ca="1">SUMIF('2.10原液別作業時間'!A:B,C653,'2.10原液別作業時間'!B:B)</f>
        <v>0</v>
      </c>
      <c r="J653" s="13">
        <f ca="1">SUM(G653:H653,K653)</f>
        <v>30</v>
      </c>
      <c r="K653" s="13">
        <f ca="1">SUMIF('2.2⑤純増減→前工程費'!B:E,C653,'2.2⑤純増減→前工程費'!E:E)</f>
        <v>0</v>
      </c>
      <c r="L653" s="13">
        <f ca="1">SUMIF('2.6完成品'!C:D,C653,'2.6完成品'!D:D)</f>
        <v>0</v>
      </c>
      <c r="M653" s="13">
        <f ca="1">SUMIF('2.3研究費'!D:E,C653,'2.3研究費'!E:E)</f>
        <v>0</v>
      </c>
      <c r="N653" s="13">
        <f ca="1">SUMIF('2.4販促費'!D:E,C653,'2.4販促費'!E:E)</f>
        <v>0</v>
      </c>
      <c r="O653" s="13">
        <f ca="1">SUMIF('2.5廃棄処分'!D:E,C653,'2.5廃棄処分'!E:E)</f>
        <v>0</v>
      </c>
      <c r="P653" s="13">
        <f ca="1">SUMIF('2.1④異種原液'!D:E,C653,'2.1④異種原液'!E:E)</f>
        <v>0</v>
      </c>
      <c r="Q653" s="14">
        <f ca="1">SUMIF('2.7製造部生産分'!D:I,C653,'2.7製造部生産分'!H:H)</f>
        <v>0</v>
      </c>
      <c r="R653" s="15">
        <f ca="1">-(G653+H653+K653-L653-M653-N653-O653-P653-Q653-S653)</f>
        <v>0</v>
      </c>
      <c r="S653" s="13">
        <f ca="1">SUMIF('2.9原液在庫'!B:H,C653,'2.9原液在庫'!H:H)</f>
        <v>30</v>
      </c>
      <c r="T653" s="16">
        <f ca="1">IFERROR(SUM(G654:K654)/(G653+H653+K653),0)</f>
        <v>1049.7846738218511</v>
      </c>
      <c r="U653" s="17" t="str">
        <f>C653</f>
        <v>EG</v>
      </c>
      <c r="V653" s="18">
        <f ca="1">IF(ISERROR(SUM(G654:K654)/SUM(L653:Q653,S653)),0,SUM(G654:K654)/SUM(L653:Q653,S653))</f>
        <v>1049.7846738218511</v>
      </c>
      <c r="W653" s="19">
        <f ca="1">V653</f>
        <v>1049.7846738218511</v>
      </c>
      <c r="X653" s="20">
        <f ca="1">W653/1000</f>
        <v>1.049784673821851</v>
      </c>
    </row>
    <row r="654" spans="1:24">
      <c r="A654" s="201"/>
      <c r="B654" s="201"/>
      <c r="C654" s="201"/>
      <c r="D654" s="199"/>
      <c r="E654" s="199"/>
      <c r="F654" s="21" t="s">
        <v>247</v>
      </c>
      <c r="G654" s="22">
        <v>30593.540214655535</v>
      </c>
      <c r="H654" s="184"/>
      <c r="I654" s="23">
        <f ca="1">I653*労務費経費単価SC!D$7</f>
        <v>0</v>
      </c>
      <c r="J654" s="23">
        <f ca="1">J653*労務費経費単価SC!D$11</f>
        <v>900</v>
      </c>
      <c r="K654" s="22">
        <f ca="1">K653*$E653</f>
        <v>0</v>
      </c>
      <c r="L654" s="22">
        <f ca="1">L653*$E653</f>
        <v>0</v>
      </c>
      <c r="M654" s="22">
        <f t="shared" ref="M654" ca="1" si="2262">M653*$E653</f>
        <v>0</v>
      </c>
      <c r="N654" s="22">
        <f t="shared" ref="N654" ca="1" si="2263">N653*$E653</f>
        <v>0</v>
      </c>
      <c r="O654" s="22">
        <f t="shared" ref="O654" ca="1" si="2264">O653*$E653</f>
        <v>0</v>
      </c>
      <c r="P654" s="22">
        <f t="shared" ref="P654" ca="1" si="2265">P653*$E653</f>
        <v>0</v>
      </c>
      <c r="Q654" s="22">
        <f t="shared" ref="Q654" ca="1" si="2266">Q653*$E653</f>
        <v>0</v>
      </c>
      <c r="R654" s="22">
        <f t="shared" ref="R654" ca="1" si="2267">R653*$E653</f>
        <v>0</v>
      </c>
      <c r="S654" s="22">
        <f t="shared" ref="S654" ca="1" si="2268">S653*$E653</f>
        <v>32400</v>
      </c>
      <c r="U654" s="17"/>
      <c r="V654" s="18"/>
      <c r="W654" s="19"/>
      <c r="X654" s="20"/>
    </row>
    <row r="655" spans="1:24">
      <c r="A655" s="200"/>
      <c r="B655" s="211"/>
      <c r="C655" s="200" t="s">
        <v>468</v>
      </c>
      <c r="D655" s="199" t="str">
        <f>VLOOKUP(C655,'仕掛品名寄（貼付）'!B:C,2,FALSE)</f>
        <v>その他</v>
      </c>
      <c r="E655" s="199">
        <f>VLOOKUP(D655,'仕掛品標準単価一覧表（貼付）'!B:G,6,FALSE)</f>
        <v>1080</v>
      </c>
      <c r="F655" s="12" t="s">
        <v>246</v>
      </c>
      <c r="G655" s="24">
        <v>0</v>
      </c>
      <c r="H655" s="13">
        <f ca="1">SUMIF('1.3②原材料使用'!B:E,C655,'1.3②原材料使用'!E:E)</f>
        <v>0</v>
      </c>
      <c r="I655" s="13">
        <f ca="1">SUMIF('2.10原液別作業時間'!A:B,C655,'2.10原液別作業時間'!B:B)</f>
        <v>0</v>
      </c>
      <c r="J655" s="13">
        <f ca="1">SUM(G655:H655,K655)</f>
        <v>0</v>
      </c>
      <c r="K655" s="13">
        <f ca="1">SUMIF('2.2⑤純増減→前工程費'!B:E,C655,'2.2⑤純増減→前工程費'!E:E)</f>
        <v>0</v>
      </c>
      <c r="L655" s="13">
        <f ca="1">SUMIF('2.6完成品'!C:D,C655,'2.6完成品'!D:D)</f>
        <v>0</v>
      </c>
      <c r="M655" s="13">
        <f ca="1">SUMIF('2.3研究費'!D:E,C655,'2.3研究費'!E:E)</f>
        <v>0</v>
      </c>
      <c r="N655" s="13">
        <f ca="1">SUMIF('2.4販促費'!D:E,C655,'2.4販促費'!E:E)</f>
        <v>0</v>
      </c>
      <c r="O655" s="13">
        <f ca="1">SUMIF('2.5廃棄処分'!D:E,C655,'2.5廃棄処分'!E:E)</f>
        <v>0</v>
      </c>
      <c r="P655" s="13">
        <f ca="1">SUMIF('2.1④異種原液'!D:E,C655,'2.1④異種原液'!E:E)</f>
        <v>0</v>
      </c>
      <c r="Q655" s="14">
        <f ca="1">SUMIF('2.7製造部生産分'!D:I,C655,'2.7製造部生産分'!H:H)</f>
        <v>0</v>
      </c>
      <c r="R655" s="15">
        <f ca="1">-(G655+H655+K655-L655-M655-N655-O655-P655-Q655-S655)</f>
        <v>0</v>
      </c>
      <c r="S655" s="13">
        <f ca="1">SUMIF('2.9原液在庫'!B:H,C655,'2.9原液在庫'!H:H)</f>
        <v>0</v>
      </c>
      <c r="T655" s="16">
        <f ca="1">IFERROR(SUM(G656:K656)/(G655+H655+K655),0)</f>
        <v>0</v>
      </c>
      <c r="U655" s="17" t="str">
        <f>C655</f>
        <v>EPH</v>
      </c>
      <c r="V655" s="18">
        <f ca="1">IF(ISERROR(SUM(G656:K656)/SUM(L655:Q655,S655)),0,SUM(G656:K656)/SUM(L655:Q655,S655))</f>
        <v>0</v>
      </c>
      <c r="W655" s="19">
        <f ca="1">V655</f>
        <v>0</v>
      </c>
      <c r="X655" s="20">
        <f ca="1">W655/1000</f>
        <v>0</v>
      </c>
    </row>
    <row r="656" spans="1:24">
      <c r="A656" s="201"/>
      <c r="B656" s="201"/>
      <c r="C656" s="201"/>
      <c r="D656" s="199"/>
      <c r="E656" s="199"/>
      <c r="F656" s="21" t="s">
        <v>247</v>
      </c>
      <c r="G656" s="22" t="s">
        <v>254</v>
      </c>
      <c r="H656" s="184"/>
      <c r="I656" s="23">
        <f ca="1">I655*労務費経費単価SC!D$7</f>
        <v>0</v>
      </c>
      <c r="J656" s="23">
        <f ca="1">J655*労務費経費単価SC!D$11</f>
        <v>0</v>
      </c>
      <c r="K656" s="22">
        <f ca="1">K655*$E655</f>
        <v>0</v>
      </c>
      <c r="L656" s="22">
        <f ca="1">L655*$E655</f>
        <v>0</v>
      </c>
      <c r="M656" s="22">
        <f t="shared" ref="M656" ca="1" si="2269">M655*$E655</f>
        <v>0</v>
      </c>
      <c r="N656" s="22">
        <f t="shared" ref="N656" ca="1" si="2270">N655*$E655</f>
        <v>0</v>
      </c>
      <c r="O656" s="22">
        <f t="shared" ref="O656" ca="1" si="2271">O655*$E655</f>
        <v>0</v>
      </c>
      <c r="P656" s="22">
        <f t="shared" ref="P656" ca="1" si="2272">P655*$E655</f>
        <v>0</v>
      </c>
      <c r="Q656" s="22">
        <f t="shared" ref="Q656" ca="1" si="2273">Q655*$E655</f>
        <v>0</v>
      </c>
      <c r="R656" s="22">
        <f t="shared" ref="R656" ca="1" si="2274">R655*$E655</f>
        <v>0</v>
      </c>
      <c r="S656" s="22">
        <f t="shared" ref="S656" ca="1" si="2275">S655*$E655</f>
        <v>0</v>
      </c>
      <c r="U656" s="17"/>
      <c r="V656" s="18"/>
      <c r="W656" s="19"/>
      <c r="X656" s="20"/>
    </row>
    <row r="657" spans="1:24">
      <c r="A657" s="200"/>
      <c r="B657" s="211"/>
      <c r="C657" s="200" t="s">
        <v>155</v>
      </c>
      <c r="D657" s="199" t="str">
        <f>VLOOKUP(C657,'仕掛品名寄（貼付）'!B:C,2,FALSE)</f>
        <v>その他</v>
      </c>
      <c r="E657" s="199">
        <f>VLOOKUP(D657,'仕掛品標準単価一覧表（貼付）'!B:G,6,FALSE)</f>
        <v>1080</v>
      </c>
      <c r="F657" s="12" t="s">
        <v>246</v>
      </c>
      <c r="G657" s="13">
        <v>0</v>
      </c>
      <c r="H657" s="13">
        <f ca="1">SUMIF('1.3②原材料使用'!B:E,C657,'1.3②原材料使用'!E:E)</f>
        <v>0</v>
      </c>
      <c r="I657" s="13">
        <f ca="1">SUMIF('2.10原液別作業時間'!A:B,C657,'2.10原液別作業時間'!B:B)</f>
        <v>0</v>
      </c>
      <c r="J657" s="13">
        <f ca="1">SUM(G657:H657,K657)</f>
        <v>0</v>
      </c>
      <c r="K657" s="13">
        <f ca="1">SUMIF('2.2⑤純増減→前工程費'!B:E,C657,'2.2⑤純増減→前工程費'!E:E)</f>
        <v>0</v>
      </c>
      <c r="L657" s="13">
        <f ca="1">SUMIF('2.6完成品'!C:D,C657,'2.6完成品'!D:D)</f>
        <v>0</v>
      </c>
      <c r="M657" s="13">
        <f ca="1">SUMIF('2.3研究費'!D:E,C657,'2.3研究費'!E:E)</f>
        <v>0</v>
      </c>
      <c r="N657" s="13">
        <f ca="1">SUMIF('2.4販促費'!D:E,C657,'2.4販促費'!E:E)</f>
        <v>0</v>
      </c>
      <c r="O657" s="13">
        <f ca="1">SUMIF('2.5廃棄処分'!D:E,C657,'2.5廃棄処分'!E:E)</f>
        <v>0</v>
      </c>
      <c r="P657" s="13">
        <f ca="1">SUMIF('2.1④異種原液'!D:E,C657,'2.1④異種原液'!E:E)</f>
        <v>0</v>
      </c>
      <c r="Q657" s="14">
        <f ca="1">SUMIF('2.7製造部生産分'!D:I,C657,'2.7製造部生産分'!H:H)</f>
        <v>0</v>
      </c>
      <c r="R657" s="15">
        <f ca="1">-(G657+H657+K657-L657-M657-N657-O657-P657-Q657-S657)</f>
        <v>0</v>
      </c>
      <c r="S657" s="13">
        <f ca="1">SUMIF('2.9原液在庫'!B:H,C657,'2.9原液在庫'!H:H)</f>
        <v>0</v>
      </c>
      <c r="T657" s="16">
        <f ca="1">IFERROR(SUM(G658:K658)/(G657+H657+K657),0)</f>
        <v>0</v>
      </c>
      <c r="U657" s="17" t="str">
        <f>C657</f>
        <v>F</v>
      </c>
      <c r="V657" s="18">
        <f ca="1">IF(ISERROR(SUM(G658:K658)/SUM(L657:Q657,S657)),0,SUM(G658:K658)/SUM(L657:Q657,S657))</f>
        <v>0</v>
      </c>
      <c r="W657" s="19">
        <f ca="1">V657</f>
        <v>0</v>
      </c>
      <c r="X657" s="20">
        <f ca="1">W657/1000</f>
        <v>0</v>
      </c>
    </row>
    <row r="658" spans="1:24">
      <c r="A658" s="201"/>
      <c r="B658" s="201"/>
      <c r="C658" s="201"/>
      <c r="D658" s="199"/>
      <c r="E658" s="199"/>
      <c r="F658" s="21" t="s">
        <v>247</v>
      </c>
      <c r="G658" s="22" t="s">
        <v>254</v>
      </c>
      <c r="H658" s="184"/>
      <c r="I658" s="23">
        <f ca="1">I657*労務費経費単価SC!D$7</f>
        <v>0</v>
      </c>
      <c r="J658" s="23">
        <f ca="1">J657*労務費経費単価SC!D$11</f>
        <v>0</v>
      </c>
      <c r="K658" s="22">
        <f ca="1">K657*$E657</f>
        <v>0</v>
      </c>
      <c r="L658" s="22">
        <f ca="1">L657*$E657</f>
        <v>0</v>
      </c>
      <c r="M658" s="22">
        <f t="shared" ref="M658" ca="1" si="2276">M657*$E657</f>
        <v>0</v>
      </c>
      <c r="N658" s="22">
        <f t="shared" ref="N658" ca="1" si="2277">N657*$E657</f>
        <v>0</v>
      </c>
      <c r="O658" s="22">
        <f t="shared" ref="O658" ca="1" si="2278">O657*$E657</f>
        <v>0</v>
      </c>
      <c r="P658" s="22">
        <f t="shared" ref="P658" ca="1" si="2279">P657*$E657</f>
        <v>0</v>
      </c>
      <c r="Q658" s="22">
        <f t="shared" ref="Q658" ca="1" si="2280">Q657*$E657</f>
        <v>0</v>
      </c>
      <c r="R658" s="22">
        <f t="shared" ref="R658" ca="1" si="2281">R657*$E657</f>
        <v>0</v>
      </c>
      <c r="S658" s="22">
        <f t="shared" ref="S658" ca="1" si="2282">S657*$E657</f>
        <v>0</v>
      </c>
      <c r="U658" s="17"/>
      <c r="V658" s="18"/>
      <c r="W658" s="19"/>
      <c r="X658" s="20"/>
    </row>
    <row r="659" spans="1:24">
      <c r="A659" s="200"/>
      <c r="B659" s="211"/>
      <c r="C659" s="200" t="s">
        <v>469</v>
      </c>
      <c r="D659" s="199" t="str">
        <f>VLOOKUP(C659,'仕掛品名寄（貼付）'!B:C,2,FALSE)</f>
        <v>その他</v>
      </c>
      <c r="E659" s="199">
        <f>VLOOKUP(D659,'仕掛品標準単価一覧表（貼付）'!B:G,6,FALSE)</f>
        <v>1080</v>
      </c>
      <c r="F659" s="12" t="s">
        <v>246</v>
      </c>
      <c r="G659" s="24">
        <v>0</v>
      </c>
      <c r="H659" s="13">
        <f ca="1">SUMIF('1.3②原材料使用'!B:E,C659,'1.3②原材料使用'!E:E)</f>
        <v>0</v>
      </c>
      <c r="I659" s="13">
        <f ca="1">SUMIF('2.10原液別作業時間'!A:B,C659,'2.10原液別作業時間'!B:B)</f>
        <v>0</v>
      </c>
      <c r="J659" s="13">
        <f ca="1">SUM(G659:H659,K659)</f>
        <v>0</v>
      </c>
      <c r="K659" s="13">
        <f ca="1">SUMIF('2.2⑤純増減→前工程費'!B:E,C659,'2.2⑤純増減→前工程費'!E:E)</f>
        <v>0</v>
      </c>
      <c r="L659" s="13">
        <f ca="1">SUMIF('2.6完成品'!C:D,C659,'2.6完成品'!D:D)</f>
        <v>0</v>
      </c>
      <c r="M659" s="13">
        <f ca="1">SUMIF('2.3研究費'!D:E,C659,'2.3研究費'!E:E)</f>
        <v>0</v>
      </c>
      <c r="N659" s="13">
        <f ca="1">SUMIF('2.4販促費'!D:E,C659,'2.4販促費'!E:E)</f>
        <v>0</v>
      </c>
      <c r="O659" s="13">
        <f ca="1">SUMIF('2.5廃棄処分'!D:E,C659,'2.5廃棄処分'!E:E)</f>
        <v>0</v>
      </c>
      <c r="P659" s="13">
        <f ca="1">SUMIF('2.1④異種原液'!D:E,C659,'2.1④異種原液'!E:E)</f>
        <v>0</v>
      </c>
      <c r="Q659" s="14">
        <f ca="1">SUMIF('2.7製造部生産分'!D:I,C659,'2.7製造部生産分'!H:H)</f>
        <v>0</v>
      </c>
      <c r="R659" s="15">
        <f ca="1">-(G659+H659+K659-L659-M659-N659-O659-P659-Q659-S659)</f>
        <v>0</v>
      </c>
      <c r="S659" s="13">
        <f ca="1">SUMIF('2.9原液在庫'!B:H,C659,'2.9原液在庫'!H:H)</f>
        <v>0</v>
      </c>
      <c r="T659" s="16">
        <f ca="1">IFERROR(SUM(G660:K660)/(G659+H659+K659),0)</f>
        <v>0</v>
      </c>
      <c r="U659" s="17" t="str">
        <f>C659</f>
        <v>FA</v>
      </c>
      <c r="V659" s="18">
        <f ca="1">IF(ISERROR(SUM(G660:K660)/SUM(L659:Q659,S659)),0,SUM(G660:K660)/SUM(L659:Q659,S659))</f>
        <v>0</v>
      </c>
      <c r="W659" s="19">
        <f ca="1">V659</f>
        <v>0</v>
      </c>
      <c r="X659" s="20">
        <f ca="1">W659/1000</f>
        <v>0</v>
      </c>
    </row>
    <row r="660" spans="1:24">
      <c r="A660" s="201"/>
      <c r="B660" s="201"/>
      <c r="C660" s="201"/>
      <c r="D660" s="199"/>
      <c r="E660" s="199"/>
      <c r="F660" s="21" t="s">
        <v>247</v>
      </c>
      <c r="G660" s="22" t="s">
        <v>254</v>
      </c>
      <c r="H660" s="184"/>
      <c r="I660" s="23">
        <f ca="1">I659*労務費経費単価SC!D$7</f>
        <v>0</v>
      </c>
      <c r="J660" s="23">
        <f ca="1">J659*労務費経費単価SC!D$11</f>
        <v>0</v>
      </c>
      <c r="K660" s="22">
        <f ca="1">K659*$E659</f>
        <v>0</v>
      </c>
      <c r="L660" s="22">
        <f ca="1">L659*$E659</f>
        <v>0</v>
      </c>
      <c r="M660" s="22">
        <f t="shared" ref="M660" ca="1" si="2283">M659*$E659</f>
        <v>0</v>
      </c>
      <c r="N660" s="22">
        <f t="shared" ref="N660" ca="1" si="2284">N659*$E659</f>
        <v>0</v>
      </c>
      <c r="O660" s="22">
        <f t="shared" ref="O660" ca="1" si="2285">O659*$E659</f>
        <v>0</v>
      </c>
      <c r="P660" s="22">
        <f t="shared" ref="P660" ca="1" si="2286">P659*$E659</f>
        <v>0</v>
      </c>
      <c r="Q660" s="22">
        <f t="shared" ref="Q660" ca="1" si="2287">Q659*$E659</f>
        <v>0</v>
      </c>
      <c r="R660" s="22">
        <f t="shared" ref="R660" ca="1" si="2288">R659*$E659</f>
        <v>0</v>
      </c>
      <c r="S660" s="22">
        <f t="shared" ref="S660" ca="1" si="2289">S659*$E659</f>
        <v>0</v>
      </c>
      <c r="U660" s="17"/>
      <c r="V660" s="18"/>
      <c r="W660" s="19"/>
      <c r="X660" s="20"/>
    </row>
    <row r="661" spans="1:24">
      <c r="A661" s="200"/>
      <c r="B661" s="211"/>
      <c r="C661" s="200" t="s">
        <v>470</v>
      </c>
      <c r="D661" s="199" t="str">
        <f>VLOOKUP(C661,'仕掛品名寄（貼付）'!B:C,2,FALSE)</f>
        <v>FB</v>
      </c>
      <c r="E661" s="199">
        <f>VLOOKUP(D661,'仕掛品標準単価一覧表（貼付）'!B:G,6,FALSE)</f>
        <v>2992.7183999999997</v>
      </c>
      <c r="F661" s="12" t="s">
        <v>246</v>
      </c>
      <c r="G661" s="13">
        <v>963</v>
      </c>
      <c r="H661" s="13">
        <f ca="1">SUMIF('1.3②原材料使用'!B:E,C661,'1.3②原材料使用'!E:E)</f>
        <v>52.5</v>
      </c>
      <c r="I661" s="13">
        <f ca="1">SUMIF('2.10原液別作業時間'!A:B,C661,'2.10原液別作業時間'!B:B)</f>
        <v>640</v>
      </c>
      <c r="J661" s="13">
        <f ca="1">SUM(G661:H661,K661)</f>
        <v>3566.5</v>
      </c>
      <c r="K661" s="13">
        <f ca="1">SUMIF('2.2⑤純増減→前工程費'!B:E,C661,'2.2⑤純増減→前工程費'!E:E)</f>
        <v>2551</v>
      </c>
      <c r="L661" s="13">
        <f ca="1">SUMIF('2.6完成品'!C:D,C661,'2.6完成品'!D:D)</f>
        <v>584.4</v>
      </c>
      <c r="M661" s="13">
        <f ca="1">SUMIF('2.3研究費'!D:E,C661,'2.3研究費'!E:E)</f>
        <v>0.2</v>
      </c>
      <c r="N661" s="13">
        <f ca="1">SUMIF('2.4販促費'!D:E,C661,'2.4販促費'!E:E)</f>
        <v>0</v>
      </c>
      <c r="O661" s="13">
        <f ca="1">SUMIF('2.5廃棄処分'!D:E,C661,'2.5廃棄処分'!E:E)</f>
        <v>0</v>
      </c>
      <c r="P661" s="13">
        <f ca="1">SUMIF('2.1④異種原液'!D:E,C661,'2.1④異種原液'!E:E)</f>
        <v>0</v>
      </c>
      <c r="Q661" s="14">
        <f ca="1">SUMIF('2.7製造部生産分'!D:I,C661,'2.7製造部生産分'!H:H)</f>
        <v>0</v>
      </c>
      <c r="R661" s="15">
        <f ca="1">-(G661+H661+K661-L661-M661-N661-O661-P661-Q661-S661)</f>
        <v>-54.900000000000091</v>
      </c>
      <c r="S661" s="13">
        <f ca="1">SUMIF('2.9原液在庫'!B:H,C661,'2.9原液在庫'!H:H)</f>
        <v>2927</v>
      </c>
      <c r="T661" s="16">
        <f ca="1">IFERROR(SUM(G662:K662)/(G661+H661+K661),0)</f>
        <v>2758.4741926182724</v>
      </c>
      <c r="U661" s="17" t="str">
        <f>C661</f>
        <v>FB</v>
      </c>
      <c r="V661" s="18">
        <f ca="1">IF(ISERROR(SUM(G662:K662)/SUM(L661:Q661,S661)),0,SUM(G662:K662)/SUM(L661:Q661,S661))</f>
        <v>2801.5998997531237</v>
      </c>
      <c r="W661" s="19">
        <f ca="1">V661</f>
        <v>2801.5998997531237</v>
      </c>
      <c r="X661" s="20">
        <f ca="1">W661/1000</f>
        <v>2.801599899753124</v>
      </c>
    </row>
    <row r="662" spans="1:24">
      <c r="A662" s="201"/>
      <c r="B662" s="201"/>
      <c r="C662" s="201"/>
      <c r="D662" s="199"/>
      <c r="E662" s="199"/>
      <c r="F662" s="21" t="s">
        <v>247</v>
      </c>
      <c r="G662" s="22">
        <v>1802278.5695730692</v>
      </c>
      <c r="H662" s="184"/>
      <c r="I662" s="23">
        <f ca="1">I661*労務費経費単価SC!D$7</f>
        <v>294400</v>
      </c>
      <c r="J662" s="23">
        <f ca="1">J661*労務費経費単価SC!D$11</f>
        <v>106995</v>
      </c>
      <c r="K662" s="22">
        <f ca="1">K661*$E661</f>
        <v>7634424.6383999996</v>
      </c>
      <c r="L662" s="22">
        <f ca="1">L661*$E661</f>
        <v>1748944.6329599998</v>
      </c>
      <c r="M662" s="22">
        <f t="shared" ref="M662" ca="1" si="2290">M661*$E661</f>
        <v>598.54367999999999</v>
      </c>
      <c r="N662" s="22">
        <f t="shared" ref="N662" ca="1" si="2291">N661*$E661</f>
        <v>0</v>
      </c>
      <c r="O662" s="22">
        <f t="shared" ref="O662" ca="1" si="2292">O661*$E661</f>
        <v>0</v>
      </c>
      <c r="P662" s="22">
        <f t="shared" ref="P662" ca="1" si="2293">P661*$E661</f>
        <v>0</v>
      </c>
      <c r="Q662" s="22">
        <f t="shared" ref="Q662" ca="1" si="2294">Q661*$E661</f>
        <v>0</v>
      </c>
      <c r="R662" s="22">
        <f t="shared" ref="R662" ca="1" si="2295">R661*$E661</f>
        <v>-164300.24016000025</v>
      </c>
      <c r="S662" s="22">
        <f t="shared" ref="S662" ca="1" si="2296">S661*$E661</f>
        <v>8759686.7567999996</v>
      </c>
      <c r="U662" s="17"/>
      <c r="V662" s="18"/>
      <c r="W662" s="19"/>
      <c r="X662" s="20"/>
    </row>
    <row r="663" spans="1:24">
      <c r="A663" s="200"/>
      <c r="B663" s="211"/>
      <c r="C663" s="200" t="s">
        <v>157</v>
      </c>
      <c r="D663" s="199" t="str">
        <f>VLOOKUP(C663,'仕掛品名寄（貼付）'!B:C,2,FALSE)</f>
        <v>G</v>
      </c>
      <c r="E663" s="199">
        <f>VLOOKUP(D663,'仕掛品標準単価一覧表（貼付）'!B:G,6,FALSE)</f>
        <v>2344.7183999999997</v>
      </c>
      <c r="F663" s="12" t="s">
        <v>246</v>
      </c>
      <c r="G663" s="13">
        <v>53</v>
      </c>
      <c r="H663" s="13">
        <f ca="1">SUMIF('1.3②原材料使用'!B:E,C663,'1.3②原材料使用'!E:E)</f>
        <v>6</v>
      </c>
      <c r="I663" s="13">
        <f ca="1">SUMIF('2.10原液別作業時間'!A:B,C663,'2.10原液別作業時間'!B:B)</f>
        <v>170</v>
      </c>
      <c r="J663" s="13">
        <f ca="1">SUM(G663:H663,K663)</f>
        <v>264.5</v>
      </c>
      <c r="K663" s="13">
        <f ca="1">SUMIF('2.2⑤純増減→前工程費'!B:E,C663,'2.2⑤純増減→前工程費'!E:E)</f>
        <v>205.5</v>
      </c>
      <c r="L663" s="13">
        <f ca="1">SUMIF('2.6完成品'!C:D,C663,'2.6完成品'!D:D)</f>
        <v>59.3</v>
      </c>
      <c r="M663" s="13">
        <f ca="1">SUMIF('2.3研究費'!D:E,C663,'2.3研究費'!E:E)</f>
        <v>0</v>
      </c>
      <c r="N663" s="13">
        <f ca="1">SUMIF('2.4販促費'!D:E,C663,'2.4販促費'!E:E)</f>
        <v>0</v>
      </c>
      <c r="O663" s="13">
        <f ca="1">SUMIF('2.5廃棄処分'!D:E,C663,'2.5廃棄処分'!E:E)</f>
        <v>0</v>
      </c>
      <c r="P663" s="13">
        <f ca="1">SUMIF('2.1④異種原液'!D:E,C663,'2.1④異種原液'!E:E)</f>
        <v>0</v>
      </c>
      <c r="Q663" s="14">
        <f ca="1">SUMIF('2.7製造部生産分'!D:I,C663,'2.7製造部生産分'!H:H)</f>
        <v>0</v>
      </c>
      <c r="R663" s="15">
        <f ca="1">-(G663+H663+K663-L663-M663-N663-O663-P663-Q663-S663)</f>
        <v>-8.1999999999999886</v>
      </c>
      <c r="S663" s="13">
        <f ca="1">SUMIF('2.9原液在庫'!B:H,C663,'2.9原液在庫'!H:H)</f>
        <v>197</v>
      </c>
      <c r="T663" s="16">
        <f ca="1">IFERROR(SUM(G664:K664)/(G663+H663+K663),0)</f>
        <v>2637.6538141959436</v>
      </c>
      <c r="U663" s="17" t="str">
        <f>C663</f>
        <v>G</v>
      </c>
      <c r="V663" s="18">
        <f ca="1">IF(ISERROR(SUM(G664:K664)/SUM(L663:Q663,S663)),0,SUM(G664:K664)/SUM(L663:Q663,S663))</f>
        <v>2722.0422702100159</v>
      </c>
      <c r="W663" s="19">
        <f ca="1">V663</f>
        <v>2722.0422702100159</v>
      </c>
      <c r="X663" s="20">
        <f ca="1">W663/1000</f>
        <v>2.7220422702100158</v>
      </c>
    </row>
    <row r="664" spans="1:24">
      <c r="A664" s="201"/>
      <c r="B664" s="201"/>
      <c r="C664" s="201"/>
      <c r="D664" s="199"/>
      <c r="E664" s="199"/>
      <c r="F664" s="21" t="s">
        <v>247</v>
      </c>
      <c r="G664" s="22">
        <v>129684.80265482713</v>
      </c>
      <c r="H664" s="184"/>
      <c r="I664" s="23">
        <f ca="1">I663*労務費経費単価SC!D$7</f>
        <v>78200</v>
      </c>
      <c r="J664" s="23">
        <f ca="1">J663*労務費経費単価SC!D$11</f>
        <v>7935</v>
      </c>
      <c r="K664" s="22">
        <f ca="1">K663*$E663</f>
        <v>481839.63119999995</v>
      </c>
      <c r="L664" s="22">
        <f ca="1">L663*$E663</f>
        <v>139041.80111999999</v>
      </c>
      <c r="M664" s="22">
        <f t="shared" ref="M664" ca="1" si="2297">M663*$E663</f>
        <v>0</v>
      </c>
      <c r="N664" s="22">
        <f t="shared" ref="N664" ca="1" si="2298">N663*$E663</f>
        <v>0</v>
      </c>
      <c r="O664" s="22">
        <f t="shared" ref="O664" ca="1" si="2299">O663*$E663</f>
        <v>0</v>
      </c>
      <c r="P664" s="22">
        <f t="shared" ref="P664" ca="1" si="2300">P663*$E663</f>
        <v>0</v>
      </c>
      <c r="Q664" s="22">
        <f t="shared" ref="Q664" ca="1" si="2301">Q663*$E663</f>
        <v>0</v>
      </c>
      <c r="R664" s="22">
        <f t="shared" ref="R664" ca="1" si="2302">R663*$E663</f>
        <v>-19226.690879999973</v>
      </c>
      <c r="S664" s="22">
        <f t="shared" ref="S664" ca="1" si="2303">S663*$E663</f>
        <v>461909.52479999996</v>
      </c>
      <c r="U664" s="17"/>
      <c r="V664" s="18"/>
      <c r="W664" s="19"/>
      <c r="X664" s="20"/>
    </row>
    <row r="665" spans="1:24">
      <c r="A665" s="200"/>
      <c r="B665" s="211"/>
      <c r="C665" s="200" t="s">
        <v>161</v>
      </c>
      <c r="D665" s="199" t="str">
        <f>VLOOKUP(C665,'仕掛品名寄（貼付）'!B:C,2,FALSE)</f>
        <v>その他</v>
      </c>
      <c r="E665" s="199">
        <f>VLOOKUP(D665,'仕掛品標準単価一覧表（貼付）'!B:G,6,FALSE)</f>
        <v>1080</v>
      </c>
      <c r="F665" s="12" t="s">
        <v>246</v>
      </c>
      <c r="G665" s="24">
        <v>59</v>
      </c>
      <c r="H665" s="13">
        <f ca="1">SUMIF('1.3②原材料使用'!B:E,C665,'1.3②原材料使用'!E:E)</f>
        <v>0</v>
      </c>
      <c r="I665" s="13">
        <f ca="1">SUMIF('2.10原液別作業時間'!A:B,C665,'2.10原液別作業時間'!B:B)</f>
        <v>0</v>
      </c>
      <c r="J665" s="13">
        <f ca="1">SUM(G665:H665,K665)</f>
        <v>59</v>
      </c>
      <c r="K665" s="13">
        <f ca="1">SUMIF('2.2⑤純増減→前工程費'!B:E,C665,'2.2⑤純増減→前工程費'!E:E)</f>
        <v>0</v>
      </c>
      <c r="L665" s="13">
        <f ca="1">SUMIF('2.6完成品'!C:D,C665,'2.6完成品'!D:D)</f>
        <v>0</v>
      </c>
      <c r="M665" s="13">
        <f ca="1">SUMIF('2.3研究費'!D:E,C665,'2.3研究費'!E:E)</f>
        <v>0</v>
      </c>
      <c r="N665" s="13">
        <f ca="1">SUMIF('2.4販促費'!D:E,C665,'2.4販促費'!E:E)</f>
        <v>0</v>
      </c>
      <c r="O665" s="13">
        <f ca="1">SUMIF('2.5廃棄処分'!D:E,C665,'2.5廃棄処分'!E:E)</f>
        <v>0</v>
      </c>
      <c r="P665" s="13">
        <f ca="1">SUMIF('2.1④異種原液'!D:E,C665,'2.1④異種原液'!E:E)</f>
        <v>0</v>
      </c>
      <c r="Q665" s="14">
        <f ca="1">SUMIF('2.7製造部生産分'!D:I,C665,'2.7製造部生産分'!H:H)</f>
        <v>0</v>
      </c>
      <c r="R665" s="15">
        <f ca="1">-(G665+H665+K665-L665-M665-N665-O665-P665-Q665-S665)</f>
        <v>0</v>
      </c>
      <c r="S665" s="13">
        <f ca="1">SUMIF('2.9原液在庫'!B:H,C665,'2.9原液在庫'!H:H)</f>
        <v>59</v>
      </c>
      <c r="T665" s="16">
        <f ca="1">IFERROR(SUM(G666:K666)/(G665+H665+K665),0)</f>
        <v>2677.5419370234795</v>
      </c>
      <c r="U665" s="17" t="str">
        <f>C665</f>
        <v>I</v>
      </c>
      <c r="V665" s="18">
        <f ca="1">IF(ISERROR(SUM(G666:K666)/SUM(L665:Q665,S665)),0,SUM(G666:K666)/SUM(L665:Q665,S665))</f>
        <v>2677.5419370234795</v>
      </c>
      <c r="W665" s="19">
        <f ca="1">V665</f>
        <v>2677.5419370234795</v>
      </c>
      <c r="X665" s="20">
        <f ca="1">W665/1000</f>
        <v>2.6775419370234794</v>
      </c>
    </row>
    <row r="666" spans="1:24">
      <c r="A666" s="201"/>
      <c r="B666" s="201"/>
      <c r="C666" s="201"/>
      <c r="D666" s="199"/>
      <c r="E666" s="199"/>
      <c r="F666" s="21" t="s">
        <v>247</v>
      </c>
      <c r="G666" s="22">
        <v>156204.9742843853</v>
      </c>
      <c r="H666" s="184"/>
      <c r="I666" s="23">
        <f ca="1">I665*労務費経費単価SC!D$7</f>
        <v>0</v>
      </c>
      <c r="J666" s="23">
        <f ca="1">J665*労務費経費単価SC!D$11</f>
        <v>1770</v>
      </c>
      <c r="K666" s="22">
        <f ca="1">K665*$E665</f>
        <v>0</v>
      </c>
      <c r="L666" s="22">
        <f ca="1">L665*$E665</f>
        <v>0</v>
      </c>
      <c r="M666" s="22">
        <f t="shared" ref="M666" ca="1" si="2304">M665*$E665</f>
        <v>0</v>
      </c>
      <c r="N666" s="22">
        <f t="shared" ref="N666" ca="1" si="2305">N665*$E665</f>
        <v>0</v>
      </c>
      <c r="O666" s="22">
        <f t="shared" ref="O666" ca="1" si="2306">O665*$E665</f>
        <v>0</v>
      </c>
      <c r="P666" s="22">
        <f t="shared" ref="P666" ca="1" si="2307">P665*$E665</f>
        <v>0</v>
      </c>
      <c r="Q666" s="22">
        <f t="shared" ref="Q666" ca="1" si="2308">Q665*$E665</f>
        <v>0</v>
      </c>
      <c r="R666" s="22">
        <f t="shared" ref="R666" ca="1" si="2309">R665*$E665</f>
        <v>0</v>
      </c>
      <c r="S666" s="22">
        <f t="shared" ref="S666" ca="1" si="2310">S665*$E665</f>
        <v>63720</v>
      </c>
      <c r="U666" s="17"/>
      <c r="V666" s="18"/>
      <c r="W666" s="19"/>
      <c r="X666" s="20"/>
    </row>
    <row r="667" spans="1:24">
      <c r="A667" s="200"/>
      <c r="B667" s="211"/>
      <c r="C667" s="200" t="s">
        <v>471</v>
      </c>
      <c r="D667" s="199" t="str">
        <f>VLOOKUP(C667,'仕掛品名寄（貼付）'!B:C,2,FALSE)</f>
        <v>その他</v>
      </c>
      <c r="E667" s="199">
        <f>VLOOKUP(D667,'仕掛品標準単価一覧表（貼付）'!B:G,6,FALSE)</f>
        <v>1080</v>
      </c>
      <c r="F667" s="12" t="s">
        <v>246</v>
      </c>
      <c r="G667" s="13">
        <v>0</v>
      </c>
      <c r="H667" s="13">
        <f ca="1">SUMIF('1.3②原材料使用'!B:E,C667,'1.3②原材料使用'!E:E)</f>
        <v>0</v>
      </c>
      <c r="I667" s="13">
        <f ca="1">SUMIF('2.10原液別作業時間'!A:B,C667,'2.10原液別作業時間'!B:B)</f>
        <v>0</v>
      </c>
      <c r="J667" s="13">
        <f ca="1">SUM(G667:H667,K667)</f>
        <v>0</v>
      </c>
      <c r="K667" s="13">
        <f ca="1">SUMIF('2.2⑤純増減→前工程費'!B:E,C667,'2.2⑤純増減→前工程費'!E:E)</f>
        <v>0</v>
      </c>
      <c r="L667" s="13">
        <f ca="1">SUMIF('2.6完成品'!C:D,C667,'2.6完成品'!D:D)</f>
        <v>0</v>
      </c>
      <c r="M667" s="13">
        <f ca="1">SUMIF('2.3研究費'!D:E,C667,'2.3研究費'!E:E)</f>
        <v>0</v>
      </c>
      <c r="N667" s="13">
        <f ca="1">SUMIF('2.4販促費'!D:E,C667,'2.4販促費'!E:E)</f>
        <v>0</v>
      </c>
      <c r="O667" s="13">
        <f ca="1">SUMIF('2.5廃棄処分'!D:E,C667,'2.5廃棄処分'!E:E)</f>
        <v>0</v>
      </c>
      <c r="P667" s="13">
        <f ca="1">SUMIF('2.1④異種原液'!D:E,C667,'2.1④異種原液'!E:E)</f>
        <v>0</v>
      </c>
      <c r="Q667" s="14">
        <f ca="1">SUMIF('2.7製造部生産分'!D:I,C667,'2.7製造部生産分'!H:H)</f>
        <v>0</v>
      </c>
      <c r="R667" s="15">
        <f ca="1">-(G667+H667+K667-L667-M667-N667-O667-P667-Q667-S667)</f>
        <v>0</v>
      </c>
      <c r="S667" s="13">
        <f ca="1">SUMIF('2.9原液在庫'!B:H,C667,'2.9原液在庫'!H:H)</f>
        <v>0</v>
      </c>
      <c r="T667" s="16">
        <f ca="1">IFERROR(SUM(G668:K668)/(G667+H667+K667),0)</f>
        <v>0</v>
      </c>
      <c r="U667" s="17" t="str">
        <f>C667</f>
        <v>JA</v>
      </c>
      <c r="V667" s="18">
        <f ca="1">IF(ISERROR(SUM(G668:K668)/SUM(L667:Q667,S667)),0,SUM(G668:K668)/SUM(L667:Q667,S667))</f>
        <v>0</v>
      </c>
      <c r="W667" s="19">
        <f ca="1">V667</f>
        <v>0</v>
      </c>
      <c r="X667" s="20">
        <f ca="1">W667/1000</f>
        <v>0</v>
      </c>
    </row>
    <row r="668" spans="1:24">
      <c r="A668" s="201"/>
      <c r="B668" s="201"/>
      <c r="C668" s="201"/>
      <c r="D668" s="199"/>
      <c r="E668" s="199"/>
      <c r="F668" s="21" t="s">
        <v>247</v>
      </c>
      <c r="G668" s="22" t="s">
        <v>254</v>
      </c>
      <c r="H668" s="184"/>
      <c r="I668" s="23">
        <f ca="1">I667*労務費経費単価SC!D$7</f>
        <v>0</v>
      </c>
      <c r="J668" s="23">
        <f ca="1">J667*労務費経費単価SC!D$11</f>
        <v>0</v>
      </c>
      <c r="K668" s="22">
        <f ca="1">K667*$E667</f>
        <v>0</v>
      </c>
      <c r="L668" s="22">
        <f ca="1">L667*$E667</f>
        <v>0</v>
      </c>
      <c r="M668" s="22">
        <f t="shared" ref="M668" ca="1" si="2311">M667*$E667</f>
        <v>0</v>
      </c>
      <c r="N668" s="22">
        <f t="shared" ref="N668" ca="1" si="2312">N667*$E667</f>
        <v>0</v>
      </c>
      <c r="O668" s="22">
        <f t="shared" ref="O668" ca="1" si="2313">O667*$E667</f>
        <v>0</v>
      </c>
      <c r="P668" s="22">
        <f t="shared" ref="P668" ca="1" si="2314">P667*$E667</f>
        <v>0</v>
      </c>
      <c r="Q668" s="22">
        <f t="shared" ref="Q668" ca="1" si="2315">Q667*$E667</f>
        <v>0</v>
      </c>
      <c r="R668" s="22">
        <f t="shared" ref="R668" ca="1" si="2316">R667*$E667</f>
        <v>0</v>
      </c>
      <c r="S668" s="22">
        <f t="shared" ref="S668" ca="1" si="2317">S667*$E667</f>
        <v>0</v>
      </c>
      <c r="U668" s="17"/>
      <c r="V668" s="18"/>
      <c r="W668" s="19"/>
      <c r="X668" s="20"/>
    </row>
    <row r="669" spans="1:24">
      <c r="A669" s="200"/>
      <c r="B669" s="211"/>
      <c r="C669" s="200" t="s">
        <v>472</v>
      </c>
      <c r="D669" s="199" t="str">
        <f>VLOOKUP(C669,'仕掛品名寄（貼付）'!B:C,2,FALSE)</f>
        <v>その他</v>
      </c>
      <c r="E669" s="199">
        <f>VLOOKUP(D669,'仕掛品標準単価一覧表（貼付）'!B:G,6,FALSE)</f>
        <v>1080</v>
      </c>
      <c r="F669" s="12" t="s">
        <v>246</v>
      </c>
      <c r="G669" s="13">
        <v>0</v>
      </c>
      <c r="H669" s="13">
        <f ca="1">SUMIF('1.3②原材料使用'!B:E,C669,'1.3②原材料使用'!E:E)</f>
        <v>0</v>
      </c>
      <c r="I669" s="13">
        <f ca="1">SUMIF('2.10原液別作業時間'!A:B,C669,'2.10原液別作業時間'!B:B)</f>
        <v>0</v>
      </c>
      <c r="J669" s="13">
        <f ca="1">SUM(G669:H669,K669)</f>
        <v>0</v>
      </c>
      <c r="K669" s="13">
        <f ca="1">SUMIF('2.2⑤純増減→前工程費'!B:E,C669,'2.2⑤純増減→前工程費'!E:E)</f>
        <v>0</v>
      </c>
      <c r="L669" s="13">
        <f ca="1">SUMIF('2.6完成品'!C:D,C669,'2.6完成品'!D:D)</f>
        <v>0</v>
      </c>
      <c r="M669" s="13">
        <f ca="1">SUMIF('2.3研究費'!D:E,C669,'2.3研究費'!E:E)</f>
        <v>0</v>
      </c>
      <c r="N669" s="13">
        <f ca="1">SUMIF('2.4販促費'!D:E,C669,'2.4販促費'!E:E)</f>
        <v>0</v>
      </c>
      <c r="O669" s="13">
        <f ca="1">SUMIF('2.5廃棄処分'!D:E,C669,'2.5廃棄処分'!E:E)</f>
        <v>0</v>
      </c>
      <c r="P669" s="13">
        <f ca="1">SUMIF('2.1④異種原液'!D:E,C669,'2.1④異種原液'!E:E)</f>
        <v>0</v>
      </c>
      <c r="Q669" s="14">
        <f ca="1">SUMIF('2.7製造部生産分'!D:I,C669,'2.7製造部生産分'!H:H)</f>
        <v>0</v>
      </c>
      <c r="R669" s="15">
        <f ca="1">-(G669+H669+K669-L669-M669-N669-O669-P669-Q669-S669)</f>
        <v>0</v>
      </c>
      <c r="S669" s="13">
        <f ca="1">SUMIF('2.9原液在庫'!B:H,C669,'2.9原液在庫'!H:H)</f>
        <v>0</v>
      </c>
      <c r="T669" s="16">
        <f ca="1">IFERROR(SUM(G670:K670)/(G669+H669+K669),0)</f>
        <v>0</v>
      </c>
      <c r="U669" s="17" t="str">
        <f>C669</f>
        <v>JK</v>
      </c>
      <c r="V669" s="18">
        <f ca="1">IF(ISERROR(SUM(G670:K670)/SUM(L669:Q669,S669)),0,SUM(G670:K670)/SUM(L669:Q669,S669))</f>
        <v>0</v>
      </c>
      <c r="W669" s="19">
        <f ca="1">V669</f>
        <v>0</v>
      </c>
      <c r="X669" s="20">
        <f ca="1">W669/1000</f>
        <v>0</v>
      </c>
    </row>
    <row r="670" spans="1:24">
      <c r="A670" s="201"/>
      <c r="B670" s="201"/>
      <c r="C670" s="201"/>
      <c r="D670" s="199"/>
      <c r="E670" s="199"/>
      <c r="F670" s="21" t="s">
        <v>247</v>
      </c>
      <c r="G670" s="22" t="s">
        <v>254</v>
      </c>
      <c r="H670" s="184"/>
      <c r="I670" s="23">
        <f ca="1">I669*労務費経費単価SC!D$7</f>
        <v>0</v>
      </c>
      <c r="J670" s="23">
        <f ca="1">J669*労務費経費単価SC!D$11</f>
        <v>0</v>
      </c>
      <c r="K670" s="22">
        <f ca="1">K669*$E669</f>
        <v>0</v>
      </c>
      <c r="L670" s="22">
        <f ca="1">L669*$E669</f>
        <v>0</v>
      </c>
      <c r="M670" s="22">
        <f t="shared" ref="M670" ca="1" si="2318">M669*$E669</f>
        <v>0</v>
      </c>
      <c r="N670" s="22">
        <f t="shared" ref="N670" ca="1" si="2319">N669*$E669</f>
        <v>0</v>
      </c>
      <c r="O670" s="22">
        <f t="shared" ref="O670" ca="1" si="2320">O669*$E669</f>
        <v>0</v>
      </c>
      <c r="P670" s="22">
        <f t="shared" ref="P670" ca="1" si="2321">P669*$E669</f>
        <v>0</v>
      </c>
      <c r="Q670" s="22">
        <f t="shared" ref="Q670" ca="1" si="2322">Q669*$E669</f>
        <v>0</v>
      </c>
      <c r="R670" s="22">
        <f t="shared" ref="R670" ca="1" si="2323">R669*$E669</f>
        <v>0</v>
      </c>
      <c r="S670" s="22">
        <f t="shared" ref="S670" ca="1" si="2324">S669*$E669</f>
        <v>0</v>
      </c>
      <c r="U670" s="17"/>
      <c r="V670" s="18"/>
      <c r="W670" s="19"/>
      <c r="X670" s="20"/>
    </row>
    <row r="671" spans="1:24">
      <c r="A671" s="200"/>
      <c r="B671" s="211"/>
      <c r="C671" s="200" t="s">
        <v>162</v>
      </c>
      <c r="D671" s="199" t="str">
        <f>VLOOKUP(C671,'仕掛品名寄（貼付）'!B:C,2,FALSE)</f>
        <v>その他</v>
      </c>
      <c r="E671" s="199">
        <f>VLOOKUP(D671,'仕掛品標準単価一覧表（貼付）'!B:G,6,FALSE)</f>
        <v>1080</v>
      </c>
      <c r="F671" s="12" t="s">
        <v>246</v>
      </c>
      <c r="G671" s="13">
        <v>0</v>
      </c>
      <c r="H671" s="13">
        <f ca="1">SUMIF('1.3②原材料使用'!B:E,C671,'1.3②原材料使用'!E:E)</f>
        <v>0</v>
      </c>
      <c r="I671" s="13">
        <f ca="1">SUMIF('2.10原液別作業時間'!A:B,C671,'2.10原液別作業時間'!B:B)</f>
        <v>0</v>
      </c>
      <c r="J671" s="13">
        <f ca="1">SUM(G671:H671,K671)</f>
        <v>0</v>
      </c>
      <c r="K671" s="13">
        <f ca="1">SUMIF('2.2⑤純増減→前工程費'!B:E,C671,'2.2⑤純増減→前工程費'!E:E)</f>
        <v>0</v>
      </c>
      <c r="L671" s="13">
        <f ca="1">SUMIF('2.6完成品'!C:D,C671,'2.6完成品'!D:D)</f>
        <v>0</v>
      </c>
      <c r="M671" s="13">
        <f ca="1">SUMIF('2.3研究費'!D:E,C671,'2.3研究費'!E:E)</f>
        <v>0</v>
      </c>
      <c r="N671" s="13">
        <f ca="1">SUMIF('2.4販促費'!D:E,C671,'2.4販促費'!E:E)</f>
        <v>0</v>
      </c>
      <c r="O671" s="13">
        <f ca="1">SUMIF('2.5廃棄処分'!D:E,C671,'2.5廃棄処分'!E:E)</f>
        <v>0</v>
      </c>
      <c r="P671" s="13">
        <f ca="1">SUMIF('2.1④異種原液'!D:E,C671,'2.1④異種原液'!E:E)</f>
        <v>0</v>
      </c>
      <c r="Q671" s="14">
        <f ca="1">SUMIF('2.7製造部生産分'!D:I,C671,'2.7製造部生産分'!H:H)</f>
        <v>0</v>
      </c>
      <c r="R671" s="15">
        <f ca="1">-(G671+H671+K671-L671-M671-N671-O671-P671-Q671-S671)</f>
        <v>0</v>
      </c>
      <c r="S671" s="13">
        <f ca="1">SUMIF('2.9原液在庫'!B:H,C671,'2.9原液在庫'!H:H)</f>
        <v>0</v>
      </c>
      <c r="T671" s="16">
        <f ca="1">IFERROR(SUM(G672:K672)/(G671+H671+K671),0)</f>
        <v>0</v>
      </c>
      <c r="U671" s="17" t="str">
        <f>C671</f>
        <v>L</v>
      </c>
      <c r="V671" s="18">
        <f ca="1">IF(ISERROR(SUM(G672:K672)/SUM(L671:Q671,S671)),0,SUM(G672:K672)/SUM(L671:Q671,S671))</f>
        <v>0</v>
      </c>
      <c r="W671" s="19">
        <f ca="1">V671</f>
        <v>0</v>
      </c>
      <c r="X671" s="20">
        <f ca="1">W671/1000</f>
        <v>0</v>
      </c>
    </row>
    <row r="672" spans="1:24">
      <c r="A672" s="201"/>
      <c r="B672" s="201"/>
      <c r="C672" s="201"/>
      <c r="D672" s="199"/>
      <c r="E672" s="199"/>
      <c r="F672" s="21" t="s">
        <v>247</v>
      </c>
      <c r="G672" s="22" t="s">
        <v>254</v>
      </c>
      <c r="H672" s="184"/>
      <c r="I672" s="23">
        <f ca="1">I671*労務費経費単価SC!D$7</f>
        <v>0</v>
      </c>
      <c r="J672" s="23">
        <f ca="1">J671*労務費経費単価SC!D$11</f>
        <v>0</v>
      </c>
      <c r="K672" s="22">
        <f ca="1">K671*$E671</f>
        <v>0</v>
      </c>
      <c r="L672" s="22">
        <f ca="1">L671*$E671</f>
        <v>0</v>
      </c>
      <c r="M672" s="22">
        <f t="shared" ref="M672" ca="1" si="2325">M671*$E671</f>
        <v>0</v>
      </c>
      <c r="N672" s="22">
        <f t="shared" ref="N672" ca="1" si="2326">N671*$E671</f>
        <v>0</v>
      </c>
      <c r="O672" s="22">
        <f t="shared" ref="O672" ca="1" si="2327">O671*$E671</f>
        <v>0</v>
      </c>
      <c r="P672" s="22">
        <f t="shared" ref="P672" ca="1" si="2328">P671*$E671</f>
        <v>0</v>
      </c>
      <c r="Q672" s="22">
        <f t="shared" ref="Q672" ca="1" si="2329">Q671*$E671</f>
        <v>0</v>
      </c>
      <c r="R672" s="22">
        <f t="shared" ref="R672" ca="1" si="2330">R671*$E671</f>
        <v>0</v>
      </c>
      <c r="S672" s="22">
        <f t="shared" ref="S672" ca="1" si="2331">S671*$E671</f>
        <v>0</v>
      </c>
      <c r="U672" s="17"/>
      <c r="V672" s="18"/>
      <c r="W672" s="19"/>
      <c r="X672" s="20"/>
    </row>
    <row r="673" spans="1:24">
      <c r="A673" s="200"/>
      <c r="B673" s="211"/>
      <c r="C673" s="200" t="s">
        <v>164</v>
      </c>
      <c r="D673" s="199" t="str">
        <f>VLOOKUP(C673,'仕掛品名寄（貼付）'!B:C,2,FALSE)</f>
        <v>その他</v>
      </c>
      <c r="E673" s="199">
        <f>VLOOKUP(D673,'仕掛品標準単価一覧表（貼付）'!B:G,6,FALSE)</f>
        <v>1080</v>
      </c>
      <c r="F673" s="12" t="s">
        <v>246</v>
      </c>
      <c r="G673" s="24">
        <v>0</v>
      </c>
      <c r="H673" s="13">
        <f ca="1">SUMIF('1.3②原材料使用'!B:E,C673,'1.3②原材料使用'!E:E)</f>
        <v>0</v>
      </c>
      <c r="I673" s="13">
        <f ca="1">SUMIF('2.10原液別作業時間'!A:B,C673,'2.10原液別作業時間'!B:B)</f>
        <v>0</v>
      </c>
      <c r="J673" s="13">
        <f ca="1">SUM(G673:H673,K673)</f>
        <v>0</v>
      </c>
      <c r="K673" s="13">
        <f ca="1">SUMIF('2.2⑤純増減→前工程費'!B:E,C673,'2.2⑤純増減→前工程費'!E:E)</f>
        <v>0</v>
      </c>
      <c r="L673" s="13">
        <f ca="1">SUMIF('2.6完成品'!C:D,C673,'2.6完成品'!D:D)</f>
        <v>0</v>
      </c>
      <c r="M673" s="13">
        <f ca="1">SUMIF('2.3研究費'!D:E,C673,'2.3研究費'!E:E)</f>
        <v>0</v>
      </c>
      <c r="N673" s="13">
        <f ca="1">SUMIF('2.4販促費'!D:E,C673,'2.4販促費'!E:E)</f>
        <v>0</v>
      </c>
      <c r="O673" s="13">
        <f ca="1">SUMIF('2.5廃棄処分'!D:E,C673,'2.5廃棄処分'!E:E)</f>
        <v>0</v>
      </c>
      <c r="P673" s="13">
        <f ca="1">SUMIF('2.1④異種原液'!D:E,C673,'2.1④異種原液'!E:E)</f>
        <v>0</v>
      </c>
      <c r="Q673" s="14">
        <f ca="1">SUMIF('2.7製造部生産分'!D:I,C673,'2.7製造部生産分'!H:H)</f>
        <v>0</v>
      </c>
      <c r="R673" s="15">
        <f ca="1">-(G673+H673+K673-L673-M673-N673-O673-P673-Q673-S673)</f>
        <v>0</v>
      </c>
      <c r="S673" s="13">
        <f ca="1">SUMIF('2.9原液在庫'!B:H,C673,'2.9原液在庫'!H:H)</f>
        <v>0</v>
      </c>
      <c r="T673" s="16">
        <f ca="1">IFERROR(SUM(G674:K674)/(G673+H673+K673),0)</f>
        <v>0</v>
      </c>
      <c r="U673" s="17" t="str">
        <f>C673</f>
        <v>M</v>
      </c>
      <c r="V673" s="18">
        <f ca="1">IF(ISERROR(SUM(G674:K674)/SUM(L673:Q673,S673)),0,SUM(G674:K674)/SUM(L673:Q673,S673))</f>
        <v>0</v>
      </c>
      <c r="W673" s="19">
        <f ca="1">V673</f>
        <v>0</v>
      </c>
      <c r="X673" s="20">
        <f ca="1">W673/1000</f>
        <v>0</v>
      </c>
    </row>
    <row r="674" spans="1:24">
      <c r="A674" s="201"/>
      <c r="B674" s="201"/>
      <c r="C674" s="201"/>
      <c r="D674" s="199"/>
      <c r="E674" s="199"/>
      <c r="F674" s="21" t="s">
        <v>247</v>
      </c>
      <c r="G674" s="22" t="s">
        <v>254</v>
      </c>
      <c r="H674" s="184"/>
      <c r="I674" s="23">
        <f ca="1">I673*労務費経費単価SC!D$7</f>
        <v>0</v>
      </c>
      <c r="J674" s="23">
        <f ca="1">J673*労務費経費単価SC!D$11</f>
        <v>0</v>
      </c>
      <c r="K674" s="22">
        <f ca="1">K673*$E673</f>
        <v>0</v>
      </c>
      <c r="L674" s="22">
        <f ca="1">L673*$E673</f>
        <v>0</v>
      </c>
      <c r="M674" s="22">
        <f t="shared" ref="M674" ca="1" si="2332">M673*$E673</f>
        <v>0</v>
      </c>
      <c r="N674" s="22">
        <f t="shared" ref="N674" ca="1" si="2333">N673*$E673</f>
        <v>0</v>
      </c>
      <c r="O674" s="22">
        <f t="shared" ref="O674" ca="1" si="2334">O673*$E673</f>
        <v>0</v>
      </c>
      <c r="P674" s="22">
        <f t="shared" ref="P674" ca="1" si="2335">P673*$E673</f>
        <v>0</v>
      </c>
      <c r="Q674" s="22">
        <f t="shared" ref="Q674" ca="1" si="2336">Q673*$E673</f>
        <v>0</v>
      </c>
      <c r="R674" s="22">
        <f t="shared" ref="R674" ca="1" si="2337">R673*$E673</f>
        <v>0</v>
      </c>
      <c r="S674" s="22">
        <f t="shared" ref="S674" ca="1" si="2338">S673*$E673</f>
        <v>0</v>
      </c>
      <c r="U674" s="17"/>
      <c r="V674" s="18"/>
      <c r="W674" s="19"/>
      <c r="X674" s="20"/>
    </row>
    <row r="675" spans="1:24">
      <c r="A675" s="200"/>
      <c r="B675" s="211"/>
      <c r="C675" s="200" t="s">
        <v>473</v>
      </c>
      <c r="D675" s="199" t="str">
        <f>VLOOKUP(C675,'仕掛品名寄（貼付）'!B:C,2,FALSE)</f>
        <v>その他</v>
      </c>
      <c r="E675" s="199">
        <f>VLOOKUP(D675,'仕掛品標準単価一覧表（貼付）'!B:G,6,FALSE)</f>
        <v>1080</v>
      </c>
      <c r="F675" s="12" t="s">
        <v>246</v>
      </c>
      <c r="G675" s="24">
        <v>0</v>
      </c>
      <c r="H675" s="13">
        <f ca="1">SUMIF('1.3②原材料使用'!B:E,C675,'1.3②原材料使用'!E:E)</f>
        <v>0</v>
      </c>
      <c r="I675" s="13">
        <f ca="1">SUMIF('2.10原液別作業時間'!A:B,C675,'2.10原液別作業時間'!B:B)</f>
        <v>0</v>
      </c>
      <c r="J675" s="13">
        <f ca="1">SUM(G675:H675,K675)</f>
        <v>0</v>
      </c>
      <c r="K675" s="13">
        <f ca="1">SUMIF('2.2⑤純増減→前工程費'!B:E,C675,'2.2⑤純増減→前工程費'!E:E)</f>
        <v>0</v>
      </c>
      <c r="L675" s="13">
        <f ca="1">SUMIF('2.6完成品'!C:D,C675,'2.6完成品'!D:D)</f>
        <v>0</v>
      </c>
      <c r="M675" s="13">
        <f ca="1">SUMIF('2.3研究費'!D:E,C675,'2.3研究費'!E:E)</f>
        <v>0</v>
      </c>
      <c r="N675" s="13">
        <f ca="1">SUMIF('2.4販促費'!D:E,C675,'2.4販促費'!E:E)</f>
        <v>0</v>
      </c>
      <c r="O675" s="13">
        <f ca="1">SUMIF('2.5廃棄処分'!D:E,C675,'2.5廃棄処分'!E:E)</f>
        <v>0</v>
      </c>
      <c r="P675" s="13">
        <f ca="1">SUMIF('2.1④異種原液'!D:E,C675,'2.1④異種原液'!E:E)</f>
        <v>0</v>
      </c>
      <c r="Q675" s="14">
        <f ca="1">SUMIF('2.7製造部生産分'!D:I,C675,'2.7製造部生産分'!H:H)</f>
        <v>0</v>
      </c>
      <c r="R675" s="15">
        <f ca="1">-(G675+H675+K675-L675-M675-N675-O675-P675-Q675-S675)</f>
        <v>0</v>
      </c>
      <c r="S675" s="13">
        <f ca="1">SUMIF('2.9原液在庫'!B:H,C675,'2.9原液在庫'!H:H)</f>
        <v>0</v>
      </c>
      <c r="T675" s="16">
        <f ca="1">IFERROR(SUM(G676:K676)/(G675+H675+K675),0)</f>
        <v>0</v>
      </c>
      <c r="U675" s="17" t="str">
        <f>C675</f>
        <v>MF</v>
      </c>
      <c r="V675" s="18">
        <f ca="1">IF(ISERROR(SUM(G676:K676)/SUM(L675:Q675,S675)),0,SUM(G676:K676)/SUM(L675:Q675,S675))</f>
        <v>0</v>
      </c>
      <c r="W675" s="19">
        <f ca="1">V675</f>
        <v>0</v>
      </c>
      <c r="X675" s="20">
        <f ca="1">W675/1000</f>
        <v>0</v>
      </c>
    </row>
    <row r="676" spans="1:24">
      <c r="A676" s="201"/>
      <c r="B676" s="201"/>
      <c r="C676" s="201"/>
      <c r="D676" s="199"/>
      <c r="E676" s="199"/>
      <c r="F676" s="21" t="s">
        <v>247</v>
      </c>
      <c r="G676" s="22" t="s">
        <v>254</v>
      </c>
      <c r="H676" s="184"/>
      <c r="I676" s="23">
        <f ca="1">I675*労務費経費単価SC!D$7</f>
        <v>0</v>
      </c>
      <c r="J676" s="23">
        <f ca="1">J675*労務費経費単価SC!D$11</f>
        <v>0</v>
      </c>
      <c r="K676" s="22">
        <f ca="1">K675*$E675</f>
        <v>0</v>
      </c>
      <c r="L676" s="22">
        <f ca="1">L675*$E675</f>
        <v>0</v>
      </c>
      <c r="M676" s="22">
        <f t="shared" ref="M676" ca="1" si="2339">M675*$E675</f>
        <v>0</v>
      </c>
      <c r="N676" s="22">
        <f t="shared" ref="N676" ca="1" si="2340">N675*$E675</f>
        <v>0</v>
      </c>
      <c r="O676" s="22">
        <f t="shared" ref="O676" ca="1" si="2341">O675*$E675</f>
        <v>0</v>
      </c>
      <c r="P676" s="22">
        <f t="shared" ref="P676" ca="1" si="2342">P675*$E675</f>
        <v>0</v>
      </c>
      <c r="Q676" s="22">
        <f t="shared" ref="Q676" ca="1" si="2343">Q675*$E675</f>
        <v>0</v>
      </c>
      <c r="R676" s="22">
        <f t="shared" ref="R676" ca="1" si="2344">R675*$E675</f>
        <v>0</v>
      </c>
      <c r="S676" s="22">
        <f t="shared" ref="S676" ca="1" si="2345">S675*$E675</f>
        <v>0</v>
      </c>
      <c r="U676" s="17"/>
      <c r="V676" s="18"/>
      <c r="W676" s="19"/>
      <c r="X676" s="20"/>
    </row>
    <row r="677" spans="1:24">
      <c r="A677" s="200"/>
      <c r="B677" s="211"/>
      <c r="C677" s="200" t="s">
        <v>474</v>
      </c>
      <c r="D677" s="199" t="str">
        <f>VLOOKUP(C677,'仕掛品名寄（貼付）'!B:C,2,FALSE)</f>
        <v>その他</v>
      </c>
      <c r="E677" s="199">
        <f>VLOOKUP(D677,'仕掛品標準単価一覧表（貼付）'!B:G,6,FALSE)</f>
        <v>1080</v>
      </c>
      <c r="F677" s="12" t="s">
        <v>246</v>
      </c>
      <c r="G677" s="24">
        <v>51.5</v>
      </c>
      <c r="H677" s="13">
        <f ca="1">SUMIF('1.3②原材料使用'!B:E,C677,'1.3②原材料使用'!E:E)</f>
        <v>0</v>
      </c>
      <c r="I677" s="13">
        <f ca="1">SUMIF('2.10原液別作業時間'!A:B,C677,'2.10原液別作業時間'!B:B)</f>
        <v>0</v>
      </c>
      <c r="J677" s="13">
        <f ca="1">SUM(G677:H677,K677)</f>
        <v>51.5</v>
      </c>
      <c r="K677" s="13">
        <f ca="1">SUMIF('2.2⑤純増減→前工程費'!B:E,C677,'2.2⑤純増減→前工程費'!E:E)</f>
        <v>0</v>
      </c>
      <c r="L677" s="13">
        <f ca="1">SUMIF('2.6完成品'!C:D,C677,'2.6完成品'!D:D)</f>
        <v>0</v>
      </c>
      <c r="M677" s="13">
        <f ca="1">SUMIF('2.3研究費'!D:E,C677,'2.3研究費'!E:E)</f>
        <v>0.1</v>
      </c>
      <c r="N677" s="13">
        <f ca="1">SUMIF('2.4販促費'!D:E,C677,'2.4販促費'!E:E)</f>
        <v>0</v>
      </c>
      <c r="O677" s="13">
        <f ca="1">SUMIF('2.5廃棄処分'!D:E,C677,'2.5廃棄処分'!E:E)</f>
        <v>0</v>
      </c>
      <c r="P677" s="13">
        <f ca="1">SUMIF('2.1④異種原液'!D:E,C677,'2.1④異種原液'!E:E)</f>
        <v>0</v>
      </c>
      <c r="Q677" s="14">
        <f ca="1">SUMIF('2.7製造部生産分'!D:I,C677,'2.7製造部生産分'!H:H)</f>
        <v>0</v>
      </c>
      <c r="R677" s="15">
        <f ca="1">-(G677+H677+K677-L677-M677-N677-O677-P677-Q677-S677)</f>
        <v>0</v>
      </c>
      <c r="S677" s="13">
        <f ca="1">SUMIF('2.9原液在庫'!B:H,C677,'2.9原液在庫'!H:H)</f>
        <v>51.4</v>
      </c>
      <c r="T677" s="16">
        <f ca="1">IFERROR(SUM(G678:K678)/(G677+H677+K677),0)</f>
        <v>4800.4381738803386</v>
      </c>
      <c r="U677" s="17" t="str">
        <f>C677</f>
        <v>MKA</v>
      </c>
      <c r="V677" s="18">
        <f ca="1">IF(ISERROR(SUM(G678:K678)/SUM(L677:Q677,S677)),0,SUM(G678:K678)/SUM(L677:Q677,S677))</f>
        <v>4800.4381738803386</v>
      </c>
      <c r="W677" s="19">
        <f ca="1">V677</f>
        <v>4800.4381738803386</v>
      </c>
      <c r="X677" s="20">
        <f ca="1">W677/1000</f>
        <v>4.8004381738803383</v>
      </c>
    </row>
    <row r="678" spans="1:24">
      <c r="A678" s="201"/>
      <c r="B678" s="201"/>
      <c r="C678" s="201"/>
      <c r="D678" s="199"/>
      <c r="E678" s="199"/>
      <c r="F678" s="21" t="s">
        <v>247</v>
      </c>
      <c r="G678" s="22">
        <v>245677.56595483742</v>
      </c>
      <c r="H678" s="184"/>
      <c r="I678" s="23">
        <f ca="1">I677*労務費経費単価SC!D$7</f>
        <v>0</v>
      </c>
      <c r="J678" s="23">
        <f ca="1">J677*労務費経費単価SC!D$11</f>
        <v>1545</v>
      </c>
      <c r="K678" s="22">
        <f ca="1">K677*$E677</f>
        <v>0</v>
      </c>
      <c r="L678" s="22">
        <f ca="1">L677*$E677</f>
        <v>0</v>
      </c>
      <c r="M678" s="22">
        <f t="shared" ref="M678" ca="1" si="2346">M677*$E677</f>
        <v>108</v>
      </c>
      <c r="N678" s="22">
        <f t="shared" ref="N678" ca="1" si="2347">N677*$E677</f>
        <v>0</v>
      </c>
      <c r="O678" s="22">
        <f t="shared" ref="O678" ca="1" si="2348">O677*$E677</f>
        <v>0</v>
      </c>
      <c r="P678" s="22">
        <f t="shared" ref="P678" ca="1" si="2349">P677*$E677</f>
        <v>0</v>
      </c>
      <c r="Q678" s="22">
        <f t="shared" ref="Q678" ca="1" si="2350">Q677*$E677</f>
        <v>0</v>
      </c>
      <c r="R678" s="22">
        <f t="shared" ref="R678" ca="1" si="2351">R677*$E677</f>
        <v>0</v>
      </c>
      <c r="S678" s="22">
        <f t="shared" ref="S678" ca="1" si="2352">S677*$E677</f>
        <v>55512</v>
      </c>
      <c r="U678" s="17"/>
      <c r="V678" s="18"/>
      <c r="W678" s="19"/>
      <c r="X678" s="20"/>
    </row>
    <row r="679" spans="1:24">
      <c r="A679" s="200"/>
      <c r="B679" s="211"/>
      <c r="C679" s="200" t="s">
        <v>475</v>
      </c>
      <c r="D679" s="199" t="str">
        <f>VLOOKUP(C679,'仕掛品名寄（貼付）'!B:C,2,FALSE)</f>
        <v>その他</v>
      </c>
      <c r="E679" s="199">
        <f>VLOOKUP(D679,'仕掛品標準単価一覧表（貼付）'!B:G,6,FALSE)</f>
        <v>1080</v>
      </c>
      <c r="F679" s="12" t="s">
        <v>246</v>
      </c>
      <c r="G679" s="13">
        <v>52</v>
      </c>
      <c r="H679" s="13">
        <f ca="1">SUMIF('1.3②原材料使用'!B:E,C679,'1.3②原材料使用'!E:E)</f>
        <v>0</v>
      </c>
      <c r="I679" s="13">
        <f ca="1">SUMIF('2.10原液別作業時間'!A:B,C679,'2.10原液別作業時間'!B:B)</f>
        <v>0</v>
      </c>
      <c r="J679" s="13">
        <f ca="1">SUM(G679:H679,K679)</f>
        <v>52</v>
      </c>
      <c r="K679" s="13">
        <f ca="1">SUMIF('2.2⑤純増減→前工程費'!B:E,C679,'2.2⑤純増減→前工程費'!E:E)</f>
        <v>0</v>
      </c>
      <c r="L679" s="13">
        <f ca="1">SUMIF('2.6完成品'!C:D,C679,'2.6完成品'!D:D)</f>
        <v>0</v>
      </c>
      <c r="M679" s="13">
        <f ca="1">SUMIF('2.3研究費'!D:E,C679,'2.3研究費'!E:E)</f>
        <v>0.1</v>
      </c>
      <c r="N679" s="13">
        <f ca="1">SUMIF('2.4販促費'!D:E,C679,'2.4販促費'!E:E)</f>
        <v>0</v>
      </c>
      <c r="O679" s="13">
        <f ca="1">SUMIF('2.5廃棄処分'!D:E,C679,'2.5廃棄処分'!E:E)</f>
        <v>0</v>
      </c>
      <c r="P679" s="13">
        <f ca="1">SUMIF('2.1④異種原液'!D:E,C679,'2.1④異種原液'!E:E)</f>
        <v>0</v>
      </c>
      <c r="Q679" s="14">
        <f ca="1">SUMIF('2.7製造部生産分'!D:I,C679,'2.7製造部生産分'!H:H)</f>
        <v>0</v>
      </c>
      <c r="R679" s="15">
        <f ca="1">-(G679+H679+K679-L679-M679-N679-O679-P679-Q679-S679)</f>
        <v>0</v>
      </c>
      <c r="S679" s="13">
        <f ca="1">SUMIF('2.9原液在庫'!B:H,C679,'2.9原液在庫'!H:H)</f>
        <v>51.9</v>
      </c>
      <c r="T679" s="16">
        <f ca="1">IFERROR(SUM(G680:K680)/(G679+H679+K679),0)</f>
        <v>4801.961326036113</v>
      </c>
      <c r="U679" s="17" t="str">
        <f>C679</f>
        <v>MKB</v>
      </c>
      <c r="V679" s="18">
        <f ca="1">IF(ISERROR(SUM(G680:K680)/SUM(L679:Q679,S679)),0,SUM(G680:K680)/SUM(L679:Q679,S679))</f>
        <v>4801.961326036113</v>
      </c>
      <c r="W679" s="19">
        <f ca="1">V679</f>
        <v>4801.961326036113</v>
      </c>
      <c r="X679" s="20">
        <f ca="1">W679/1000</f>
        <v>4.8019613260361131</v>
      </c>
    </row>
    <row r="680" spans="1:24">
      <c r="A680" s="201"/>
      <c r="B680" s="201"/>
      <c r="C680" s="201"/>
      <c r="D680" s="199"/>
      <c r="E680" s="199"/>
      <c r="F680" s="21" t="s">
        <v>247</v>
      </c>
      <c r="G680" s="22">
        <v>248141.98895387788</v>
      </c>
      <c r="H680" s="184"/>
      <c r="I680" s="23">
        <f ca="1">I679*労務費経費単価SC!D$7</f>
        <v>0</v>
      </c>
      <c r="J680" s="23">
        <f ca="1">J679*労務費経費単価SC!D$11</f>
        <v>1560</v>
      </c>
      <c r="K680" s="22">
        <f ca="1">K679*$E679</f>
        <v>0</v>
      </c>
      <c r="L680" s="22">
        <f ca="1">L679*$E679</f>
        <v>0</v>
      </c>
      <c r="M680" s="22">
        <f t="shared" ref="M680" ca="1" si="2353">M679*$E679</f>
        <v>108</v>
      </c>
      <c r="N680" s="22">
        <f t="shared" ref="N680" ca="1" si="2354">N679*$E679</f>
        <v>0</v>
      </c>
      <c r="O680" s="22">
        <f t="shared" ref="O680" ca="1" si="2355">O679*$E679</f>
        <v>0</v>
      </c>
      <c r="P680" s="22">
        <f t="shared" ref="P680" ca="1" si="2356">P679*$E679</f>
        <v>0</v>
      </c>
      <c r="Q680" s="22">
        <f t="shared" ref="Q680" ca="1" si="2357">Q679*$E679</f>
        <v>0</v>
      </c>
      <c r="R680" s="22">
        <f t="shared" ref="R680" ca="1" si="2358">R679*$E679</f>
        <v>0</v>
      </c>
      <c r="S680" s="22">
        <f t="shared" ref="S680" ca="1" si="2359">S679*$E679</f>
        <v>56052</v>
      </c>
      <c r="U680" s="17"/>
      <c r="V680" s="18"/>
      <c r="W680" s="19"/>
      <c r="X680" s="20"/>
    </row>
    <row r="681" spans="1:24">
      <c r="A681" s="200"/>
      <c r="B681" s="211"/>
      <c r="C681" s="200" t="s">
        <v>476</v>
      </c>
      <c r="D681" s="199" t="str">
        <f>VLOOKUP(C681,'仕掛品名寄（貼付）'!B:C,2,FALSE)</f>
        <v>その他</v>
      </c>
      <c r="E681" s="199">
        <f>VLOOKUP(D681,'仕掛品標準単価一覧表（貼付）'!B:G,6,FALSE)</f>
        <v>1080</v>
      </c>
      <c r="F681" s="12" t="s">
        <v>246</v>
      </c>
      <c r="G681" s="24">
        <v>52</v>
      </c>
      <c r="H681" s="13">
        <f ca="1">SUMIF('1.3②原材料使用'!B:E,C681,'1.3②原材料使用'!E:E)</f>
        <v>0</v>
      </c>
      <c r="I681" s="13">
        <f ca="1">SUMIF('2.10原液別作業時間'!A:B,C681,'2.10原液別作業時間'!B:B)</f>
        <v>0</v>
      </c>
      <c r="J681" s="13">
        <f ca="1">SUM(G681:H681,K681)</f>
        <v>52</v>
      </c>
      <c r="K681" s="13">
        <f ca="1">SUMIF('2.2⑤純増減→前工程費'!B:E,C681,'2.2⑤純増減→前工程費'!E:E)</f>
        <v>0</v>
      </c>
      <c r="L681" s="13">
        <f ca="1">SUMIF('2.6完成品'!C:D,C681,'2.6完成品'!D:D)</f>
        <v>0</v>
      </c>
      <c r="M681" s="13">
        <f ca="1">SUMIF('2.3研究費'!D:E,C681,'2.3研究費'!E:E)</f>
        <v>0.1</v>
      </c>
      <c r="N681" s="13">
        <f ca="1">SUMIF('2.4販促費'!D:E,C681,'2.4販促費'!E:E)</f>
        <v>0</v>
      </c>
      <c r="O681" s="13">
        <f ca="1">SUMIF('2.5廃棄処分'!D:E,C681,'2.5廃棄処分'!E:E)</f>
        <v>0</v>
      </c>
      <c r="P681" s="13">
        <f ca="1">SUMIF('2.1④異種原液'!D:E,C681,'2.1④異種原液'!E:E)</f>
        <v>0</v>
      </c>
      <c r="Q681" s="14">
        <f ca="1">SUMIF('2.7製造部生産分'!D:I,C681,'2.7製造部生産分'!H:H)</f>
        <v>0</v>
      </c>
      <c r="R681" s="15">
        <f ca="1">-(G681+H681+K681-L681-M681-N681-O681-P681-Q681-S681)</f>
        <v>0</v>
      </c>
      <c r="S681" s="13">
        <f ca="1">SUMIF('2.9原液在庫'!B:H,C681,'2.9原液在庫'!H:H)</f>
        <v>51.9</v>
      </c>
      <c r="T681" s="16">
        <f ca="1">IFERROR(SUM(G682:K682)/(G681+H681+K681),0)</f>
        <v>4801.961326036113</v>
      </c>
      <c r="U681" s="17" t="str">
        <f>C681</f>
        <v>MKC</v>
      </c>
      <c r="V681" s="18">
        <f ca="1">IF(ISERROR(SUM(G682:K682)/SUM(L681:Q681,S681)),0,SUM(G682:K682)/SUM(L681:Q681,S681))</f>
        <v>4801.961326036113</v>
      </c>
      <c r="W681" s="19">
        <f ca="1">V681</f>
        <v>4801.961326036113</v>
      </c>
      <c r="X681" s="20">
        <f ca="1">W681/1000</f>
        <v>4.8019613260361131</v>
      </c>
    </row>
    <row r="682" spans="1:24">
      <c r="A682" s="201"/>
      <c r="B682" s="201"/>
      <c r="C682" s="201"/>
      <c r="D682" s="199"/>
      <c r="E682" s="199"/>
      <c r="F682" s="21" t="s">
        <v>247</v>
      </c>
      <c r="G682" s="22">
        <v>248141.98895387788</v>
      </c>
      <c r="H682" s="184"/>
      <c r="I682" s="23">
        <f ca="1">I681*労務費経費単価SC!D$7</f>
        <v>0</v>
      </c>
      <c r="J682" s="23">
        <f ca="1">J681*労務費経費単価SC!D$11</f>
        <v>1560</v>
      </c>
      <c r="K682" s="22">
        <f ca="1">K681*$E681</f>
        <v>0</v>
      </c>
      <c r="L682" s="22">
        <f ca="1">L681*$E681</f>
        <v>0</v>
      </c>
      <c r="M682" s="22">
        <f t="shared" ref="M682" ca="1" si="2360">M681*$E681</f>
        <v>108</v>
      </c>
      <c r="N682" s="22">
        <f t="shared" ref="N682" ca="1" si="2361">N681*$E681</f>
        <v>0</v>
      </c>
      <c r="O682" s="22">
        <f t="shared" ref="O682" ca="1" si="2362">O681*$E681</f>
        <v>0</v>
      </c>
      <c r="P682" s="22">
        <f t="shared" ref="P682" ca="1" si="2363">P681*$E681</f>
        <v>0</v>
      </c>
      <c r="Q682" s="22">
        <f t="shared" ref="Q682" ca="1" si="2364">Q681*$E681</f>
        <v>0</v>
      </c>
      <c r="R682" s="22">
        <f t="shared" ref="R682" ca="1" si="2365">R681*$E681</f>
        <v>0</v>
      </c>
      <c r="S682" s="22">
        <f t="shared" ref="S682" ca="1" si="2366">S681*$E681</f>
        <v>56052</v>
      </c>
      <c r="U682" s="17"/>
      <c r="V682" s="18"/>
      <c r="W682" s="19"/>
      <c r="X682" s="20"/>
    </row>
    <row r="683" spans="1:24">
      <c r="A683" s="200"/>
      <c r="B683" s="211"/>
      <c r="C683" s="200" t="s">
        <v>477</v>
      </c>
      <c r="D683" s="199" t="str">
        <f>VLOOKUP(C683,'仕掛品名寄（貼付）'!B:C,2,FALSE)</f>
        <v>その他</v>
      </c>
      <c r="E683" s="199">
        <f>VLOOKUP(D683,'仕掛品標準単価一覧表（貼付）'!B:G,6,FALSE)</f>
        <v>1080</v>
      </c>
      <c r="F683" s="12" t="s">
        <v>246</v>
      </c>
      <c r="G683" s="24">
        <v>50</v>
      </c>
      <c r="H683" s="13">
        <f ca="1">SUMIF('1.3②原材料使用'!B:E,C683,'1.3②原材料使用'!E:E)</f>
        <v>0</v>
      </c>
      <c r="I683" s="13">
        <f ca="1">SUMIF('2.10原液別作業時間'!A:B,C683,'2.10原液別作業時間'!B:B)</f>
        <v>0</v>
      </c>
      <c r="J683" s="13">
        <f ca="1">SUM(G683:H683,K683)</f>
        <v>50</v>
      </c>
      <c r="K683" s="13">
        <f ca="1">SUMIF('2.2⑤純増減→前工程費'!B:E,C683,'2.2⑤純増減→前工程費'!E:E)</f>
        <v>0</v>
      </c>
      <c r="L683" s="13">
        <f ca="1">SUMIF('2.6完成品'!C:D,C683,'2.6完成品'!D:D)</f>
        <v>0</v>
      </c>
      <c r="M683" s="13">
        <f ca="1">SUMIF('2.3研究費'!D:E,C683,'2.3研究費'!E:E)</f>
        <v>0.1</v>
      </c>
      <c r="N683" s="13">
        <f ca="1">SUMIF('2.4販促費'!D:E,C683,'2.4販促費'!E:E)</f>
        <v>0</v>
      </c>
      <c r="O683" s="13">
        <f ca="1">SUMIF('2.5廃棄処分'!D:E,C683,'2.5廃棄処分'!E:E)</f>
        <v>0</v>
      </c>
      <c r="P683" s="13">
        <f ca="1">SUMIF('2.1④異種原液'!D:E,C683,'2.1④異種原液'!E:E)</f>
        <v>0</v>
      </c>
      <c r="Q683" s="14">
        <f ca="1">SUMIF('2.7製造部生産分'!D:I,C683,'2.7製造部生産分'!H:H)</f>
        <v>0</v>
      </c>
      <c r="R683" s="15">
        <f ca="1">-(G683+H683+K683-L683-M683-N683-O683-P683-Q683-S683)</f>
        <v>0</v>
      </c>
      <c r="S683" s="13">
        <f ca="1">SUMIF('2.9原液在庫'!B:H,C683,'2.9原液在庫'!H:H)</f>
        <v>49.9</v>
      </c>
      <c r="T683" s="16">
        <f ca="1">IFERROR(SUM(G684:K684)/(G683+H683+K683),0)</f>
        <v>4537.7854819368795</v>
      </c>
      <c r="U683" s="17" t="str">
        <f>C683</f>
        <v>MGA</v>
      </c>
      <c r="V683" s="18">
        <f ca="1">IF(ISERROR(SUM(G684:K684)/SUM(L683:Q683,S683)),0,SUM(G684:K684)/SUM(L683:Q683,S683))</f>
        <v>4537.7854819368795</v>
      </c>
      <c r="W683" s="19">
        <f ca="1">V683</f>
        <v>4537.7854819368795</v>
      </c>
      <c r="X683" s="20">
        <f ca="1">W683/1000</f>
        <v>4.5377854819368793</v>
      </c>
    </row>
    <row r="684" spans="1:24">
      <c r="A684" s="201"/>
      <c r="B684" s="201"/>
      <c r="C684" s="201"/>
      <c r="D684" s="199"/>
      <c r="E684" s="199"/>
      <c r="F684" s="21" t="s">
        <v>247</v>
      </c>
      <c r="G684" s="22">
        <v>225389.27409684399</v>
      </c>
      <c r="H684" s="184"/>
      <c r="I684" s="23">
        <f ca="1">I683*労務費経費単価SC!D$7</f>
        <v>0</v>
      </c>
      <c r="J684" s="23">
        <f ca="1">J683*労務費経費単価SC!D$11</f>
        <v>1500</v>
      </c>
      <c r="K684" s="22">
        <f ca="1">K683*$E683</f>
        <v>0</v>
      </c>
      <c r="L684" s="22">
        <f ca="1">L683*$E683</f>
        <v>0</v>
      </c>
      <c r="M684" s="22">
        <f t="shared" ref="M684" ca="1" si="2367">M683*$E683</f>
        <v>108</v>
      </c>
      <c r="N684" s="22">
        <f t="shared" ref="N684" ca="1" si="2368">N683*$E683</f>
        <v>0</v>
      </c>
      <c r="O684" s="22">
        <f t="shared" ref="O684" ca="1" si="2369">O683*$E683</f>
        <v>0</v>
      </c>
      <c r="P684" s="22">
        <f t="shared" ref="P684" ca="1" si="2370">P683*$E683</f>
        <v>0</v>
      </c>
      <c r="Q684" s="22">
        <f t="shared" ref="Q684" ca="1" si="2371">Q683*$E683</f>
        <v>0</v>
      </c>
      <c r="R684" s="22">
        <f t="shared" ref="R684" ca="1" si="2372">R683*$E683</f>
        <v>0</v>
      </c>
      <c r="S684" s="22">
        <f t="shared" ref="S684" ca="1" si="2373">S683*$E683</f>
        <v>53892</v>
      </c>
      <c r="U684" s="17"/>
      <c r="V684" s="18"/>
      <c r="W684" s="19"/>
      <c r="X684" s="20"/>
    </row>
    <row r="685" spans="1:24">
      <c r="A685" s="200"/>
      <c r="B685" s="211"/>
      <c r="C685" s="200" t="s">
        <v>478</v>
      </c>
      <c r="D685" s="199" t="str">
        <f>VLOOKUP(C685,'仕掛品名寄（貼付）'!B:C,2,FALSE)</f>
        <v>その他</v>
      </c>
      <c r="E685" s="199">
        <f>VLOOKUP(D685,'仕掛品標準単価一覧表（貼付）'!B:G,6,FALSE)</f>
        <v>1080</v>
      </c>
      <c r="F685" s="12" t="s">
        <v>246</v>
      </c>
      <c r="G685" s="24">
        <v>50</v>
      </c>
      <c r="H685" s="13">
        <f ca="1">SUMIF('1.3②原材料使用'!B:E,C685,'1.3②原材料使用'!E:E)</f>
        <v>0</v>
      </c>
      <c r="I685" s="13">
        <f ca="1">SUMIF('2.10原液別作業時間'!A:B,C685,'2.10原液別作業時間'!B:B)</f>
        <v>0</v>
      </c>
      <c r="J685" s="13">
        <f ca="1">SUM(G685:H685,K685)</f>
        <v>50</v>
      </c>
      <c r="K685" s="13">
        <f ca="1">SUMIF('2.2⑤純増減→前工程費'!B:E,C685,'2.2⑤純増減→前工程費'!E:E)</f>
        <v>0</v>
      </c>
      <c r="L685" s="13">
        <f ca="1">SUMIF('2.6完成品'!C:D,C685,'2.6完成品'!D:D)</f>
        <v>0</v>
      </c>
      <c r="M685" s="13">
        <f ca="1">SUMIF('2.3研究費'!D:E,C685,'2.3研究費'!E:E)</f>
        <v>0.1</v>
      </c>
      <c r="N685" s="13">
        <f ca="1">SUMIF('2.4販促費'!D:E,C685,'2.4販促費'!E:E)</f>
        <v>0</v>
      </c>
      <c r="O685" s="13">
        <f ca="1">SUMIF('2.5廃棄処分'!D:E,C685,'2.5廃棄処分'!E:E)</f>
        <v>0</v>
      </c>
      <c r="P685" s="13">
        <f ca="1">SUMIF('2.1④異種原液'!D:E,C685,'2.1④異種原液'!E:E)</f>
        <v>0</v>
      </c>
      <c r="Q685" s="14">
        <f ca="1">SUMIF('2.7製造部生産分'!D:I,C685,'2.7製造部生産分'!H:H)</f>
        <v>0</v>
      </c>
      <c r="R685" s="15">
        <f ca="1">-(G685+H685+K685-L685-M685-N685-O685-P685-Q685-S685)</f>
        <v>0</v>
      </c>
      <c r="S685" s="13">
        <f ca="1">SUMIF('2.9原液在庫'!B:H,C685,'2.9原液在庫'!H:H)</f>
        <v>49.9</v>
      </c>
      <c r="T685" s="16">
        <f ca="1">IFERROR(SUM(G686:K686)/(G685+H685+K685),0)</f>
        <v>4607.7258604063491</v>
      </c>
      <c r="U685" s="17" t="str">
        <f>C685</f>
        <v>MGB</v>
      </c>
      <c r="V685" s="18">
        <f ca="1">IF(ISERROR(SUM(G686:K686)/SUM(L685:Q685,S685)),0,SUM(G686:K686)/SUM(L685:Q685,S685))</f>
        <v>4607.7258604063491</v>
      </c>
      <c r="W685" s="19">
        <f ca="1">V685</f>
        <v>4607.7258604063491</v>
      </c>
      <c r="X685" s="20">
        <f ca="1">W685/1000</f>
        <v>4.6077258604063491</v>
      </c>
    </row>
    <row r="686" spans="1:24">
      <c r="A686" s="201"/>
      <c r="B686" s="201"/>
      <c r="C686" s="201"/>
      <c r="D686" s="199"/>
      <c r="E686" s="199"/>
      <c r="F686" s="21" t="s">
        <v>247</v>
      </c>
      <c r="G686" s="22">
        <v>228886.29302031745</v>
      </c>
      <c r="H686" s="184"/>
      <c r="I686" s="23">
        <f ca="1">I685*労務費経費単価SC!D$7</f>
        <v>0</v>
      </c>
      <c r="J686" s="23">
        <f ca="1">J685*労務費経費単価SC!D$11</f>
        <v>1500</v>
      </c>
      <c r="K686" s="22">
        <f ca="1">K685*$E685</f>
        <v>0</v>
      </c>
      <c r="L686" s="22">
        <f ca="1">L685*$E685</f>
        <v>0</v>
      </c>
      <c r="M686" s="22">
        <f t="shared" ref="M686" ca="1" si="2374">M685*$E685</f>
        <v>108</v>
      </c>
      <c r="N686" s="22">
        <f t="shared" ref="N686" ca="1" si="2375">N685*$E685</f>
        <v>0</v>
      </c>
      <c r="O686" s="22">
        <f t="shared" ref="O686" ca="1" si="2376">O685*$E685</f>
        <v>0</v>
      </c>
      <c r="P686" s="22">
        <f t="shared" ref="P686" ca="1" si="2377">P685*$E685</f>
        <v>0</v>
      </c>
      <c r="Q686" s="22">
        <f t="shared" ref="Q686" ca="1" si="2378">Q685*$E685</f>
        <v>0</v>
      </c>
      <c r="R686" s="22">
        <f t="shared" ref="R686" ca="1" si="2379">R685*$E685</f>
        <v>0</v>
      </c>
      <c r="S686" s="22">
        <f t="shared" ref="S686" ca="1" si="2380">S685*$E685</f>
        <v>53892</v>
      </c>
      <c r="U686" s="17"/>
      <c r="V686" s="18"/>
      <c r="W686" s="19"/>
      <c r="X686" s="20"/>
    </row>
    <row r="687" spans="1:24">
      <c r="A687" s="200"/>
      <c r="B687" s="211"/>
      <c r="C687" s="200" t="s">
        <v>479</v>
      </c>
      <c r="D687" s="199" t="str">
        <f>VLOOKUP(C687,'仕掛品名寄（貼付）'!B:C,2,FALSE)</f>
        <v>その他</v>
      </c>
      <c r="E687" s="199">
        <f>VLOOKUP(D687,'仕掛品標準単価一覧表（貼付）'!B:G,6,FALSE)</f>
        <v>1080</v>
      </c>
      <c r="F687" s="12" t="s">
        <v>246</v>
      </c>
      <c r="G687" s="13">
        <v>635</v>
      </c>
      <c r="H687" s="13">
        <f ca="1">SUMIF('1.3②原材料使用'!B:E,C687,'1.3②原材料使用'!E:E)</f>
        <v>0</v>
      </c>
      <c r="I687" s="13">
        <f ca="1">SUMIF('2.10原液別作業時間'!A:B,C687,'2.10原液別作業時間'!B:B)</f>
        <v>0</v>
      </c>
      <c r="J687" s="13">
        <f ca="1">SUM(G687:H687,K687)</f>
        <v>635</v>
      </c>
      <c r="K687" s="13">
        <f ca="1">SUMIF('2.2⑤純増減→前工程費'!B:E,C687,'2.2⑤純増減→前工程費'!E:E)</f>
        <v>0</v>
      </c>
      <c r="L687" s="13">
        <f ca="1">SUMIF('2.6完成品'!C:D,C687,'2.6完成品'!D:D)</f>
        <v>0</v>
      </c>
      <c r="M687" s="13">
        <f ca="1">SUMIF('2.3研究費'!D:E,C687,'2.3研究費'!E:E)</f>
        <v>0</v>
      </c>
      <c r="N687" s="13">
        <f ca="1">SUMIF('2.4販促費'!D:E,C687,'2.4販促費'!E:E)</f>
        <v>0</v>
      </c>
      <c r="O687" s="13">
        <f ca="1">SUMIF('2.5廃棄処分'!D:E,C687,'2.5廃棄処分'!E:E)</f>
        <v>0</v>
      </c>
      <c r="P687" s="13">
        <f ca="1">SUMIF('2.1④異種原液'!D:E,C687,'2.1④異種原液'!E:E)</f>
        <v>0</v>
      </c>
      <c r="Q687" s="14">
        <f ca="1">SUMIF('2.7製造部生産分'!D:I,C687,'2.7製造部生産分'!H:H)</f>
        <v>0</v>
      </c>
      <c r="R687" s="15">
        <f ca="1">-(G687+H687+K687-L687-M687-N687-O687-P687-Q687-S687)</f>
        <v>0</v>
      </c>
      <c r="S687" s="13">
        <f ca="1">SUMIF('2.9原液在庫'!B:H,C687,'2.9原液在庫'!H:H)</f>
        <v>635</v>
      </c>
      <c r="T687" s="16">
        <f ca="1">IFERROR(SUM(G688:K688)/(G687+H687+K687),0)</f>
        <v>1088.9281394787622</v>
      </c>
      <c r="U687" s="17" t="str">
        <f>C687</f>
        <v>OB</v>
      </c>
      <c r="V687" s="18">
        <f ca="1">IF(ISERROR(SUM(G688:K688)/SUM(L687:Q687,S687)),0,SUM(G688:K688)/SUM(L687:Q687,S687))</f>
        <v>1088.9281394787622</v>
      </c>
      <c r="W687" s="19">
        <f ca="1">V687</f>
        <v>1088.9281394787622</v>
      </c>
      <c r="X687" s="20">
        <f ca="1">W687/1000</f>
        <v>1.0889281394787622</v>
      </c>
    </row>
    <row r="688" spans="1:24">
      <c r="A688" s="201"/>
      <c r="B688" s="201"/>
      <c r="C688" s="201"/>
      <c r="D688" s="199"/>
      <c r="E688" s="199"/>
      <c r="F688" s="21" t="s">
        <v>247</v>
      </c>
      <c r="G688" s="22">
        <v>672419.36856901401</v>
      </c>
      <c r="H688" s="184"/>
      <c r="I688" s="23">
        <f ca="1">I687*労務費経費単価SC!D$7</f>
        <v>0</v>
      </c>
      <c r="J688" s="23">
        <f ca="1">J687*労務費経費単価SC!D$11</f>
        <v>19050</v>
      </c>
      <c r="K688" s="22">
        <f ca="1">K687*$E687</f>
        <v>0</v>
      </c>
      <c r="L688" s="22">
        <f ca="1">L687*$E687</f>
        <v>0</v>
      </c>
      <c r="M688" s="22">
        <f t="shared" ref="M688" ca="1" si="2381">M687*$E687</f>
        <v>0</v>
      </c>
      <c r="N688" s="22">
        <f t="shared" ref="N688" ca="1" si="2382">N687*$E687</f>
        <v>0</v>
      </c>
      <c r="O688" s="22">
        <f t="shared" ref="O688" ca="1" si="2383">O687*$E687</f>
        <v>0</v>
      </c>
      <c r="P688" s="22">
        <f t="shared" ref="P688" ca="1" si="2384">P687*$E687</f>
        <v>0</v>
      </c>
      <c r="Q688" s="22">
        <f t="shared" ref="Q688" ca="1" si="2385">Q687*$E687</f>
        <v>0</v>
      </c>
      <c r="R688" s="22">
        <f t="shared" ref="R688" ca="1" si="2386">R687*$E687</f>
        <v>0</v>
      </c>
      <c r="S688" s="22">
        <f t="shared" ref="S688" ca="1" si="2387">S687*$E687</f>
        <v>685800</v>
      </c>
      <c r="U688" s="17"/>
      <c r="V688" s="18"/>
      <c r="W688" s="19"/>
      <c r="X688" s="20"/>
    </row>
    <row r="689" spans="1:25">
      <c r="A689" s="200"/>
      <c r="B689" s="211"/>
      <c r="C689" s="200" t="s">
        <v>480</v>
      </c>
      <c r="D689" s="199" t="str">
        <f>VLOOKUP(C689,'仕掛品名寄（貼付）'!B:C,2,FALSE)</f>
        <v>その他</v>
      </c>
      <c r="E689" s="199">
        <f>VLOOKUP(D689,'仕掛品標準単価一覧表（貼付）'!B:G,6,FALSE)</f>
        <v>1080</v>
      </c>
      <c r="F689" s="12" t="s">
        <v>246</v>
      </c>
      <c r="G689" s="24">
        <v>144.69999999999999</v>
      </c>
      <c r="H689" s="13">
        <f ca="1">SUMIF('1.3②原材料使用'!B:E,C689,'1.3②原材料使用'!E:E)</f>
        <v>0</v>
      </c>
      <c r="I689" s="13">
        <f ca="1">SUMIF('2.10原液別作業時間'!A:B,C689,'2.10原液別作業時間'!B:B)</f>
        <v>0</v>
      </c>
      <c r="J689" s="13">
        <f ca="1">SUM(G689:H689,K689)</f>
        <v>144.69999999999999</v>
      </c>
      <c r="K689" s="13">
        <f ca="1">SUMIF('2.2⑤純増減→前工程費'!B:E,C689,'2.2⑤純増減→前工程費'!E:E)</f>
        <v>0</v>
      </c>
      <c r="L689" s="13">
        <f ca="1">SUMIF('2.6完成品'!C:D,C689,'2.6完成品'!D:D)</f>
        <v>0</v>
      </c>
      <c r="M689" s="13">
        <f ca="1">SUMIF('2.3研究費'!D:E,C689,'2.3研究費'!E:E)</f>
        <v>0</v>
      </c>
      <c r="N689" s="13">
        <f ca="1">SUMIF('2.4販促費'!D:E,C689,'2.4販促費'!E:E)</f>
        <v>0</v>
      </c>
      <c r="O689" s="13">
        <f ca="1">SUMIF('2.5廃棄処分'!D:E,C689,'2.5廃棄処分'!E:E)</f>
        <v>0</v>
      </c>
      <c r="P689" s="13">
        <f ca="1">SUMIF('2.1④異種原液'!D:E,C689,'2.1④異種原液'!E:E)</f>
        <v>0</v>
      </c>
      <c r="Q689" s="14">
        <f ca="1">SUMIF('2.7製造部生産分'!D:I,C689,'2.7製造部生産分'!H:H)</f>
        <v>0</v>
      </c>
      <c r="R689" s="15">
        <f ca="1">-(G689+H689+K689-L689-M689-N689-O689-P689-Q689-S689)</f>
        <v>-1</v>
      </c>
      <c r="S689" s="13">
        <f ca="1">SUMIF('2.9原液在庫'!B:H,C689,'2.9原液在庫'!H:H)</f>
        <v>143.69999999999999</v>
      </c>
      <c r="T689" s="16">
        <f ca="1">IFERROR(SUM(G690:K690)/(G689+H689+K689),0)</f>
        <v>1011.6967255528955</v>
      </c>
      <c r="U689" s="17" t="str">
        <f>C689</f>
        <v>OD</v>
      </c>
      <c r="V689" s="18">
        <f ca="1">IF(ISERROR(SUM(G690:K690)/SUM(L689:Q689,S689)),0,SUM(G690:K690)/SUM(L689:Q689,S689))</f>
        <v>1018.7370646312037</v>
      </c>
      <c r="W689" s="19">
        <f ca="1">V689</f>
        <v>1018.7370646312037</v>
      </c>
      <c r="X689" s="20">
        <f ca="1">W689/1000</f>
        <v>1.0187370646312037</v>
      </c>
    </row>
    <row r="690" spans="1:25">
      <c r="A690" s="201"/>
      <c r="B690" s="201"/>
      <c r="C690" s="201"/>
      <c r="D690" s="199"/>
      <c r="E690" s="199"/>
      <c r="F690" s="21" t="s">
        <v>247</v>
      </c>
      <c r="G690" s="22">
        <v>142051.51618750396</v>
      </c>
      <c r="H690" s="184"/>
      <c r="I690" s="23">
        <f ca="1">I689*労務費経費単価SC!D$7</f>
        <v>0</v>
      </c>
      <c r="J690" s="23">
        <f ca="1">J689*労務費経費単価SC!D$11</f>
        <v>4341</v>
      </c>
      <c r="K690" s="22">
        <f ca="1">K689*$E689</f>
        <v>0</v>
      </c>
      <c r="L690" s="22">
        <f ca="1">L689*$E689</f>
        <v>0</v>
      </c>
      <c r="M690" s="22">
        <f t="shared" ref="M690" ca="1" si="2388">M689*$E689</f>
        <v>0</v>
      </c>
      <c r="N690" s="22">
        <f t="shared" ref="N690" ca="1" si="2389">N689*$E689</f>
        <v>0</v>
      </c>
      <c r="O690" s="22">
        <f t="shared" ref="O690" ca="1" si="2390">O689*$E689</f>
        <v>0</v>
      </c>
      <c r="P690" s="22">
        <f t="shared" ref="P690" ca="1" si="2391">P689*$E689</f>
        <v>0</v>
      </c>
      <c r="Q690" s="22">
        <f t="shared" ref="Q690" ca="1" si="2392">Q689*$E689</f>
        <v>0</v>
      </c>
      <c r="R690" s="22">
        <f t="shared" ref="R690" ca="1" si="2393">R689*$E689</f>
        <v>-1080</v>
      </c>
      <c r="S690" s="22">
        <f t="shared" ref="S690" ca="1" si="2394">S689*$E689</f>
        <v>155196</v>
      </c>
      <c r="U690" s="17"/>
      <c r="V690" s="18"/>
      <c r="W690" s="19"/>
      <c r="X690" s="20"/>
    </row>
    <row r="691" spans="1:25">
      <c r="A691" s="200"/>
      <c r="B691" s="211"/>
      <c r="C691" s="200" t="s">
        <v>481</v>
      </c>
      <c r="D691" s="199" t="str">
        <f>VLOOKUP(C691,'仕掛品名寄（貼付）'!B:C,2,FALSE)</f>
        <v>その他</v>
      </c>
      <c r="E691" s="199">
        <f>VLOOKUP(D691,'仕掛品標準単価一覧表（貼付）'!B:G,6,FALSE)</f>
        <v>1080</v>
      </c>
      <c r="F691" s="12" t="s">
        <v>246</v>
      </c>
      <c r="G691" s="24">
        <v>0</v>
      </c>
      <c r="H691" s="13">
        <f ca="1">SUMIF('1.3②原材料使用'!B:E,C691,'1.3②原材料使用'!E:E)</f>
        <v>0</v>
      </c>
      <c r="I691" s="13">
        <f ca="1">SUMIF('2.10原液別作業時間'!A:B,C691,'2.10原液別作業時間'!B:B)</f>
        <v>0</v>
      </c>
      <c r="J691" s="13">
        <f ca="1">SUM(G691:H691,K691)</f>
        <v>0</v>
      </c>
      <c r="K691" s="13">
        <f ca="1">SUMIF('2.2⑤純増減→前工程費'!B:E,C691,'2.2⑤純増減→前工程費'!E:E)</f>
        <v>0</v>
      </c>
      <c r="L691" s="13">
        <f ca="1">SUMIF('2.6完成品'!C:D,C691,'2.6完成品'!D:D)</f>
        <v>0</v>
      </c>
      <c r="M691" s="13">
        <f ca="1">SUMIF('2.3研究費'!D:E,C691,'2.3研究費'!E:E)</f>
        <v>0</v>
      </c>
      <c r="N691" s="13">
        <f ca="1">SUMIF('2.4販促費'!D:E,C691,'2.4販促費'!E:E)</f>
        <v>0</v>
      </c>
      <c r="O691" s="13">
        <f ca="1">SUMIF('2.5廃棄処分'!D:E,C691,'2.5廃棄処分'!E:E)</f>
        <v>0</v>
      </c>
      <c r="P691" s="13">
        <f ca="1">SUMIF('2.1④異種原液'!D:E,C691,'2.1④異種原液'!E:E)</f>
        <v>0</v>
      </c>
      <c r="Q691" s="14">
        <f ca="1">SUMIF('2.7製造部生産分'!D:I,C691,'2.7製造部生産分'!H:H)</f>
        <v>0</v>
      </c>
      <c r="R691" s="15">
        <f ca="1">-(G691+H691+K691-L691-M691-N691-O691-P691-Q691-S691)</f>
        <v>0</v>
      </c>
      <c r="S691" s="13">
        <f ca="1">SUMIF('2.9原液在庫'!B:H,C691,'2.9原液在庫'!H:H)</f>
        <v>0</v>
      </c>
      <c r="T691" s="16">
        <f ca="1">IFERROR(SUM(G692:K692)/(G691+H691+K691),0)</f>
        <v>0</v>
      </c>
      <c r="U691" s="17" t="str">
        <f>C691</f>
        <v>OE</v>
      </c>
      <c r="V691" s="18">
        <f ca="1">IF(ISERROR(SUM(G692:K692)/SUM(L691:Q691,S691)),0,SUM(G692:K692)/SUM(L691:Q691,S691))</f>
        <v>0</v>
      </c>
      <c r="W691" s="19">
        <f ca="1">V691</f>
        <v>0</v>
      </c>
      <c r="X691" s="20">
        <f ca="1">W691/1000</f>
        <v>0</v>
      </c>
    </row>
    <row r="692" spans="1:25">
      <c r="A692" s="201"/>
      <c r="B692" s="201"/>
      <c r="C692" s="201"/>
      <c r="D692" s="199"/>
      <c r="E692" s="199"/>
      <c r="F692" s="21" t="s">
        <v>247</v>
      </c>
      <c r="G692" s="22" t="s">
        <v>254</v>
      </c>
      <c r="H692" s="184"/>
      <c r="I692" s="23">
        <f ca="1">I691*労務費経費単価SC!D$7</f>
        <v>0</v>
      </c>
      <c r="J692" s="23">
        <f ca="1">J691*労務費経費単価SC!D$11</f>
        <v>0</v>
      </c>
      <c r="K692" s="22">
        <f ca="1">K691*$E691</f>
        <v>0</v>
      </c>
      <c r="L692" s="22">
        <f ca="1">L691*$E691</f>
        <v>0</v>
      </c>
      <c r="M692" s="22">
        <f t="shared" ref="M692" ca="1" si="2395">M691*$E691</f>
        <v>0</v>
      </c>
      <c r="N692" s="22">
        <f t="shared" ref="N692" ca="1" si="2396">N691*$E691</f>
        <v>0</v>
      </c>
      <c r="O692" s="22">
        <f t="shared" ref="O692" ca="1" si="2397">O691*$E691</f>
        <v>0</v>
      </c>
      <c r="P692" s="22">
        <f t="shared" ref="P692" ca="1" si="2398">P691*$E691</f>
        <v>0</v>
      </c>
      <c r="Q692" s="22">
        <f t="shared" ref="Q692" ca="1" si="2399">Q691*$E691</f>
        <v>0</v>
      </c>
      <c r="R692" s="22">
        <f t="shared" ref="R692" ca="1" si="2400">R691*$E691</f>
        <v>0</v>
      </c>
      <c r="S692" s="22">
        <f t="shared" ref="S692" ca="1" si="2401">S691*$E691</f>
        <v>0</v>
      </c>
      <c r="U692" s="17"/>
      <c r="V692" s="18"/>
      <c r="W692" s="19"/>
      <c r="X692" s="20"/>
    </row>
    <row r="693" spans="1:25" ht="18">
      <c r="A693" s="200"/>
      <c r="B693" s="211"/>
      <c r="C693" s="200" t="s">
        <v>482</v>
      </c>
      <c r="D693" s="199" t="str">
        <f>VLOOKUP(C693,'仕掛品名寄（貼付）'!B:C,2,FALSE)</f>
        <v>その他</v>
      </c>
      <c r="E693" s="199">
        <f>VLOOKUP(D693,'仕掛品標準単価一覧表（貼付）'!B:G,6,FALSE)</f>
        <v>1080</v>
      </c>
      <c r="F693" s="12" t="s">
        <v>246</v>
      </c>
      <c r="G693" s="13">
        <v>4.5999999999999996</v>
      </c>
      <c r="H693" s="13">
        <f ca="1">SUMIF('1.3②原材料使用'!B:E,C693,'1.3②原材料使用'!E:E)</f>
        <v>2.6</v>
      </c>
      <c r="I693" s="13">
        <f ca="1">SUMIF('2.10原液別作業時間'!A:B,C693,'2.10原液別作業時間'!B:B)</f>
        <v>170</v>
      </c>
      <c r="J693" s="13">
        <f ca="1">SUM(G693:H693,K693)</f>
        <v>128.69999999999999</v>
      </c>
      <c r="K693" s="13">
        <f ca="1">SUMIF('2.2⑤純増減→前工程費'!B:E,C693,'2.2⑤純増減→前工程費'!E:E)</f>
        <v>121.5</v>
      </c>
      <c r="L693" s="13">
        <f ca="1">SUMIF('2.6完成品'!C:D,C693,'2.6完成品'!D:D)</f>
        <v>0</v>
      </c>
      <c r="M693" s="13">
        <f ca="1">SUMIF('2.3研究費'!D:E,C693,'2.3研究費'!E:E)</f>
        <v>0</v>
      </c>
      <c r="N693" s="13">
        <f ca="1">SUMIF('2.4販促費'!D:E,C693,'2.4販促費'!E:E)</f>
        <v>0</v>
      </c>
      <c r="O693" s="13">
        <f ca="1">SUMIF('2.5廃棄処分'!D:E,C693,'2.5廃棄処分'!E:E)</f>
        <v>0</v>
      </c>
      <c r="P693" s="13">
        <f ca="1">SUMIF('2.1④異種原液'!D:E,C693,'2.1④異種原液'!E:E)</f>
        <v>0</v>
      </c>
      <c r="Q693" s="14">
        <f ca="1">SUMIF('2.7製造部生産分'!D:I,C693,'2.7製造部生産分'!H:H)</f>
        <v>122</v>
      </c>
      <c r="R693" s="15">
        <f ca="1">-(G693+H693+K693-L693-M693-N693-O693-P693-Q693-S693)</f>
        <v>-3.5999999999999885</v>
      </c>
      <c r="S693" s="13">
        <f ca="1">SUMIF('2.9原液在庫'!B:H,C693,'2.9原液在庫'!H:H)</f>
        <v>3.1</v>
      </c>
      <c r="T693" s="16">
        <f ca="1">IFERROR(SUM(G694:K694)/(G693+H693+K693),0)</f>
        <v>1712.2827902612948</v>
      </c>
      <c r="U693" s="17" t="str">
        <f>C693</f>
        <v>OF</v>
      </c>
      <c r="V693" s="18">
        <f ca="1">IF(ISERROR(SUM(G694:K694)/SUM(L693:Q693,S693)),0,SUM(G694:K694)/SUM(L693:Q693,S693))</f>
        <v>1761.5571151609004</v>
      </c>
      <c r="W693" s="19">
        <f ca="1">V693</f>
        <v>1761.5571151609004</v>
      </c>
      <c r="X693" s="20">
        <f ca="1">W693/1000</f>
        <v>1.7615571151609004</v>
      </c>
      <c r="Y693" s="26" t="s">
        <v>451</v>
      </c>
    </row>
    <row r="694" spans="1:25">
      <c r="A694" s="201"/>
      <c r="B694" s="201"/>
      <c r="C694" s="201"/>
      <c r="D694" s="199"/>
      <c r="E694" s="199"/>
      <c r="F694" s="21" t="s">
        <v>247</v>
      </c>
      <c r="G694" s="22">
        <v>7089.7951066286323</v>
      </c>
      <c r="H694" s="184"/>
      <c r="I694" s="23">
        <f ca="1">I693*労務費経費単価SC!D$7</f>
        <v>78200</v>
      </c>
      <c r="J694" s="23">
        <f ca="1">J693*労務費経費単価SC!D$11</f>
        <v>3860.9999999999995</v>
      </c>
      <c r="K694" s="22">
        <f ca="1">K693*$E693</f>
        <v>131220</v>
      </c>
      <c r="L694" s="22">
        <f ca="1">L693*$E693</f>
        <v>0</v>
      </c>
      <c r="M694" s="22">
        <f t="shared" ref="M694" ca="1" si="2402">M693*$E693</f>
        <v>0</v>
      </c>
      <c r="N694" s="22">
        <f t="shared" ref="N694" ca="1" si="2403">N693*$E693</f>
        <v>0</v>
      </c>
      <c r="O694" s="22">
        <f t="shared" ref="O694" ca="1" si="2404">O693*$E693</f>
        <v>0</v>
      </c>
      <c r="P694" s="22">
        <f t="shared" ref="P694" ca="1" si="2405">P693*$E693</f>
        <v>0</v>
      </c>
      <c r="Q694" s="22">
        <f t="shared" ref="Q694" ca="1" si="2406">Q693*$E693</f>
        <v>131760</v>
      </c>
      <c r="R694" s="22">
        <f t="shared" ref="R694" ca="1" si="2407">R693*$E693</f>
        <v>-3887.9999999999877</v>
      </c>
      <c r="S694" s="22">
        <f t="shared" ref="S694" ca="1" si="2408">S693*$E693</f>
        <v>3348</v>
      </c>
      <c r="U694" s="17"/>
      <c r="V694" s="18"/>
      <c r="W694" s="19"/>
      <c r="X694" s="20"/>
    </row>
    <row r="695" spans="1:25">
      <c r="A695" s="200"/>
      <c r="B695" s="211"/>
      <c r="C695" s="200" t="s">
        <v>483</v>
      </c>
      <c r="D695" s="199" t="str">
        <f>VLOOKUP(C695,'仕掛品名寄（貼付）'!B:C,2,FALSE)</f>
        <v>その他</v>
      </c>
      <c r="E695" s="199">
        <f>VLOOKUP(D695,'仕掛品標準単価一覧表（貼付）'!B:G,6,FALSE)</f>
        <v>1080</v>
      </c>
      <c r="F695" s="12" t="s">
        <v>246</v>
      </c>
      <c r="G695" s="13">
        <v>0</v>
      </c>
      <c r="H695" s="13">
        <f ca="1">SUMIF('1.3②原材料使用'!B:E,C695,'1.3②原材料使用'!E:E)</f>
        <v>0</v>
      </c>
      <c r="I695" s="13">
        <f ca="1">SUMIF('2.10原液別作業時間'!A:B,C695,'2.10原液別作業時間'!B:B)</f>
        <v>0</v>
      </c>
      <c r="J695" s="13">
        <f ca="1">SUM(G695:H695,K695)</f>
        <v>0</v>
      </c>
      <c r="K695" s="13">
        <f ca="1">SUMIF('2.2⑤純増減→前工程費'!B:E,C695,'2.2⑤純増減→前工程費'!E:E)</f>
        <v>0</v>
      </c>
      <c r="L695" s="13">
        <f ca="1">SUMIF('2.6完成品'!C:D,C695,'2.6完成品'!D:D)</f>
        <v>0</v>
      </c>
      <c r="M695" s="13">
        <f ca="1">SUMIF('2.3研究費'!D:E,C695,'2.3研究費'!E:E)</f>
        <v>0</v>
      </c>
      <c r="N695" s="13">
        <f ca="1">SUMIF('2.4販促費'!D:E,C695,'2.4販促費'!E:E)</f>
        <v>0</v>
      </c>
      <c r="O695" s="13">
        <f ca="1">SUMIF('2.5廃棄処分'!D:E,C695,'2.5廃棄処分'!E:E)</f>
        <v>0</v>
      </c>
      <c r="P695" s="13">
        <f ca="1">SUMIF('2.1④異種原液'!D:E,C695,'2.1④異種原液'!E:E)</f>
        <v>0</v>
      </c>
      <c r="Q695" s="14">
        <f ca="1">SUMIF('2.7製造部生産分'!D:I,C695,'2.7製造部生産分'!H:H)</f>
        <v>0</v>
      </c>
      <c r="R695" s="15">
        <f ca="1">-(G695+H695+K695-L695-M695-N695-O695-P695-Q695-S695)</f>
        <v>0</v>
      </c>
      <c r="S695" s="13">
        <f ca="1">SUMIF('2.9原液在庫'!B:H,C695,'2.9原液在庫'!H:H)</f>
        <v>0</v>
      </c>
      <c r="T695" s="16">
        <f ca="1">IFERROR(SUM(G696:K696)/(G695+H695+K695),0)</f>
        <v>0</v>
      </c>
      <c r="U695" s="17" t="str">
        <f>C695</f>
        <v>OK</v>
      </c>
      <c r="V695" s="18">
        <f ca="1">IF(ISERROR(SUM(G696:K696)/SUM(L695:Q695,S695)),0,SUM(G696:K696)/SUM(L695:Q695,S695))</f>
        <v>0</v>
      </c>
      <c r="W695" s="19">
        <f ca="1">V695</f>
        <v>0</v>
      </c>
      <c r="X695" s="20">
        <f ca="1">W695/1000</f>
        <v>0</v>
      </c>
    </row>
    <row r="696" spans="1:25">
      <c r="A696" s="201"/>
      <c r="B696" s="201"/>
      <c r="C696" s="201"/>
      <c r="D696" s="199"/>
      <c r="E696" s="199"/>
      <c r="F696" s="21" t="s">
        <v>247</v>
      </c>
      <c r="G696" s="22" t="s">
        <v>254</v>
      </c>
      <c r="H696" s="184"/>
      <c r="I696" s="23">
        <f ca="1">I695*労務費経費単価SC!D$7</f>
        <v>0</v>
      </c>
      <c r="J696" s="23">
        <f ca="1">J695*労務費経費単価SC!D$11</f>
        <v>0</v>
      </c>
      <c r="K696" s="22">
        <f ca="1">K695*$E695</f>
        <v>0</v>
      </c>
      <c r="L696" s="22">
        <f ca="1">L695*$E695</f>
        <v>0</v>
      </c>
      <c r="M696" s="22">
        <f t="shared" ref="M696" ca="1" si="2409">M695*$E695</f>
        <v>0</v>
      </c>
      <c r="N696" s="22">
        <f t="shared" ref="N696" ca="1" si="2410">N695*$E695</f>
        <v>0</v>
      </c>
      <c r="O696" s="22">
        <f t="shared" ref="O696" ca="1" si="2411">O695*$E695</f>
        <v>0</v>
      </c>
      <c r="P696" s="22">
        <f t="shared" ref="P696" ca="1" si="2412">P695*$E695</f>
        <v>0</v>
      </c>
      <c r="Q696" s="22">
        <f t="shared" ref="Q696" ca="1" si="2413">Q695*$E695</f>
        <v>0</v>
      </c>
      <c r="R696" s="22">
        <f t="shared" ref="R696" ca="1" si="2414">R695*$E695</f>
        <v>0</v>
      </c>
      <c r="S696" s="22">
        <f t="shared" ref="S696" ca="1" si="2415">S695*$E695</f>
        <v>0</v>
      </c>
      <c r="U696" s="17"/>
      <c r="V696" s="18"/>
      <c r="W696" s="19"/>
      <c r="X696" s="20"/>
    </row>
    <row r="697" spans="1:25">
      <c r="A697" s="200"/>
      <c r="B697" s="211"/>
      <c r="C697" s="200" t="s">
        <v>484</v>
      </c>
      <c r="D697" s="199" t="str">
        <f>VLOOKUP(C697,'仕掛品名寄（貼付）'!B:C,2,FALSE)</f>
        <v>その他</v>
      </c>
      <c r="E697" s="199">
        <f>VLOOKUP(D697,'仕掛品標準単価一覧表（貼付）'!B:G,6,FALSE)</f>
        <v>1080</v>
      </c>
      <c r="F697" s="12" t="s">
        <v>246</v>
      </c>
      <c r="G697" s="13">
        <v>14</v>
      </c>
      <c r="H697" s="13">
        <f ca="1">SUMIF('1.3②原材料使用'!B:E,C697,'1.3②原材料使用'!E:E)</f>
        <v>0</v>
      </c>
      <c r="I697" s="13">
        <f ca="1">SUMIF('2.10原液別作業時間'!A:B,C697,'2.10原液別作業時間'!B:B)</f>
        <v>0</v>
      </c>
      <c r="J697" s="13">
        <f ca="1">SUM(G697:H697,K697)</f>
        <v>14</v>
      </c>
      <c r="K697" s="13">
        <f ca="1">SUMIF('2.2⑤純増減→前工程費'!B:E,C697,'2.2⑤純増減→前工程費'!E:E)</f>
        <v>0</v>
      </c>
      <c r="L697" s="13">
        <f ca="1">SUMIF('2.6完成品'!C:D,C697,'2.6完成品'!D:D)</f>
        <v>0</v>
      </c>
      <c r="M697" s="13">
        <f ca="1">SUMIF('2.3研究費'!D:E,C697,'2.3研究費'!E:E)</f>
        <v>0</v>
      </c>
      <c r="N697" s="13">
        <f ca="1">SUMIF('2.4販促費'!D:E,C697,'2.4販促費'!E:E)</f>
        <v>0</v>
      </c>
      <c r="O697" s="13">
        <f ca="1">SUMIF('2.5廃棄処分'!D:E,C697,'2.5廃棄処分'!E:E)</f>
        <v>0</v>
      </c>
      <c r="P697" s="13">
        <f ca="1">SUMIF('2.1④異種原液'!D:E,C697,'2.1④異種原液'!E:E)</f>
        <v>0</v>
      </c>
      <c r="Q697" s="14">
        <f ca="1">SUMIF('2.7製造部生産分'!D:I,C697,'2.7製造部生産分'!H:H)</f>
        <v>0</v>
      </c>
      <c r="R697" s="15">
        <f ca="1">-(G697+H697+K697-L697-M697-N697-O697-P697-Q697-S697)</f>
        <v>0</v>
      </c>
      <c r="S697" s="13">
        <f ca="1">SUMIF('2.9原液在庫'!B:H,C697,'2.9原液在庫'!H:H)</f>
        <v>14</v>
      </c>
      <c r="T697" s="16">
        <f ca="1">IFERROR(SUM(G698:K698)/(G697+H697+K697),0)</f>
        <v>3024.8176988976365</v>
      </c>
      <c r="U697" s="17" t="str">
        <f>C697</f>
        <v>PC</v>
      </c>
      <c r="V697" s="18">
        <f ca="1">IF(ISERROR(SUM(G698:K698)/SUM(L697:Q697,S697)),0,SUM(G698:K698)/SUM(L697:Q697,S697))</f>
        <v>3024.8176988976365</v>
      </c>
      <c r="W697" s="19">
        <f ca="1">V697</f>
        <v>3024.8176988976365</v>
      </c>
      <c r="X697" s="20">
        <f ca="1">W697/1000</f>
        <v>3.0248176988976367</v>
      </c>
    </row>
    <row r="698" spans="1:25">
      <c r="A698" s="201"/>
      <c r="B698" s="201"/>
      <c r="C698" s="201"/>
      <c r="D698" s="199"/>
      <c r="E698" s="199"/>
      <c r="F698" s="21" t="s">
        <v>247</v>
      </c>
      <c r="G698" s="22">
        <v>41927.44778456691</v>
      </c>
      <c r="H698" s="184"/>
      <c r="I698" s="23">
        <f ca="1">I697*労務費経費単価SC!D$7</f>
        <v>0</v>
      </c>
      <c r="J698" s="23">
        <f ca="1">J697*労務費経費単価SC!D$11</f>
        <v>420</v>
      </c>
      <c r="K698" s="22">
        <f ca="1">K697*$E697</f>
        <v>0</v>
      </c>
      <c r="L698" s="22">
        <f ca="1">L697*$E697</f>
        <v>0</v>
      </c>
      <c r="M698" s="22">
        <f t="shared" ref="M698" ca="1" si="2416">M697*$E697</f>
        <v>0</v>
      </c>
      <c r="N698" s="22">
        <f t="shared" ref="N698" ca="1" si="2417">N697*$E697</f>
        <v>0</v>
      </c>
      <c r="O698" s="22">
        <f t="shared" ref="O698" ca="1" si="2418">O697*$E697</f>
        <v>0</v>
      </c>
      <c r="P698" s="22">
        <f t="shared" ref="P698" ca="1" si="2419">P697*$E697</f>
        <v>0</v>
      </c>
      <c r="Q698" s="22">
        <f t="shared" ref="Q698" ca="1" si="2420">Q697*$E697</f>
        <v>0</v>
      </c>
      <c r="R698" s="22">
        <f t="shared" ref="R698" ca="1" si="2421">R697*$E697</f>
        <v>0</v>
      </c>
      <c r="S698" s="22">
        <f t="shared" ref="S698" ca="1" si="2422">S697*$E697</f>
        <v>15120</v>
      </c>
      <c r="U698" s="17"/>
      <c r="V698" s="18"/>
      <c r="W698" s="19"/>
      <c r="X698" s="20"/>
    </row>
    <row r="699" spans="1:25">
      <c r="A699" s="200"/>
      <c r="B699" s="211"/>
      <c r="C699" s="200" t="s">
        <v>485</v>
      </c>
      <c r="D699" s="199" t="str">
        <f>VLOOKUP(C699,'仕掛品名寄（貼付）'!B:C,2,FALSE)</f>
        <v>その他</v>
      </c>
      <c r="E699" s="199">
        <f>VLOOKUP(D699,'仕掛品標準単価一覧表（貼付）'!B:G,6,FALSE)</f>
        <v>1080</v>
      </c>
      <c r="F699" s="12" t="s">
        <v>246</v>
      </c>
      <c r="G699" s="13">
        <v>0</v>
      </c>
      <c r="H699" s="13">
        <f ca="1">SUMIF('1.3②原材料使用'!B:E,C699,'1.3②原材料使用'!E:E)</f>
        <v>0</v>
      </c>
      <c r="I699" s="13">
        <f ca="1">SUMIF('2.10原液別作業時間'!A:B,C699,'2.10原液別作業時間'!B:B)</f>
        <v>0</v>
      </c>
      <c r="J699" s="13">
        <f ca="1">SUM(G699:H699,K699)</f>
        <v>0</v>
      </c>
      <c r="K699" s="13">
        <f ca="1">SUMIF('2.2⑤純増減→前工程費'!B:E,C699,'2.2⑤純増減→前工程費'!E:E)</f>
        <v>0</v>
      </c>
      <c r="L699" s="13">
        <f ca="1">SUMIF('2.6完成品'!C:D,C699,'2.6完成品'!D:D)</f>
        <v>0</v>
      </c>
      <c r="M699" s="13">
        <f ca="1">SUMIF('2.3研究費'!D:E,C699,'2.3研究費'!E:E)</f>
        <v>0</v>
      </c>
      <c r="N699" s="13">
        <f ca="1">SUMIF('2.4販促費'!D:E,C699,'2.4販促費'!E:E)</f>
        <v>0</v>
      </c>
      <c r="O699" s="13">
        <f ca="1">SUMIF('2.5廃棄処分'!D:E,C699,'2.5廃棄処分'!E:E)</f>
        <v>0</v>
      </c>
      <c r="P699" s="13">
        <f ca="1">SUMIF('2.1④異種原液'!D:E,C699,'2.1④異種原液'!E:E)</f>
        <v>0</v>
      </c>
      <c r="Q699" s="14">
        <f ca="1">SUMIF('2.7製造部生産分'!D:I,C699,'2.7製造部生産分'!H:H)</f>
        <v>0</v>
      </c>
      <c r="R699" s="15">
        <f ca="1">-(G699+H699+K699-L699-M699-N699-O699-P699-Q699-S699)</f>
        <v>0</v>
      </c>
      <c r="S699" s="13">
        <f ca="1">SUMIF('2.9原液在庫'!B:H,C699,'2.9原液在庫'!H:H)</f>
        <v>0</v>
      </c>
      <c r="T699" s="16">
        <f ca="1">IFERROR(SUM(G700:K700)/(G699+H699+K699),0)</f>
        <v>0</v>
      </c>
      <c r="U699" s="17" t="str">
        <f>C699</f>
        <v>PCK</v>
      </c>
      <c r="V699" s="18">
        <f ca="1">IF(ISERROR(SUM(G700:K700)/SUM(L699:Q699,S699)),0,SUM(G700:K700)/SUM(L699:Q699,S699))</f>
        <v>0</v>
      </c>
      <c r="W699" s="19">
        <f ca="1">V699</f>
        <v>0</v>
      </c>
      <c r="X699" s="20">
        <f ca="1">W699/1000</f>
        <v>0</v>
      </c>
    </row>
    <row r="700" spans="1:25">
      <c r="A700" s="201"/>
      <c r="B700" s="201"/>
      <c r="C700" s="201"/>
      <c r="D700" s="199"/>
      <c r="E700" s="199"/>
      <c r="F700" s="21" t="s">
        <v>247</v>
      </c>
      <c r="G700" s="22" t="s">
        <v>254</v>
      </c>
      <c r="H700" s="184"/>
      <c r="I700" s="23">
        <f ca="1">I699*労務費経費単価SC!D$7</f>
        <v>0</v>
      </c>
      <c r="J700" s="23">
        <f ca="1">J699*労務費経費単価SC!D$11</f>
        <v>0</v>
      </c>
      <c r="K700" s="22">
        <f ca="1">K699*$E699</f>
        <v>0</v>
      </c>
      <c r="L700" s="22">
        <f ca="1">L699*$E699</f>
        <v>0</v>
      </c>
      <c r="M700" s="22">
        <f t="shared" ref="M700" ca="1" si="2423">M699*$E699</f>
        <v>0</v>
      </c>
      <c r="N700" s="22">
        <f t="shared" ref="N700" ca="1" si="2424">N699*$E699</f>
        <v>0</v>
      </c>
      <c r="O700" s="22">
        <f t="shared" ref="O700" ca="1" si="2425">O699*$E699</f>
        <v>0</v>
      </c>
      <c r="P700" s="22">
        <f t="shared" ref="P700" ca="1" si="2426">P699*$E699</f>
        <v>0</v>
      </c>
      <c r="Q700" s="22">
        <f t="shared" ref="Q700" ca="1" si="2427">Q699*$E699</f>
        <v>0</v>
      </c>
      <c r="R700" s="22">
        <f t="shared" ref="R700" ca="1" si="2428">R699*$E699</f>
        <v>0</v>
      </c>
      <c r="S700" s="22">
        <f t="shared" ref="S700" ca="1" si="2429">S699*$E699</f>
        <v>0</v>
      </c>
      <c r="U700" s="17"/>
      <c r="V700" s="18"/>
      <c r="W700" s="19"/>
      <c r="X700" s="20"/>
    </row>
    <row r="701" spans="1:25">
      <c r="A701" s="200"/>
      <c r="B701" s="211"/>
      <c r="C701" s="200" t="s">
        <v>486</v>
      </c>
      <c r="D701" s="199" t="str">
        <f>VLOOKUP(C701,'仕掛品名寄（貼付）'!B:C,2,FALSE)</f>
        <v>その他</v>
      </c>
      <c r="E701" s="199">
        <f>VLOOKUP(D701,'仕掛品標準単価一覧表（貼付）'!B:G,6,FALSE)</f>
        <v>1080</v>
      </c>
      <c r="F701" s="12" t="s">
        <v>246</v>
      </c>
      <c r="G701" s="13">
        <v>0</v>
      </c>
      <c r="H701" s="13">
        <f ca="1">SUMIF('1.3②原材料使用'!B:E,C701,'1.3②原材料使用'!E:E)</f>
        <v>0</v>
      </c>
      <c r="I701" s="13">
        <f ca="1">SUMIF('2.10原液別作業時間'!A:B,C701,'2.10原液別作業時間'!B:B)</f>
        <v>0</v>
      </c>
      <c r="J701" s="13">
        <f ca="1">SUM(G701:H701,K701)</f>
        <v>0</v>
      </c>
      <c r="K701" s="13">
        <f ca="1">SUMIF('2.2⑤純増減→前工程費'!B:E,C701,'2.2⑤純増減→前工程費'!E:E)</f>
        <v>0</v>
      </c>
      <c r="L701" s="13">
        <f ca="1">SUMIF('2.6完成品'!C:D,C701,'2.6完成品'!D:D)</f>
        <v>0</v>
      </c>
      <c r="M701" s="13">
        <f ca="1">SUMIF('2.3研究費'!D:E,C701,'2.3研究費'!E:E)</f>
        <v>0</v>
      </c>
      <c r="N701" s="13">
        <f ca="1">SUMIF('2.4販促費'!D:E,C701,'2.4販促費'!E:E)</f>
        <v>0</v>
      </c>
      <c r="O701" s="13">
        <f ca="1">SUMIF('2.5廃棄処分'!D:E,C701,'2.5廃棄処分'!E:E)</f>
        <v>0</v>
      </c>
      <c r="P701" s="13">
        <f ca="1">SUMIF('2.1④異種原液'!D:E,C701,'2.1④異種原液'!E:E)</f>
        <v>0</v>
      </c>
      <c r="Q701" s="14">
        <f ca="1">SUMIF('2.7製造部生産分'!D:I,C701,'2.7製造部生産分'!H:H)</f>
        <v>0</v>
      </c>
      <c r="R701" s="15">
        <f ca="1">-(G701+H701+K701-L701-M701-N701-O701-P701-Q701-S701)</f>
        <v>0</v>
      </c>
      <c r="S701" s="13">
        <f ca="1">SUMIF('2.9原液在庫'!B:H,C701,'2.9原液在庫'!H:H)</f>
        <v>0</v>
      </c>
      <c r="T701" s="16">
        <f ca="1">IFERROR(SUM(G702:K702)/(G701+H701+K701),0)</f>
        <v>0</v>
      </c>
      <c r="U701" s="17" t="str">
        <f>C701</f>
        <v>PD</v>
      </c>
      <c r="V701" s="18">
        <f ca="1">IF(ISERROR(SUM(G702:K702)/SUM(L701:Q701,S701)),0,SUM(G702:K702)/SUM(L701:Q701,S701))</f>
        <v>0</v>
      </c>
      <c r="W701" s="19">
        <f ca="1">V701</f>
        <v>0</v>
      </c>
      <c r="X701" s="20">
        <f ca="1">W701/1000</f>
        <v>0</v>
      </c>
    </row>
    <row r="702" spans="1:25">
      <c r="A702" s="201"/>
      <c r="B702" s="201"/>
      <c r="C702" s="201"/>
      <c r="D702" s="199"/>
      <c r="E702" s="199"/>
      <c r="F702" s="21" t="s">
        <v>247</v>
      </c>
      <c r="G702" s="22" t="s">
        <v>254</v>
      </c>
      <c r="H702" s="184"/>
      <c r="I702" s="23">
        <f ca="1">I701*労務費経費単価SC!D$7</f>
        <v>0</v>
      </c>
      <c r="J702" s="23">
        <f ca="1">J701*労務費経費単価SC!D$11</f>
        <v>0</v>
      </c>
      <c r="K702" s="22">
        <f ca="1">K701*$E701</f>
        <v>0</v>
      </c>
      <c r="L702" s="22">
        <f ca="1">L701*$E701</f>
        <v>0</v>
      </c>
      <c r="M702" s="22">
        <f t="shared" ref="M702" ca="1" si="2430">M701*$E701</f>
        <v>0</v>
      </c>
      <c r="N702" s="22">
        <f t="shared" ref="N702" ca="1" si="2431">N701*$E701</f>
        <v>0</v>
      </c>
      <c r="O702" s="22">
        <f t="shared" ref="O702" ca="1" si="2432">O701*$E701</f>
        <v>0</v>
      </c>
      <c r="P702" s="22">
        <f t="shared" ref="P702" ca="1" si="2433">P701*$E701</f>
        <v>0</v>
      </c>
      <c r="Q702" s="22">
        <f t="shared" ref="Q702" ca="1" si="2434">Q701*$E701</f>
        <v>0</v>
      </c>
      <c r="R702" s="22">
        <f t="shared" ref="R702" ca="1" si="2435">R701*$E701</f>
        <v>0</v>
      </c>
      <c r="S702" s="22">
        <f t="shared" ref="S702" ca="1" si="2436">S701*$E701</f>
        <v>0</v>
      </c>
      <c r="U702" s="17"/>
      <c r="V702" s="18"/>
      <c r="W702" s="19"/>
      <c r="X702" s="20"/>
    </row>
    <row r="703" spans="1:25" ht="18">
      <c r="A703" s="200"/>
      <c r="B703" s="211"/>
      <c r="C703" s="200" t="s">
        <v>487</v>
      </c>
      <c r="D703" s="199" t="str">
        <f>VLOOKUP(C703,'仕掛品名寄（貼付）'!B:C,2,FALSE)</f>
        <v>その他</v>
      </c>
      <c r="E703" s="199">
        <f>VLOOKUP(D703,'仕掛品標準単価一覧表（貼付）'!B:G,6,FALSE)</f>
        <v>1080</v>
      </c>
      <c r="F703" s="12" t="s">
        <v>246</v>
      </c>
      <c r="G703" s="13">
        <v>15.1</v>
      </c>
      <c r="H703" s="13">
        <f ca="1">SUMIF('1.3②原材料使用'!B:E,C703,'1.3②原材料使用'!E:E)</f>
        <v>42.899999999999991</v>
      </c>
      <c r="I703" s="13">
        <f ca="1">SUMIF('2.10原液別作業時間'!A:B,C703,'2.10原液別作業時間'!B:B)</f>
        <v>650</v>
      </c>
      <c r="J703" s="13">
        <f ca="1">SUM(G703:H703,K703)</f>
        <v>2125.5</v>
      </c>
      <c r="K703" s="13">
        <f ca="1">SUMIF('2.2⑤純増減→前工程費'!B:E,C703,'2.2⑤純増減→前工程費'!E:E)</f>
        <v>2067.5</v>
      </c>
      <c r="L703" s="13">
        <f ca="1">SUMIF('2.6完成品'!C:D,C703,'2.6完成品'!D:D)</f>
        <v>0</v>
      </c>
      <c r="M703" s="13">
        <f ca="1">SUMIF('2.3研究費'!D:E,C703,'2.3研究費'!E:E)</f>
        <v>0</v>
      </c>
      <c r="N703" s="13">
        <f ca="1">SUMIF('2.4販促費'!D:E,C703,'2.4販促費'!E:E)</f>
        <v>0</v>
      </c>
      <c r="O703" s="13">
        <f ca="1">SUMIF('2.5廃棄処分'!D:E,C703,'2.5廃棄処分'!E:E)</f>
        <v>0</v>
      </c>
      <c r="P703" s="13">
        <f ca="1">SUMIF('2.1④異種原液'!D:E,C703,'2.1④異種原液'!E:E)</f>
        <v>0</v>
      </c>
      <c r="Q703" s="14">
        <f ca="1">SUMIF('2.7製造部生産分'!D:I,C703,'2.7製造部生産分'!H:H)</f>
        <v>2074</v>
      </c>
      <c r="R703" s="15">
        <f ca="1">-(G703+H703+K703-L703-M703-N703-O703-P703-Q703-S703)</f>
        <v>-49.7</v>
      </c>
      <c r="S703" s="13">
        <f ca="1">SUMIF('2.9原液在庫'!B:H,C703,'2.9原液在庫'!H:H)</f>
        <v>1.8</v>
      </c>
      <c r="T703" s="16">
        <f ca="1">IFERROR(SUM(G704:K704)/(G703+H703+K703),0)</f>
        <v>1228.4535623773768</v>
      </c>
      <c r="U703" s="17" t="str">
        <f>C703</f>
        <v>PEA</v>
      </c>
      <c r="V703" s="18">
        <f ca="1">IF(ISERROR(SUM(G704:K704)/SUM(L703:Q703,S703)),0,SUM(G704:K704)/SUM(L703:Q703,S703))</f>
        <v>1257.8659055945245</v>
      </c>
      <c r="W703" s="19">
        <f ca="1">V703</f>
        <v>1257.8659055945245</v>
      </c>
      <c r="X703" s="20">
        <f ca="1">W703/1000</f>
        <v>1.2578659055945245</v>
      </c>
      <c r="Y703" s="26" t="s">
        <v>301</v>
      </c>
    </row>
    <row r="704" spans="1:25">
      <c r="A704" s="201"/>
      <c r="B704" s="201"/>
      <c r="C704" s="201"/>
      <c r="D704" s="199"/>
      <c r="E704" s="199"/>
      <c r="F704" s="21" t="s">
        <v>247</v>
      </c>
      <c r="G704" s="22">
        <v>15413.046833114435</v>
      </c>
      <c r="H704" s="184"/>
      <c r="I704" s="23">
        <f ca="1">I703*労務費経費単価SC!D$7</f>
        <v>299000</v>
      </c>
      <c r="J704" s="23">
        <f ca="1">J703*労務費経費単価SC!D$11</f>
        <v>63765</v>
      </c>
      <c r="K704" s="22">
        <f ca="1">K703*$E703</f>
        <v>2232900</v>
      </c>
      <c r="L704" s="22">
        <f ca="1">L703*$E703</f>
        <v>0</v>
      </c>
      <c r="M704" s="22">
        <f t="shared" ref="M704" ca="1" si="2437">M703*$E703</f>
        <v>0</v>
      </c>
      <c r="N704" s="22">
        <f t="shared" ref="N704" ca="1" si="2438">N703*$E703</f>
        <v>0</v>
      </c>
      <c r="O704" s="22">
        <f t="shared" ref="O704" ca="1" si="2439">O703*$E703</f>
        <v>0</v>
      </c>
      <c r="P704" s="22">
        <f t="shared" ref="P704" ca="1" si="2440">P703*$E703</f>
        <v>0</v>
      </c>
      <c r="Q704" s="22">
        <f t="shared" ref="Q704" ca="1" si="2441">Q703*$E703</f>
        <v>2239920</v>
      </c>
      <c r="R704" s="22">
        <f t="shared" ref="R704" ca="1" si="2442">R703*$E703</f>
        <v>-53676</v>
      </c>
      <c r="S704" s="22">
        <f t="shared" ref="S704" ca="1" si="2443">S703*$E703</f>
        <v>1944</v>
      </c>
      <c r="U704" s="17"/>
      <c r="V704" s="18"/>
      <c r="W704" s="19"/>
      <c r="X704" s="20"/>
    </row>
    <row r="705" spans="1:24">
      <c r="A705" s="200"/>
      <c r="B705" s="211"/>
      <c r="C705" s="200" t="s">
        <v>488</v>
      </c>
      <c r="D705" s="199" t="str">
        <f>VLOOKUP(C705,'仕掛品名寄（貼付）'!B:C,2,FALSE)</f>
        <v>その他</v>
      </c>
      <c r="E705" s="199">
        <f>VLOOKUP(D705,'仕掛品標準単価一覧表（貼付）'!B:G,6,FALSE)</f>
        <v>1080</v>
      </c>
      <c r="F705" s="12" t="s">
        <v>246</v>
      </c>
      <c r="G705" s="13">
        <v>0</v>
      </c>
      <c r="H705" s="13">
        <f ca="1">SUMIF('1.3②原材料使用'!B:E,C705,'1.3②原材料使用'!E:E)</f>
        <v>0</v>
      </c>
      <c r="I705" s="13">
        <f ca="1">SUMIF('2.10原液別作業時間'!A:B,C705,'2.10原液別作業時間'!B:B)</f>
        <v>0</v>
      </c>
      <c r="J705" s="13">
        <f ca="1">SUM(G705:H705,K705)</f>
        <v>0</v>
      </c>
      <c r="K705" s="13">
        <f ca="1">SUMIF('2.2⑤純増減→前工程費'!B:E,C705,'2.2⑤純増減→前工程費'!E:E)</f>
        <v>0</v>
      </c>
      <c r="L705" s="13">
        <f ca="1">SUMIF('2.6完成品'!C:D,C705,'2.6完成品'!D:D)</f>
        <v>0</v>
      </c>
      <c r="M705" s="13">
        <f ca="1">SUMIF('2.3研究費'!D:E,C705,'2.3研究費'!E:E)</f>
        <v>0</v>
      </c>
      <c r="N705" s="13">
        <f ca="1">SUMIF('2.4販促費'!D:E,C705,'2.4販促費'!E:E)</f>
        <v>0</v>
      </c>
      <c r="O705" s="13">
        <f ca="1">SUMIF('2.5廃棄処分'!D:E,C705,'2.5廃棄処分'!E:E)</f>
        <v>0</v>
      </c>
      <c r="P705" s="13">
        <f ca="1">SUMIF('2.1④異種原液'!D:E,C705,'2.1④異種原液'!E:E)</f>
        <v>0</v>
      </c>
      <c r="Q705" s="14">
        <f ca="1">SUMIF('2.7製造部生産分'!D:I,C705,'2.7製造部生産分'!H:H)</f>
        <v>0</v>
      </c>
      <c r="R705" s="15">
        <f ca="1">-(G705+H705+K705-L705-M705-N705-O705-P705-Q705-S705)</f>
        <v>0</v>
      </c>
      <c r="S705" s="13">
        <f ca="1">SUMIF('2.9原液在庫'!B:H,C705,'2.9原液在庫'!H:H)</f>
        <v>0</v>
      </c>
      <c r="T705" s="16">
        <f ca="1">IFERROR(SUM(G706:K706)/(G705+H705+K705),0)</f>
        <v>0</v>
      </c>
      <c r="U705" s="17" t="str">
        <f>C705</f>
        <v>PF</v>
      </c>
      <c r="V705" s="18">
        <f ca="1">IF(ISERROR(SUM(G706:K706)/SUM(L705:Q705,S705)),0,SUM(G706:K706)/SUM(L705:Q705,S705))</f>
        <v>0</v>
      </c>
      <c r="W705" s="19">
        <f ca="1">V705</f>
        <v>0</v>
      </c>
      <c r="X705" s="20">
        <f ca="1">W705/1000</f>
        <v>0</v>
      </c>
    </row>
    <row r="706" spans="1:24">
      <c r="A706" s="201"/>
      <c r="B706" s="201"/>
      <c r="C706" s="201"/>
      <c r="D706" s="199"/>
      <c r="E706" s="199"/>
      <c r="F706" s="21" t="s">
        <v>247</v>
      </c>
      <c r="G706" s="22" t="s">
        <v>254</v>
      </c>
      <c r="H706" s="184"/>
      <c r="I706" s="23">
        <f ca="1">I705*労務費経費単価SC!D$7</f>
        <v>0</v>
      </c>
      <c r="J706" s="23">
        <f ca="1">J705*労務費経費単価SC!D$11</f>
        <v>0</v>
      </c>
      <c r="K706" s="22">
        <f ca="1">K705*$E705</f>
        <v>0</v>
      </c>
      <c r="L706" s="22">
        <f ca="1">L705*$E705</f>
        <v>0</v>
      </c>
      <c r="M706" s="22">
        <f t="shared" ref="M706" ca="1" si="2444">M705*$E705</f>
        <v>0</v>
      </c>
      <c r="N706" s="22">
        <f t="shared" ref="N706" ca="1" si="2445">N705*$E705</f>
        <v>0</v>
      </c>
      <c r="O706" s="22">
        <f t="shared" ref="O706" ca="1" si="2446">O705*$E705</f>
        <v>0</v>
      </c>
      <c r="P706" s="22">
        <f t="shared" ref="P706" ca="1" si="2447">P705*$E705</f>
        <v>0</v>
      </c>
      <c r="Q706" s="22">
        <f t="shared" ref="Q706" ca="1" si="2448">Q705*$E705</f>
        <v>0</v>
      </c>
      <c r="R706" s="22">
        <f t="shared" ref="R706" ca="1" si="2449">R705*$E705</f>
        <v>0</v>
      </c>
      <c r="S706" s="22">
        <f t="shared" ref="S706" ca="1" si="2450">S705*$E705</f>
        <v>0</v>
      </c>
      <c r="U706" s="17"/>
      <c r="V706" s="18"/>
      <c r="W706" s="19"/>
      <c r="X706" s="20"/>
    </row>
    <row r="707" spans="1:24">
      <c r="A707" s="200"/>
      <c r="B707" s="211"/>
      <c r="C707" s="200" t="s">
        <v>489</v>
      </c>
      <c r="D707" s="199" t="str">
        <f>VLOOKUP(C707,'仕掛品名寄（貼付）'!B:C,2,FALSE)</f>
        <v>その他</v>
      </c>
      <c r="E707" s="199">
        <f>VLOOKUP(D707,'仕掛品標準単価一覧表（貼付）'!B:G,6,FALSE)</f>
        <v>1080</v>
      </c>
      <c r="F707" s="12" t="s">
        <v>246</v>
      </c>
      <c r="G707" s="24">
        <v>331</v>
      </c>
      <c r="H707" s="13">
        <f ca="1">SUMIF('1.3②原材料使用'!B:E,C707,'1.3②原材料使用'!E:E)</f>
        <v>0</v>
      </c>
      <c r="I707" s="13">
        <f ca="1">SUMIF('2.10原液別作業時間'!A:B,C707,'2.10原液別作業時間'!B:B)</f>
        <v>0</v>
      </c>
      <c r="J707" s="13">
        <f ca="1">SUM(G707:H707,K707)</f>
        <v>331</v>
      </c>
      <c r="K707" s="13">
        <f ca="1">SUMIF('2.2⑤純増減→前工程費'!B:E,C707,'2.2⑤純増減→前工程費'!E:E)</f>
        <v>0</v>
      </c>
      <c r="L707" s="13">
        <f ca="1">SUMIF('2.6完成品'!C:D,C707,'2.6完成品'!D:D)</f>
        <v>190.7</v>
      </c>
      <c r="M707" s="13">
        <f ca="1">SUMIF('2.3研究費'!D:E,C707,'2.3研究費'!E:E)</f>
        <v>0</v>
      </c>
      <c r="N707" s="13">
        <f ca="1">SUMIF('2.4販促費'!D:E,C707,'2.4販促費'!E:E)</f>
        <v>0</v>
      </c>
      <c r="O707" s="13">
        <f ca="1">SUMIF('2.5廃棄処分'!D:E,C707,'2.5廃棄処分'!E:E)</f>
        <v>0</v>
      </c>
      <c r="P707" s="13">
        <f ca="1">SUMIF('2.1④異種原液'!D:E,C707,'2.1④異種原液'!E:E)</f>
        <v>0</v>
      </c>
      <c r="Q707" s="14">
        <f ca="1">SUMIF('2.7製造部生産分'!D:I,C707,'2.7製造部生産分'!H:H)</f>
        <v>0</v>
      </c>
      <c r="R707" s="15">
        <f ca="1">-(G707+H707+K707-L707-M707-N707-O707-P707-Q707-S707)</f>
        <v>-0.80000000000001137</v>
      </c>
      <c r="S707" s="13">
        <f ca="1">SUMIF('2.9原液在庫'!B:H,C707,'2.9原液在庫'!H:H)</f>
        <v>139.5</v>
      </c>
      <c r="T707" s="16">
        <f ca="1">IFERROR(SUM(G708:K708)/(G707+H707+K707),0)</f>
        <v>1494.1826956541677</v>
      </c>
      <c r="U707" s="17" t="str">
        <f>C707</f>
        <v>PG</v>
      </c>
      <c r="V707" s="18">
        <f ca="1">IF(ISERROR(SUM(G708:K708)/SUM(L707:Q707,S707)),0,SUM(G708:K708)/SUM(L707:Q707,S707))</f>
        <v>1497.8027627544807</v>
      </c>
      <c r="W707" s="19">
        <f ca="1">V707</f>
        <v>1497.8027627544807</v>
      </c>
      <c r="X707" s="20">
        <f ca="1">W707/1000</f>
        <v>1.4978027627544808</v>
      </c>
    </row>
    <row r="708" spans="1:24">
      <c r="A708" s="201"/>
      <c r="B708" s="201"/>
      <c r="C708" s="201"/>
      <c r="D708" s="199"/>
      <c r="E708" s="199"/>
      <c r="F708" s="21" t="s">
        <v>247</v>
      </c>
      <c r="G708" s="22">
        <v>484644.47226152953</v>
      </c>
      <c r="H708" s="184"/>
      <c r="I708" s="23">
        <f ca="1">I707*労務費経費単価SC!D$7</f>
        <v>0</v>
      </c>
      <c r="J708" s="23">
        <f ca="1">J707*労務費経費単価SC!D$11</f>
        <v>9930</v>
      </c>
      <c r="K708" s="22">
        <f ca="1">K707*$E707</f>
        <v>0</v>
      </c>
      <c r="L708" s="22">
        <f ca="1">L707*$E707</f>
        <v>205956</v>
      </c>
      <c r="M708" s="22">
        <f t="shared" ref="M708" ca="1" si="2451">M707*$E707</f>
        <v>0</v>
      </c>
      <c r="N708" s="22">
        <f t="shared" ref="N708" ca="1" si="2452">N707*$E707</f>
        <v>0</v>
      </c>
      <c r="O708" s="22">
        <f t="shared" ref="O708" ca="1" si="2453">O707*$E707</f>
        <v>0</v>
      </c>
      <c r="P708" s="22">
        <f t="shared" ref="P708" ca="1" si="2454">P707*$E707</f>
        <v>0</v>
      </c>
      <c r="Q708" s="22">
        <f t="shared" ref="Q708" ca="1" si="2455">Q707*$E707</f>
        <v>0</v>
      </c>
      <c r="R708" s="22">
        <f t="shared" ref="R708" ca="1" si="2456">R707*$E707</f>
        <v>-864.00000000001228</v>
      </c>
      <c r="S708" s="22">
        <f t="shared" ref="S708" ca="1" si="2457">S707*$E707</f>
        <v>150660</v>
      </c>
      <c r="U708" s="17"/>
      <c r="V708" s="18"/>
      <c r="W708" s="19"/>
      <c r="X708" s="20"/>
    </row>
    <row r="709" spans="1:24">
      <c r="A709" s="200"/>
      <c r="B709" s="211"/>
      <c r="C709" s="200" t="s">
        <v>490</v>
      </c>
      <c r="D709" s="199" t="str">
        <f>VLOOKUP(C709,'仕掛品名寄（貼付）'!B:C,2,FALSE)</f>
        <v>その他</v>
      </c>
      <c r="E709" s="199">
        <f>VLOOKUP(D709,'仕掛品標準単価一覧表（貼付）'!B:G,6,FALSE)</f>
        <v>1080</v>
      </c>
      <c r="F709" s="12" t="s">
        <v>246</v>
      </c>
      <c r="G709" s="13">
        <v>0</v>
      </c>
      <c r="H709" s="13">
        <f ca="1">SUMIF('1.3②原材料使用'!B:E,C709,'1.3②原材料使用'!E:E)</f>
        <v>0</v>
      </c>
      <c r="I709" s="13">
        <f ca="1">SUMIF('2.10原液別作業時間'!A:B,C709,'2.10原液別作業時間'!B:B)</f>
        <v>0</v>
      </c>
      <c r="J709" s="13">
        <f ca="1">SUM(G709:H709,K709)</f>
        <v>0</v>
      </c>
      <c r="K709" s="13">
        <f ca="1">SUMIF('2.2⑤純増減→前工程費'!B:E,C709,'2.2⑤純増減→前工程費'!E:E)</f>
        <v>0</v>
      </c>
      <c r="L709" s="13">
        <f ca="1">SUMIF('2.6完成品'!C:D,C709,'2.6完成品'!D:D)</f>
        <v>0</v>
      </c>
      <c r="M709" s="13">
        <f ca="1">SUMIF('2.3研究費'!D:E,C709,'2.3研究費'!E:E)</f>
        <v>0</v>
      </c>
      <c r="N709" s="13">
        <f ca="1">SUMIF('2.4販促費'!D:E,C709,'2.4販促費'!E:E)</f>
        <v>0</v>
      </c>
      <c r="O709" s="13">
        <f ca="1">SUMIF('2.5廃棄処分'!D:E,C709,'2.5廃棄処分'!E:E)</f>
        <v>0</v>
      </c>
      <c r="P709" s="13">
        <f ca="1">SUMIF('2.1④異種原液'!D:E,C709,'2.1④異種原液'!E:E)</f>
        <v>0</v>
      </c>
      <c r="Q709" s="14">
        <f ca="1">SUMIF('2.7製造部生産分'!D:I,C709,'2.7製造部生産分'!H:H)</f>
        <v>0</v>
      </c>
      <c r="R709" s="15">
        <f ca="1">-(G709+H709+K709-L709-M709-N709-O709-P709-Q709-S709)</f>
        <v>0</v>
      </c>
      <c r="S709" s="13">
        <f ca="1">SUMIF('2.9原液在庫'!B:H,C709,'2.9原液在庫'!H:H)</f>
        <v>0</v>
      </c>
      <c r="T709" s="16">
        <f ca="1">IFERROR(SUM(G710:K710)/(G709+H709+K709),0)</f>
        <v>0</v>
      </c>
      <c r="U709" s="17" t="str">
        <f>C709</f>
        <v>PH</v>
      </c>
      <c r="V709" s="18">
        <f ca="1">IF(ISERROR(SUM(G710:K710)/SUM(L709:Q709,S709)),0,SUM(G710:K710)/SUM(L709:Q709,S709))</f>
        <v>0</v>
      </c>
      <c r="W709" s="19">
        <f ca="1">V709</f>
        <v>0</v>
      </c>
      <c r="X709" s="20">
        <f ca="1">W709/1000</f>
        <v>0</v>
      </c>
    </row>
    <row r="710" spans="1:24">
      <c r="A710" s="201"/>
      <c r="B710" s="201"/>
      <c r="C710" s="201"/>
      <c r="D710" s="199"/>
      <c r="E710" s="199"/>
      <c r="F710" s="21" t="s">
        <v>247</v>
      </c>
      <c r="G710" s="22" t="s">
        <v>254</v>
      </c>
      <c r="H710" s="184"/>
      <c r="I710" s="23">
        <f ca="1">I709*労務費経費単価SC!D$7</f>
        <v>0</v>
      </c>
      <c r="J710" s="23">
        <f ca="1">J709*労務費経費単価SC!D$11</f>
        <v>0</v>
      </c>
      <c r="K710" s="22">
        <f ca="1">K709*$E709</f>
        <v>0</v>
      </c>
      <c r="L710" s="22">
        <f ca="1">L709*$E709</f>
        <v>0</v>
      </c>
      <c r="M710" s="22">
        <f t="shared" ref="M710" ca="1" si="2458">M709*$E709</f>
        <v>0</v>
      </c>
      <c r="N710" s="22">
        <f t="shared" ref="N710" ca="1" si="2459">N709*$E709</f>
        <v>0</v>
      </c>
      <c r="O710" s="22">
        <f t="shared" ref="O710" ca="1" si="2460">O709*$E709</f>
        <v>0</v>
      </c>
      <c r="P710" s="22">
        <f t="shared" ref="P710" ca="1" si="2461">P709*$E709</f>
        <v>0</v>
      </c>
      <c r="Q710" s="22">
        <f t="shared" ref="Q710" ca="1" si="2462">Q709*$E709</f>
        <v>0</v>
      </c>
      <c r="R710" s="22">
        <f t="shared" ref="R710" ca="1" si="2463">R709*$E709</f>
        <v>0</v>
      </c>
      <c r="S710" s="22">
        <f t="shared" ref="S710" ca="1" si="2464">S709*$E709</f>
        <v>0</v>
      </c>
      <c r="U710" s="17"/>
      <c r="V710" s="18"/>
      <c r="W710" s="19"/>
      <c r="X710" s="20"/>
    </row>
    <row r="711" spans="1:24">
      <c r="A711" s="200"/>
      <c r="B711" s="211"/>
      <c r="C711" s="200" t="s">
        <v>491</v>
      </c>
      <c r="D711" s="199" t="str">
        <f>VLOOKUP(C711,'仕掛品名寄（貼付）'!B:C,2,FALSE)</f>
        <v>その他</v>
      </c>
      <c r="E711" s="199">
        <f>VLOOKUP(D711,'仕掛品標準単価一覧表（貼付）'!B:G,6,FALSE)</f>
        <v>1080</v>
      </c>
      <c r="F711" s="12" t="s">
        <v>246</v>
      </c>
      <c r="G711" s="24">
        <v>384.5</v>
      </c>
      <c r="H711" s="13">
        <f ca="1">SUMIF('1.3②原材料使用'!B:E,C711,'1.3②原材料使用'!E:E)</f>
        <v>0</v>
      </c>
      <c r="I711" s="13">
        <f ca="1">SUMIF('2.10原液別作業時間'!A:B,C711,'2.10原液別作業時間'!B:B)</f>
        <v>0</v>
      </c>
      <c r="J711" s="13">
        <f ca="1">SUM(G711:H711,K711)</f>
        <v>384.5</v>
      </c>
      <c r="K711" s="13">
        <f ca="1">SUMIF('2.2⑤純増減→前工程費'!B:E,C711,'2.2⑤純増減→前工程費'!E:E)</f>
        <v>0</v>
      </c>
      <c r="L711" s="13">
        <f ca="1">SUMIF('2.6完成品'!C:D,C711,'2.6完成品'!D:D)</f>
        <v>0</v>
      </c>
      <c r="M711" s="13">
        <f ca="1">SUMIF('2.3研究費'!D:E,C711,'2.3研究費'!E:E)</f>
        <v>0</v>
      </c>
      <c r="N711" s="13">
        <f ca="1">SUMIF('2.4販促費'!D:E,C711,'2.4販促費'!E:E)</f>
        <v>0</v>
      </c>
      <c r="O711" s="13">
        <f ca="1">SUMIF('2.5廃棄処分'!D:E,C711,'2.5廃棄処分'!E:E)</f>
        <v>0</v>
      </c>
      <c r="P711" s="13">
        <f ca="1">SUMIF('2.1④異種原液'!D:E,C711,'2.1④異種原液'!E:E)</f>
        <v>0</v>
      </c>
      <c r="Q711" s="14">
        <f ca="1">SUMIF('2.7製造部生産分'!D:I,C711,'2.7製造部生産分'!H:H)</f>
        <v>0</v>
      </c>
      <c r="R711" s="15">
        <f ca="1">-(G711+H711+K711-L711-M711-N711-O711-P711-Q711-S711)</f>
        <v>0</v>
      </c>
      <c r="S711" s="13">
        <f ca="1">SUMIF('2.9原液在庫'!B:H,C711,'2.9原液在庫'!H:H)</f>
        <v>384.5</v>
      </c>
      <c r="T711" s="16">
        <f ca="1">IFERROR(SUM(G712:K712)/(G711+H711+K711),0)</f>
        <v>1631.0219490470097</v>
      </c>
      <c r="U711" s="17" t="str">
        <f>C711</f>
        <v>PI</v>
      </c>
      <c r="V711" s="18">
        <f ca="1">IF(ISERROR(SUM(G712:K712)/SUM(L711:Q711,S711)),0,SUM(G712:K712)/SUM(L711:Q711,S711))</f>
        <v>1631.0219490470097</v>
      </c>
      <c r="W711" s="19">
        <f ca="1">V711</f>
        <v>1631.0219490470097</v>
      </c>
      <c r="X711" s="20">
        <f ca="1">W711/1000</f>
        <v>1.6310219490470097</v>
      </c>
    </row>
    <row r="712" spans="1:24">
      <c r="A712" s="201"/>
      <c r="B712" s="201"/>
      <c r="C712" s="201"/>
      <c r="D712" s="199"/>
      <c r="E712" s="199"/>
      <c r="F712" s="21" t="s">
        <v>247</v>
      </c>
      <c r="G712" s="22">
        <v>615592.93940857518</v>
      </c>
      <c r="H712" s="184"/>
      <c r="I712" s="23">
        <f ca="1">I711*労務費経費単価SC!D$7</f>
        <v>0</v>
      </c>
      <c r="J712" s="23">
        <f ca="1">J711*労務費経費単価SC!D$11</f>
        <v>11535</v>
      </c>
      <c r="K712" s="22">
        <f ca="1">K711*$E711</f>
        <v>0</v>
      </c>
      <c r="L712" s="22">
        <f ca="1">L711*$E711</f>
        <v>0</v>
      </c>
      <c r="M712" s="22">
        <f t="shared" ref="M712" ca="1" si="2465">M711*$E711</f>
        <v>0</v>
      </c>
      <c r="N712" s="22">
        <f t="shared" ref="N712" ca="1" si="2466">N711*$E711</f>
        <v>0</v>
      </c>
      <c r="O712" s="22">
        <f t="shared" ref="O712" ca="1" si="2467">O711*$E711</f>
        <v>0</v>
      </c>
      <c r="P712" s="22">
        <f t="shared" ref="P712" ca="1" si="2468">P711*$E711</f>
        <v>0</v>
      </c>
      <c r="Q712" s="22">
        <f t="shared" ref="Q712" ca="1" si="2469">Q711*$E711</f>
        <v>0</v>
      </c>
      <c r="R712" s="22">
        <f t="shared" ref="R712" ca="1" si="2470">R711*$E711</f>
        <v>0</v>
      </c>
      <c r="S712" s="22">
        <f t="shared" ref="S712" ca="1" si="2471">S711*$E711</f>
        <v>415260</v>
      </c>
      <c r="U712" s="17"/>
      <c r="V712" s="18"/>
      <c r="W712" s="19"/>
      <c r="X712" s="20"/>
    </row>
    <row r="713" spans="1:24">
      <c r="A713" s="200"/>
      <c r="B713" s="211"/>
      <c r="C713" s="200" t="s">
        <v>492</v>
      </c>
      <c r="D713" s="199" t="str">
        <f>VLOOKUP(C713,'仕掛品名寄（貼付）'!B:C,2,FALSE)</f>
        <v>その他</v>
      </c>
      <c r="E713" s="199">
        <f>VLOOKUP(D713,'仕掛品標準単価一覧表（貼付）'!B:G,6,FALSE)</f>
        <v>1080</v>
      </c>
      <c r="F713" s="12" t="s">
        <v>246</v>
      </c>
      <c r="G713" s="13">
        <v>238</v>
      </c>
      <c r="H713" s="13">
        <f ca="1">SUMIF('1.3②原材料使用'!B:E,C713,'1.3②原材料使用'!E:E)</f>
        <v>0</v>
      </c>
      <c r="I713" s="13">
        <f ca="1">SUMIF('2.10原液別作業時間'!A:B,C713,'2.10原液別作業時間'!B:B)</f>
        <v>0</v>
      </c>
      <c r="J713" s="13">
        <f ca="1">SUM(G713:H713,K713)</f>
        <v>238</v>
      </c>
      <c r="K713" s="13">
        <f ca="1">SUMIF('2.2⑤純増減→前工程費'!B:E,C713,'2.2⑤純増減→前工程費'!E:E)</f>
        <v>0</v>
      </c>
      <c r="L713" s="13">
        <f ca="1">SUMIF('2.6完成品'!C:D,C713,'2.6完成品'!D:D)</f>
        <v>0</v>
      </c>
      <c r="M713" s="13">
        <f ca="1">SUMIF('2.3研究費'!D:E,C713,'2.3研究費'!E:E)</f>
        <v>0</v>
      </c>
      <c r="N713" s="13">
        <f ca="1">SUMIF('2.4販促費'!D:E,C713,'2.4販促費'!E:E)</f>
        <v>0</v>
      </c>
      <c r="O713" s="13">
        <f ca="1">SUMIF('2.5廃棄処分'!D:E,C713,'2.5廃棄処分'!E:E)</f>
        <v>0</v>
      </c>
      <c r="P713" s="13">
        <f ca="1">SUMIF('2.1④異種原液'!D:E,C713,'2.1④異種原液'!E:E)</f>
        <v>0</v>
      </c>
      <c r="Q713" s="14">
        <f ca="1">SUMIF('2.7製造部生産分'!D:I,C713,'2.7製造部生産分'!H:H)</f>
        <v>0</v>
      </c>
      <c r="R713" s="15">
        <f ca="1">-(G713+H713+K713-L713-M713-N713-O713-P713-Q713-S713)</f>
        <v>0</v>
      </c>
      <c r="S713" s="13">
        <f ca="1">SUMIF('2.9原液在庫'!B:H,C713,'2.9原液在庫'!H:H)</f>
        <v>238</v>
      </c>
      <c r="T713" s="16">
        <f ca="1">IFERROR(SUM(G714:K714)/(G713+H713+K713),0)</f>
        <v>1221.3316044804403</v>
      </c>
      <c r="U713" s="17" t="str">
        <f>C713</f>
        <v>PJ</v>
      </c>
      <c r="V713" s="18">
        <f ca="1">IF(ISERROR(SUM(G714:K714)/SUM(L713:Q713,S713)),0,SUM(G714:K714)/SUM(L713:Q713,S713))</f>
        <v>1221.3316044804403</v>
      </c>
      <c r="W713" s="19">
        <f ca="1">V713</f>
        <v>1221.3316044804403</v>
      </c>
      <c r="X713" s="20">
        <f ca="1">W713/1000</f>
        <v>1.2213316044804403</v>
      </c>
    </row>
    <row r="714" spans="1:24">
      <c r="A714" s="201"/>
      <c r="B714" s="201"/>
      <c r="C714" s="201"/>
      <c r="D714" s="199"/>
      <c r="E714" s="199"/>
      <c r="F714" s="21" t="s">
        <v>247</v>
      </c>
      <c r="G714" s="22">
        <v>283536.92186634481</v>
      </c>
      <c r="H714" s="184"/>
      <c r="I714" s="23">
        <f ca="1">I713*労務費経費単価SC!D$7</f>
        <v>0</v>
      </c>
      <c r="J714" s="23">
        <f ca="1">J713*労務費経費単価SC!D$11</f>
        <v>7140</v>
      </c>
      <c r="K714" s="22">
        <f ca="1">K713*$E713</f>
        <v>0</v>
      </c>
      <c r="L714" s="22">
        <f ca="1">L713*$E713</f>
        <v>0</v>
      </c>
      <c r="M714" s="22">
        <f t="shared" ref="M714" ca="1" si="2472">M713*$E713</f>
        <v>0</v>
      </c>
      <c r="N714" s="22">
        <f t="shared" ref="N714" ca="1" si="2473">N713*$E713</f>
        <v>0</v>
      </c>
      <c r="O714" s="22">
        <f t="shared" ref="O714" ca="1" si="2474">O713*$E713</f>
        <v>0</v>
      </c>
      <c r="P714" s="22">
        <f t="shared" ref="P714" ca="1" si="2475">P713*$E713</f>
        <v>0</v>
      </c>
      <c r="Q714" s="22">
        <f t="shared" ref="Q714" ca="1" si="2476">Q713*$E713</f>
        <v>0</v>
      </c>
      <c r="R714" s="22">
        <f t="shared" ref="R714" ca="1" si="2477">R713*$E713</f>
        <v>0</v>
      </c>
      <c r="S714" s="22">
        <f t="shared" ref="S714" ca="1" si="2478">S713*$E713</f>
        <v>257040</v>
      </c>
      <c r="U714" s="17"/>
      <c r="V714" s="18"/>
      <c r="W714" s="19"/>
      <c r="X714" s="20"/>
    </row>
    <row r="715" spans="1:24">
      <c r="A715" s="200"/>
      <c r="B715" s="211"/>
      <c r="C715" s="200" t="s">
        <v>493</v>
      </c>
      <c r="D715" s="199" t="str">
        <f>VLOOKUP(C715,'仕掛品名寄（貼付）'!B:C,2,FALSE)</f>
        <v>その他</v>
      </c>
      <c r="E715" s="199">
        <f>VLOOKUP(D715,'仕掛品標準単価一覧表（貼付）'!B:G,6,FALSE)</f>
        <v>1080</v>
      </c>
      <c r="F715" s="12" t="s">
        <v>246</v>
      </c>
      <c r="G715" s="24">
        <v>1472.5</v>
      </c>
      <c r="H715" s="13">
        <f ca="1">SUMIF('1.3②原材料使用'!B:E,C715,'1.3②原材料使用'!E:E)</f>
        <v>0</v>
      </c>
      <c r="I715" s="13">
        <f ca="1">SUMIF('2.10原液別作業時間'!A:B,C715,'2.10原液別作業時間'!B:B)</f>
        <v>0</v>
      </c>
      <c r="J715" s="13">
        <f ca="1">SUM(G715:H715,K715)</f>
        <v>1472.5</v>
      </c>
      <c r="K715" s="13">
        <f ca="1">SUMIF('2.2⑤純増減→前工程費'!B:E,C715,'2.2⑤純増減→前工程費'!E:E)</f>
        <v>0</v>
      </c>
      <c r="L715" s="13">
        <f ca="1">SUMIF('2.6完成品'!C:D,C715,'2.6完成品'!D:D)</f>
        <v>0</v>
      </c>
      <c r="M715" s="13">
        <f ca="1">SUMIF('2.3研究費'!D:E,C715,'2.3研究費'!E:E)</f>
        <v>0</v>
      </c>
      <c r="N715" s="13">
        <f ca="1">SUMIF('2.4販促費'!D:E,C715,'2.4販促費'!E:E)</f>
        <v>0</v>
      </c>
      <c r="O715" s="13">
        <f ca="1">SUMIF('2.5廃棄処分'!D:E,C715,'2.5廃棄処分'!E:E)</f>
        <v>0</v>
      </c>
      <c r="P715" s="13">
        <f ca="1">SUMIF('2.1④異種原液'!D:E,C715,'2.1④異種原液'!E:E)</f>
        <v>0</v>
      </c>
      <c r="Q715" s="14">
        <f ca="1">SUMIF('2.7製造部生産分'!D:I,C715,'2.7製造部生産分'!H:H)</f>
        <v>0</v>
      </c>
      <c r="R715" s="15">
        <f ca="1">-(G715+H715+K715-L715-M715-N715-O715-P715-Q715-S715)</f>
        <v>0</v>
      </c>
      <c r="S715" s="13">
        <f ca="1">SUMIF('2.9原液在庫'!B:H,C715,'2.9原液在庫'!H:H)</f>
        <v>1472.5</v>
      </c>
      <c r="T715" s="16">
        <f ca="1">IFERROR(SUM(G716:K716)/(G715+H715+K715),0)</f>
        <v>1027.2723302089851</v>
      </c>
      <c r="U715" s="17" t="str">
        <f>C715</f>
        <v>PM</v>
      </c>
      <c r="V715" s="18">
        <f ca="1">IF(ISERROR(SUM(G716:K716)/SUM(L715:Q715,S715)),0,SUM(G716:K716)/SUM(L715:Q715,S715))</f>
        <v>1027.2723302089851</v>
      </c>
      <c r="W715" s="19">
        <f ca="1">V715</f>
        <v>1027.2723302089851</v>
      </c>
      <c r="X715" s="20">
        <f ca="1">W715/1000</f>
        <v>1.027272330208985</v>
      </c>
    </row>
    <row r="716" spans="1:24">
      <c r="A716" s="201"/>
      <c r="B716" s="201"/>
      <c r="C716" s="201"/>
      <c r="D716" s="199"/>
      <c r="E716" s="199"/>
      <c r="F716" s="21" t="s">
        <v>247</v>
      </c>
      <c r="G716" s="22">
        <v>1468483.5062327306</v>
      </c>
      <c r="H716" s="184"/>
      <c r="I716" s="23">
        <f ca="1">I715*労務費経費単価SC!D$7</f>
        <v>0</v>
      </c>
      <c r="J716" s="23">
        <f ca="1">J715*労務費経費単価SC!D$11</f>
        <v>44175</v>
      </c>
      <c r="K716" s="22">
        <f ca="1">K715*$E715</f>
        <v>0</v>
      </c>
      <c r="L716" s="22">
        <f ca="1">L715*$E715</f>
        <v>0</v>
      </c>
      <c r="M716" s="22">
        <f t="shared" ref="M716" ca="1" si="2479">M715*$E715</f>
        <v>0</v>
      </c>
      <c r="N716" s="22">
        <f t="shared" ref="N716" ca="1" si="2480">N715*$E715</f>
        <v>0</v>
      </c>
      <c r="O716" s="22">
        <f t="shared" ref="O716" ca="1" si="2481">O715*$E715</f>
        <v>0</v>
      </c>
      <c r="P716" s="22">
        <f t="shared" ref="P716" ca="1" si="2482">P715*$E715</f>
        <v>0</v>
      </c>
      <c r="Q716" s="22">
        <f t="shared" ref="Q716" ca="1" si="2483">Q715*$E715</f>
        <v>0</v>
      </c>
      <c r="R716" s="22">
        <f t="shared" ref="R716" ca="1" si="2484">R715*$E715</f>
        <v>0</v>
      </c>
      <c r="S716" s="22">
        <f t="shared" ref="S716" ca="1" si="2485">S715*$E715</f>
        <v>1590300</v>
      </c>
      <c r="U716" s="17"/>
      <c r="V716" s="18"/>
      <c r="W716" s="19"/>
      <c r="X716" s="20"/>
    </row>
    <row r="717" spans="1:24">
      <c r="A717" s="200"/>
      <c r="B717" s="211"/>
      <c r="C717" s="200" t="s">
        <v>494</v>
      </c>
      <c r="D717" s="199" t="str">
        <f>VLOOKUP(C717,'仕掛品名寄（貼付）'!B:C,2,FALSE)</f>
        <v>その他</v>
      </c>
      <c r="E717" s="199">
        <f>VLOOKUP(D717,'仕掛品標準単価一覧表（貼付）'!B:G,6,FALSE)</f>
        <v>1080</v>
      </c>
      <c r="F717" s="12" t="s">
        <v>246</v>
      </c>
      <c r="G717" s="24">
        <v>0</v>
      </c>
      <c r="H717" s="13">
        <f ca="1">SUMIF('1.3②原材料使用'!B:E,C717,'1.3②原材料使用'!E:E)</f>
        <v>0</v>
      </c>
      <c r="I717" s="13">
        <f ca="1">SUMIF('2.10原液別作業時間'!A:B,C717,'2.10原液別作業時間'!B:B)</f>
        <v>0</v>
      </c>
      <c r="J717" s="13">
        <f ca="1">SUM(G717:H717,K717)</f>
        <v>0</v>
      </c>
      <c r="K717" s="13">
        <f ca="1">SUMIF('2.2⑤純増減→前工程費'!B:E,C717,'2.2⑤純増減→前工程費'!E:E)</f>
        <v>0</v>
      </c>
      <c r="L717" s="13">
        <f ca="1">SUMIF('2.6完成品'!C:D,C717,'2.6完成品'!D:D)</f>
        <v>0</v>
      </c>
      <c r="M717" s="13">
        <f ca="1">SUMIF('2.3研究費'!D:E,C717,'2.3研究費'!E:E)</f>
        <v>0</v>
      </c>
      <c r="N717" s="13">
        <f ca="1">SUMIF('2.4販促費'!D:E,C717,'2.4販促費'!E:E)</f>
        <v>0</v>
      </c>
      <c r="O717" s="13">
        <f ca="1">SUMIF('2.5廃棄処分'!D:E,C717,'2.5廃棄処分'!E:E)</f>
        <v>0</v>
      </c>
      <c r="P717" s="13">
        <f ca="1">SUMIF('2.1④異種原液'!D:E,C717,'2.1④異種原液'!E:E)</f>
        <v>0</v>
      </c>
      <c r="Q717" s="14">
        <f ca="1">SUMIF('2.7製造部生産分'!D:I,C717,'2.7製造部生産分'!H:H)</f>
        <v>0</v>
      </c>
      <c r="R717" s="15">
        <f ca="1">-(G717+H717+K717-L717-M717-N717-O717-P717-Q717-S717)</f>
        <v>0</v>
      </c>
      <c r="S717" s="13">
        <f ca="1">SUMIF('2.9原液在庫'!B:H,C717,'2.9原液在庫'!H:H)</f>
        <v>0</v>
      </c>
      <c r="T717" s="16">
        <f ca="1">IFERROR(SUM(G718:K718)/(G717+H717+K717),0)</f>
        <v>0</v>
      </c>
      <c r="U717" s="17" t="str">
        <f>C717</f>
        <v>PN</v>
      </c>
      <c r="V717" s="18">
        <f ca="1">IF(ISERROR(SUM(G718:K718)/SUM(L717:Q717,S717)),0,SUM(G718:K718)/SUM(L717:Q717,S717))</f>
        <v>0</v>
      </c>
      <c r="W717" s="19">
        <f ca="1">V717</f>
        <v>0</v>
      </c>
      <c r="X717" s="20">
        <f ca="1">W717/1000</f>
        <v>0</v>
      </c>
    </row>
    <row r="718" spans="1:24">
      <c r="A718" s="201"/>
      <c r="B718" s="201"/>
      <c r="C718" s="201"/>
      <c r="D718" s="199"/>
      <c r="E718" s="199"/>
      <c r="F718" s="21" t="s">
        <v>247</v>
      </c>
      <c r="G718" s="22" t="s">
        <v>254</v>
      </c>
      <c r="H718" s="184"/>
      <c r="I718" s="23">
        <f ca="1">I717*労務費経費単価SC!D$7</f>
        <v>0</v>
      </c>
      <c r="J718" s="23">
        <f ca="1">J717*労務費経費単価SC!D$11</f>
        <v>0</v>
      </c>
      <c r="K718" s="22">
        <f ca="1">K717*$E717</f>
        <v>0</v>
      </c>
      <c r="L718" s="22">
        <f ca="1">L717*$E717</f>
        <v>0</v>
      </c>
      <c r="M718" s="22">
        <f t="shared" ref="M718" ca="1" si="2486">M717*$E717</f>
        <v>0</v>
      </c>
      <c r="N718" s="22">
        <f t="shared" ref="N718" ca="1" si="2487">N717*$E717</f>
        <v>0</v>
      </c>
      <c r="O718" s="22">
        <f t="shared" ref="O718" ca="1" si="2488">O717*$E717</f>
        <v>0</v>
      </c>
      <c r="P718" s="22">
        <f t="shared" ref="P718" ca="1" si="2489">P717*$E717</f>
        <v>0</v>
      </c>
      <c r="Q718" s="22">
        <f t="shared" ref="Q718" ca="1" si="2490">Q717*$E717</f>
        <v>0</v>
      </c>
      <c r="R718" s="22">
        <f t="shared" ref="R718" ca="1" si="2491">R717*$E717</f>
        <v>0</v>
      </c>
      <c r="S718" s="22">
        <f t="shared" ref="S718" ca="1" si="2492">S717*$E717</f>
        <v>0</v>
      </c>
      <c r="U718" s="17"/>
      <c r="V718" s="18"/>
      <c r="W718" s="19"/>
      <c r="X718" s="20"/>
    </row>
    <row r="719" spans="1:24">
      <c r="A719" s="200"/>
      <c r="B719" s="211"/>
      <c r="C719" s="200" t="s">
        <v>495</v>
      </c>
      <c r="D719" s="199" t="str">
        <f>VLOOKUP(C719,'仕掛品名寄（貼付）'!B:C,2,FALSE)</f>
        <v>その他</v>
      </c>
      <c r="E719" s="199">
        <f>VLOOKUP(D719,'仕掛品標準単価一覧表（貼付）'!B:G,6,FALSE)</f>
        <v>1080</v>
      </c>
      <c r="F719" s="12" t="s">
        <v>246</v>
      </c>
      <c r="G719" s="13">
        <v>0</v>
      </c>
      <c r="H719" s="13">
        <f ca="1">SUMIF('1.3②原材料使用'!B:E,C719,'1.3②原材料使用'!E:E)</f>
        <v>0</v>
      </c>
      <c r="I719" s="13">
        <f ca="1">SUMIF('2.10原液別作業時間'!A:B,C719,'2.10原液別作業時間'!B:B)</f>
        <v>0</v>
      </c>
      <c r="J719" s="13">
        <f ca="1">SUM(G719:H719,K719)</f>
        <v>0</v>
      </c>
      <c r="K719" s="13">
        <f ca="1">SUMIF('2.2⑤純増減→前工程費'!B:E,C719,'2.2⑤純増減→前工程費'!E:E)</f>
        <v>0</v>
      </c>
      <c r="L719" s="13">
        <f ca="1">SUMIF('2.6完成品'!C:D,C719,'2.6完成品'!D:D)</f>
        <v>0</v>
      </c>
      <c r="M719" s="13">
        <f ca="1">SUMIF('2.3研究費'!D:E,C719,'2.3研究費'!E:E)</f>
        <v>0</v>
      </c>
      <c r="N719" s="13">
        <f ca="1">SUMIF('2.4販促費'!D:E,C719,'2.4販促費'!E:E)</f>
        <v>0</v>
      </c>
      <c r="O719" s="13">
        <f ca="1">SUMIF('2.5廃棄処分'!D:E,C719,'2.5廃棄処分'!E:E)</f>
        <v>0</v>
      </c>
      <c r="P719" s="13">
        <f ca="1">SUMIF('2.1④異種原液'!D:E,C719,'2.1④異種原液'!E:E)</f>
        <v>0</v>
      </c>
      <c r="Q719" s="14">
        <f ca="1">SUMIF('2.7製造部生産分'!D:I,C719,'2.7製造部生産分'!H:H)</f>
        <v>0</v>
      </c>
      <c r="R719" s="15">
        <f ca="1">-(G719+H719+K719-L719-M719-N719-O719-P719-Q719-S719)</f>
        <v>0</v>
      </c>
      <c r="S719" s="13">
        <f ca="1">SUMIF('2.9原液在庫'!B:H,C719,'2.9原液在庫'!H:H)</f>
        <v>0</v>
      </c>
      <c r="T719" s="16">
        <f ca="1">IFERROR(SUM(G720:K720)/(G719+H719+K719),0)</f>
        <v>0</v>
      </c>
      <c r="U719" s="17" t="str">
        <f>C719</f>
        <v>PO</v>
      </c>
      <c r="V719" s="18">
        <f ca="1">IF(ISERROR(SUM(G720:K720)/SUM(L719:Q719,S719)),0,SUM(G720:K720)/SUM(L719:Q719,S719))</f>
        <v>0</v>
      </c>
      <c r="W719" s="19">
        <f ca="1">V719</f>
        <v>0</v>
      </c>
      <c r="X719" s="20">
        <f ca="1">W719/1000</f>
        <v>0</v>
      </c>
    </row>
    <row r="720" spans="1:24">
      <c r="A720" s="201"/>
      <c r="B720" s="201"/>
      <c r="C720" s="201"/>
      <c r="D720" s="199"/>
      <c r="E720" s="199"/>
      <c r="F720" s="21" t="s">
        <v>247</v>
      </c>
      <c r="G720" s="22" t="s">
        <v>254</v>
      </c>
      <c r="H720" s="184"/>
      <c r="I720" s="23">
        <f ca="1">I719*労務費経費単価SC!D$7</f>
        <v>0</v>
      </c>
      <c r="J720" s="23">
        <f ca="1">J719*労務費経費単価SC!D$11</f>
        <v>0</v>
      </c>
      <c r="K720" s="22">
        <f ca="1">K719*$E719</f>
        <v>0</v>
      </c>
      <c r="L720" s="22">
        <f ca="1">L719*$E719</f>
        <v>0</v>
      </c>
      <c r="M720" s="22">
        <f t="shared" ref="M720" ca="1" si="2493">M719*$E719</f>
        <v>0</v>
      </c>
      <c r="N720" s="22">
        <f t="shared" ref="N720" ca="1" si="2494">N719*$E719</f>
        <v>0</v>
      </c>
      <c r="O720" s="22">
        <f t="shared" ref="O720" ca="1" si="2495">O719*$E719</f>
        <v>0</v>
      </c>
      <c r="P720" s="22">
        <f t="shared" ref="P720" ca="1" si="2496">P719*$E719</f>
        <v>0</v>
      </c>
      <c r="Q720" s="22">
        <f t="shared" ref="Q720" ca="1" si="2497">Q719*$E719</f>
        <v>0</v>
      </c>
      <c r="R720" s="22">
        <f t="shared" ref="R720" ca="1" si="2498">R719*$E719</f>
        <v>0</v>
      </c>
      <c r="S720" s="22">
        <f t="shared" ref="S720" ca="1" si="2499">S719*$E719</f>
        <v>0</v>
      </c>
      <c r="U720" s="17"/>
      <c r="V720" s="18"/>
      <c r="W720" s="19"/>
      <c r="X720" s="20"/>
    </row>
    <row r="721" spans="1:25">
      <c r="A721" s="200"/>
      <c r="B721" s="211"/>
      <c r="C721" s="200" t="s">
        <v>496</v>
      </c>
      <c r="D721" s="199" t="str">
        <f>VLOOKUP(C721,'仕掛品名寄（貼付）'!B:C,2,FALSE)</f>
        <v>その他</v>
      </c>
      <c r="E721" s="199">
        <f>VLOOKUP(D721,'仕掛品標準単価一覧表（貼付）'!B:G,6,FALSE)</f>
        <v>1080</v>
      </c>
      <c r="F721" s="12" t="s">
        <v>246</v>
      </c>
      <c r="G721" s="13">
        <v>0</v>
      </c>
      <c r="H721" s="13">
        <f ca="1">SUMIF('1.3②原材料使用'!B:E,C721,'1.3②原材料使用'!E:E)</f>
        <v>0</v>
      </c>
      <c r="I721" s="13">
        <f ca="1">SUMIF('2.10原液別作業時間'!A:B,C721,'2.10原液別作業時間'!B:B)</f>
        <v>0</v>
      </c>
      <c r="J721" s="13">
        <f ca="1">SUM(G721:H721,K721)</f>
        <v>0</v>
      </c>
      <c r="K721" s="13">
        <f ca="1">SUMIF('2.2⑤純増減→前工程費'!B:E,C721,'2.2⑤純増減→前工程費'!E:E)</f>
        <v>0</v>
      </c>
      <c r="L721" s="13">
        <f ca="1">SUMIF('2.6完成品'!C:D,C721,'2.6完成品'!D:D)</f>
        <v>0</v>
      </c>
      <c r="M721" s="13">
        <f ca="1">SUMIF('2.3研究費'!D:E,C721,'2.3研究費'!E:E)</f>
        <v>0</v>
      </c>
      <c r="N721" s="13">
        <f ca="1">SUMIF('2.4販促費'!D:E,C721,'2.4販促費'!E:E)</f>
        <v>0</v>
      </c>
      <c r="O721" s="13">
        <f ca="1">SUMIF('2.5廃棄処分'!D:E,C721,'2.5廃棄処分'!E:E)</f>
        <v>0</v>
      </c>
      <c r="P721" s="13">
        <f ca="1">SUMIF('2.1④異種原液'!D:E,C721,'2.1④異種原液'!E:E)</f>
        <v>0</v>
      </c>
      <c r="Q721" s="14">
        <f ca="1">SUMIF('2.7製造部生産分'!D:I,C721,'2.7製造部生産分'!H:H)</f>
        <v>0</v>
      </c>
      <c r="R721" s="15">
        <f ca="1">-(G721+H721+K721-L721-M721-N721-O721-P721-Q721-S721)</f>
        <v>0</v>
      </c>
      <c r="S721" s="13">
        <f ca="1">SUMIF('2.9原液在庫'!B:H,C721,'2.9原液在庫'!H:H)</f>
        <v>0</v>
      </c>
      <c r="T721" s="16">
        <f ca="1">IFERROR(SUM(G722:K722)/(G721+H721+K721),0)</f>
        <v>0</v>
      </c>
      <c r="U721" s="17" t="str">
        <f>C721</f>
        <v>PP</v>
      </c>
      <c r="V721" s="18">
        <f ca="1">IF(ISERROR(SUM(G722:K722)/SUM(L721:Q721,S721)),0,SUM(G722:K722)/SUM(L721:Q721,S721))</f>
        <v>0</v>
      </c>
      <c r="W721" s="19">
        <f ca="1">V721</f>
        <v>0</v>
      </c>
      <c r="X721" s="20">
        <f ca="1">W721/1000</f>
        <v>0</v>
      </c>
    </row>
    <row r="722" spans="1:25">
      <c r="A722" s="201"/>
      <c r="B722" s="201"/>
      <c r="C722" s="201"/>
      <c r="D722" s="199"/>
      <c r="E722" s="199"/>
      <c r="F722" s="21" t="s">
        <v>247</v>
      </c>
      <c r="G722" s="22" t="s">
        <v>254</v>
      </c>
      <c r="H722" s="184"/>
      <c r="I722" s="23">
        <f ca="1">I721*労務費経費単価SC!D$7</f>
        <v>0</v>
      </c>
      <c r="J722" s="23">
        <f ca="1">J721*労務費経費単価SC!D$11</f>
        <v>0</v>
      </c>
      <c r="K722" s="22">
        <f ca="1">K721*$E721</f>
        <v>0</v>
      </c>
      <c r="L722" s="22">
        <f ca="1">L721*$E721</f>
        <v>0</v>
      </c>
      <c r="M722" s="22">
        <f t="shared" ref="M722" ca="1" si="2500">M721*$E721</f>
        <v>0</v>
      </c>
      <c r="N722" s="22">
        <f t="shared" ref="N722" ca="1" si="2501">N721*$E721</f>
        <v>0</v>
      </c>
      <c r="O722" s="22">
        <f t="shared" ref="O722" ca="1" si="2502">O721*$E721</f>
        <v>0</v>
      </c>
      <c r="P722" s="22">
        <f t="shared" ref="P722" ca="1" si="2503">P721*$E721</f>
        <v>0</v>
      </c>
      <c r="Q722" s="22">
        <f t="shared" ref="Q722" ca="1" si="2504">Q721*$E721</f>
        <v>0</v>
      </c>
      <c r="R722" s="22">
        <f t="shared" ref="R722" ca="1" si="2505">R721*$E721</f>
        <v>0</v>
      </c>
      <c r="S722" s="22">
        <f t="shared" ref="S722" ca="1" si="2506">S721*$E721</f>
        <v>0</v>
      </c>
      <c r="U722" s="17"/>
      <c r="V722" s="18"/>
      <c r="W722" s="19"/>
      <c r="X722" s="20"/>
    </row>
    <row r="723" spans="1:25">
      <c r="A723" s="200"/>
      <c r="B723" s="211"/>
      <c r="C723" s="200" t="s">
        <v>174</v>
      </c>
      <c r="D723" s="199" t="str">
        <f>VLOOKUP(C723,'仕掛品名寄（貼付）'!B:C,2,FALSE)</f>
        <v>その他</v>
      </c>
      <c r="E723" s="199">
        <f>VLOOKUP(D723,'仕掛品標準単価一覧表（貼付）'!B:G,6,FALSE)</f>
        <v>1080</v>
      </c>
      <c r="F723" s="12" t="s">
        <v>246</v>
      </c>
      <c r="G723" s="24">
        <v>556.6</v>
      </c>
      <c r="H723" s="13">
        <f ca="1">SUMIF('1.3②原材料使用'!B:E,C723,'1.3②原材料使用'!E:E)</f>
        <v>180</v>
      </c>
      <c r="I723" s="13">
        <f ca="1">SUMIF('2.10原液別作業時間'!A:B,C723,'2.10原液別作業時間'!B:B)</f>
        <v>380</v>
      </c>
      <c r="J723" s="13">
        <f ca="1">SUM(G723:H723,K723)</f>
        <v>1234.5999999999999</v>
      </c>
      <c r="K723" s="13">
        <f ca="1">SUMIF('2.2⑤純増減→前工程費'!B:E,C723,'2.2⑤純増減→前工程費'!E:E)</f>
        <v>498</v>
      </c>
      <c r="L723" s="13">
        <f ca="1">SUMIF('2.6完成品'!C:D,C723,'2.6完成品'!D:D)</f>
        <v>819</v>
      </c>
      <c r="M723" s="13">
        <f ca="1">SUMIF('2.3研究費'!D:E,C723,'2.3研究費'!E:E)</f>
        <v>0</v>
      </c>
      <c r="N723" s="13">
        <f ca="1">SUMIF('2.4販促費'!D:E,C723,'2.4販促費'!E:E)</f>
        <v>0</v>
      </c>
      <c r="O723" s="13">
        <f ca="1">SUMIF('2.5廃棄処分'!D:E,C723,'2.5廃棄処分'!E:E)</f>
        <v>0</v>
      </c>
      <c r="P723" s="13">
        <f ca="1">SUMIF('2.1④異種原液'!D:E,C723,'2.1④異種原液'!E:E)</f>
        <v>0</v>
      </c>
      <c r="Q723" s="14">
        <f ca="1">SUMIF('2.7製造部生産分'!D:I,C723,'2.7製造部生産分'!H:H)</f>
        <v>0</v>
      </c>
      <c r="R723" s="15">
        <f ca="1">-(G723+H723+K723-L723-M723-N723-O723-P723-Q723-S723)</f>
        <v>-180.99999999999991</v>
      </c>
      <c r="S723" s="13">
        <f ca="1">SUMIF('2.9原液在庫'!B:H,C723,'2.9原液在庫'!H:H)</f>
        <v>234.6</v>
      </c>
      <c r="T723" s="16">
        <f ca="1">IFERROR(SUM(G724:K724)/(G723+H723+K723),0)</f>
        <v>2188.532819885645</v>
      </c>
      <c r="U723" s="17" t="str">
        <f>C723</f>
        <v>PXM</v>
      </c>
      <c r="V723" s="18">
        <f ca="1">IF(ISERROR(SUM(G724:K724)/SUM(L723:Q723,S723)),0,SUM(G724:K724)/SUM(L723:Q723,S723))</f>
        <v>2564.5051437270477</v>
      </c>
      <c r="W723" s="19">
        <f ca="1">V723</f>
        <v>2564.5051437270477</v>
      </c>
      <c r="X723" s="20">
        <f ca="1">W723/1000</f>
        <v>2.5645051437270476</v>
      </c>
    </row>
    <row r="724" spans="1:25">
      <c r="A724" s="212"/>
      <c r="B724" s="212"/>
      <c r="C724" s="201"/>
      <c r="D724" s="199"/>
      <c r="E724" s="199"/>
      <c r="F724" s="21" t="s">
        <v>247</v>
      </c>
      <c r="G724" s="22">
        <v>1952284.6194308172</v>
      </c>
      <c r="H724" s="184"/>
      <c r="I724" s="23">
        <f ca="1">I723*労務費経費単価SC!D$7</f>
        <v>174800</v>
      </c>
      <c r="J724" s="23">
        <f ca="1">J723*労務費経費単価SC!D$11</f>
        <v>37038</v>
      </c>
      <c r="K724" s="22">
        <f ca="1">K723*$E723</f>
        <v>537840</v>
      </c>
      <c r="L724" s="22">
        <f ca="1">L723*$E723</f>
        <v>884520</v>
      </c>
      <c r="M724" s="22">
        <f t="shared" ref="M724" ca="1" si="2507">M723*$E723</f>
        <v>0</v>
      </c>
      <c r="N724" s="22">
        <f t="shared" ref="N724" ca="1" si="2508">N723*$E723</f>
        <v>0</v>
      </c>
      <c r="O724" s="22">
        <f t="shared" ref="O724" ca="1" si="2509">O723*$E723</f>
        <v>0</v>
      </c>
      <c r="P724" s="22">
        <f t="shared" ref="P724" ca="1" si="2510">P723*$E723</f>
        <v>0</v>
      </c>
      <c r="Q724" s="22">
        <f t="shared" ref="Q724" ca="1" si="2511">Q723*$E723</f>
        <v>0</v>
      </c>
      <c r="R724" s="22">
        <f t="shared" ref="R724" ca="1" si="2512">R723*$E723</f>
        <v>-195479.99999999991</v>
      </c>
      <c r="S724" s="22">
        <f t="shared" ref="S724" ca="1" si="2513">S723*$E723</f>
        <v>253368</v>
      </c>
      <c r="U724" s="17"/>
      <c r="V724" s="18"/>
      <c r="W724" s="19"/>
      <c r="X724" s="20"/>
    </row>
    <row r="725" spans="1:25">
      <c r="A725" s="200"/>
      <c r="B725" s="211"/>
      <c r="C725" s="200" t="s">
        <v>497</v>
      </c>
      <c r="D725" s="199" t="str">
        <f>VLOOKUP(C725,'仕掛品名寄（貼付）'!B:C,2,FALSE)</f>
        <v>その他</v>
      </c>
      <c r="E725" s="199">
        <f>VLOOKUP(D725,'仕掛品標準単価一覧表（貼付）'!B:G,6,FALSE)</f>
        <v>1080</v>
      </c>
      <c r="F725" s="12" t="s">
        <v>246</v>
      </c>
      <c r="G725" s="13">
        <v>49</v>
      </c>
      <c r="H725" s="13">
        <f ca="1">SUMIF('1.3②原材料使用'!B:E,C725,'1.3②原材料使用'!E:E)</f>
        <v>0</v>
      </c>
      <c r="I725" s="13">
        <f ca="1">SUMIF('2.10原液別作業時間'!A:B,C725,'2.10原液別作業時間'!B:B)</f>
        <v>0</v>
      </c>
      <c r="J725" s="13">
        <f ca="1">SUM(G725:H725,K725)</f>
        <v>49</v>
      </c>
      <c r="K725" s="13">
        <f ca="1">SUMIF('2.2⑤純増減→前工程費'!B:E,C725,'2.2⑤純増減→前工程費'!E:E)</f>
        <v>0</v>
      </c>
      <c r="L725" s="13">
        <f ca="1">SUMIF('2.6完成品'!C:D,C725,'2.6完成品'!D:D)</f>
        <v>0</v>
      </c>
      <c r="M725" s="13">
        <f ca="1">SUMIF('2.3研究費'!D:E,C725,'2.3研究費'!E:E)</f>
        <v>0</v>
      </c>
      <c r="N725" s="13">
        <f ca="1">SUMIF('2.4販促費'!D:E,C725,'2.4販促費'!E:E)</f>
        <v>0</v>
      </c>
      <c r="O725" s="13">
        <f ca="1">SUMIF('2.5廃棄処分'!D:E,C725,'2.5廃棄処分'!E:E)</f>
        <v>0</v>
      </c>
      <c r="P725" s="13">
        <f ca="1">SUMIF('2.1④異種原液'!D:E,C725,'2.1④異種原液'!E:E)</f>
        <v>0</v>
      </c>
      <c r="Q725" s="14">
        <f ca="1">SUMIF('2.7製造部生産分'!D:I,C725,'2.7製造部生産分'!H:H)</f>
        <v>0</v>
      </c>
      <c r="R725" s="15">
        <f ca="1">-(G725+H725+K725-L725-M725-N725-O725-P725-Q725-S725)</f>
        <v>0</v>
      </c>
      <c r="S725" s="13">
        <f ca="1">SUMIF('2.9原液在庫'!B:H,C725,'2.9原液在庫'!H:H)</f>
        <v>49</v>
      </c>
      <c r="T725" s="16">
        <f ca="1">IFERROR(SUM(G726:K726)/(G725+H725+K725),0)</f>
        <v>746.4101374989167</v>
      </c>
      <c r="U725" s="17" t="str">
        <f>C725</f>
        <v>PPH</v>
      </c>
      <c r="V725" s="18">
        <f ca="1">IF(ISERROR(SUM(G726:K726)/SUM(L725:Q725,S725)),0,SUM(G726:K726)/SUM(L725:Q725,S725))</f>
        <v>746.4101374989167</v>
      </c>
      <c r="W725" s="19">
        <f ca="1">V725</f>
        <v>746.4101374989167</v>
      </c>
      <c r="X725" s="20">
        <f ca="1">W725/1000</f>
        <v>0.74641013749891671</v>
      </c>
    </row>
    <row r="726" spans="1:25">
      <c r="A726" s="201"/>
      <c r="B726" s="201"/>
      <c r="C726" s="201"/>
      <c r="D726" s="199"/>
      <c r="E726" s="199"/>
      <c r="F726" s="21" t="s">
        <v>247</v>
      </c>
      <c r="G726" s="22">
        <v>35104.096737446918</v>
      </c>
      <c r="H726" s="184"/>
      <c r="I726" s="23">
        <f ca="1">I725*労務費経費単価SC!D$7</f>
        <v>0</v>
      </c>
      <c r="J726" s="23">
        <f ca="1">J725*労務費経費単価SC!D$11</f>
        <v>1470</v>
      </c>
      <c r="K726" s="22">
        <f ca="1">K725*$E725</f>
        <v>0</v>
      </c>
      <c r="L726" s="22">
        <f ca="1">L725*$E725</f>
        <v>0</v>
      </c>
      <c r="M726" s="22">
        <f t="shared" ref="M726" ca="1" si="2514">M725*$E725</f>
        <v>0</v>
      </c>
      <c r="N726" s="22">
        <f t="shared" ref="N726" ca="1" si="2515">N725*$E725</f>
        <v>0</v>
      </c>
      <c r="O726" s="22">
        <f t="shared" ref="O726" ca="1" si="2516">O725*$E725</f>
        <v>0</v>
      </c>
      <c r="P726" s="22">
        <f t="shared" ref="P726" ca="1" si="2517">P725*$E725</f>
        <v>0</v>
      </c>
      <c r="Q726" s="22">
        <f t="shared" ref="Q726" ca="1" si="2518">Q725*$E725</f>
        <v>0</v>
      </c>
      <c r="R726" s="22">
        <f t="shared" ref="R726" ca="1" si="2519">R725*$E725</f>
        <v>0</v>
      </c>
      <c r="S726" s="22">
        <f t="shared" ref="S726" ca="1" si="2520">S725*$E725</f>
        <v>52920</v>
      </c>
      <c r="U726" s="17"/>
      <c r="V726" s="18"/>
      <c r="W726" s="19"/>
      <c r="X726" s="20"/>
    </row>
    <row r="727" spans="1:25" ht="18">
      <c r="A727" s="200"/>
      <c r="B727" s="211"/>
      <c r="C727" s="200" t="s">
        <v>498</v>
      </c>
      <c r="D727" s="199" t="str">
        <f>VLOOKUP(C727,'仕掛品名寄（貼付）'!B:C,2,FALSE)</f>
        <v>その他</v>
      </c>
      <c r="E727" s="199">
        <f>VLOOKUP(D727,'仕掛品標準単価一覧表（貼付）'!B:G,6,FALSE)</f>
        <v>1080</v>
      </c>
      <c r="F727" s="12" t="s">
        <v>246</v>
      </c>
      <c r="G727" s="13">
        <v>223.5</v>
      </c>
      <c r="H727" s="13">
        <f ca="1">SUMIF('1.3②原材料使用'!B:E,C727,'1.3②原材料使用'!E:E)</f>
        <v>0</v>
      </c>
      <c r="I727" s="13">
        <f ca="1">SUMIF('2.10原液別作業時間'!A:B,C727,'2.10原液別作業時間'!B:B)</f>
        <v>0</v>
      </c>
      <c r="J727" s="13">
        <f ca="1">SUM(G727:H727,K727)</f>
        <v>223.5</v>
      </c>
      <c r="K727" s="13">
        <f ca="1">SUMIF('2.2⑤純増減→前工程費'!B:E,C727,'2.2⑤純増減→前工程費'!E:E)</f>
        <v>0</v>
      </c>
      <c r="L727" s="13">
        <f ca="1">SUMIF('2.6完成品'!C:D,C727,'2.6完成品'!D:D)</f>
        <v>0</v>
      </c>
      <c r="M727" s="13">
        <f ca="1">SUMIF('2.3研究費'!D:E,C727,'2.3研究費'!E:E)</f>
        <v>0</v>
      </c>
      <c r="N727" s="13">
        <f ca="1">SUMIF('2.4販促費'!D:E,C727,'2.4販促費'!E:E)</f>
        <v>0</v>
      </c>
      <c r="O727" s="13">
        <f ca="1">SUMIF('2.5廃棄処分'!D:E,C727,'2.5廃棄処分'!E:E)</f>
        <v>0</v>
      </c>
      <c r="P727" s="13">
        <f ca="1">SUMIF('2.1④異種原液'!D:E,C727,'2.1④異種原液'!E:E)</f>
        <v>0</v>
      </c>
      <c r="Q727" s="14">
        <f ca="1">SUMIF('2.7製造部生産分'!D:I,C727,'2.7製造部生産分'!H:H)</f>
        <v>0</v>
      </c>
      <c r="R727" s="15">
        <f ca="1">-(G727+H727+K727-L727-M727-N727-O727-P727-Q727-S727)</f>
        <v>0</v>
      </c>
      <c r="S727" s="13">
        <f ca="1">SUMIF('2.9原液在庫'!B:H,C727,'2.9原液在庫'!H:H)</f>
        <v>223.5</v>
      </c>
      <c r="T727" s="16">
        <f ca="1">IFERROR(SUM(G728:K728)/(G727+H727+K727),0)</f>
        <v>1215.852152498278</v>
      </c>
      <c r="U727" s="17" t="str">
        <f>C727</f>
        <v>PQ</v>
      </c>
      <c r="V727" s="18">
        <f ca="1">IF(ISERROR(SUM(G728:K728)/SUM(L727:Q727,S727)),0,SUM(G728:K728)/SUM(L727:Q727,S727))</f>
        <v>1215.852152498278</v>
      </c>
      <c r="W727" s="19">
        <f ca="1">V727</f>
        <v>1215.852152498278</v>
      </c>
      <c r="X727" s="20">
        <f ca="1">W727/1000</f>
        <v>1.2158521524982779</v>
      </c>
      <c r="Y727" s="26" t="s">
        <v>451</v>
      </c>
    </row>
    <row r="728" spans="1:25">
      <c r="A728" s="201"/>
      <c r="B728" s="201"/>
      <c r="C728" s="201"/>
      <c r="D728" s="199"/>
      <c r="E728" s="199"/>
      <c r="F728" s="21" t="s">
        <v>247</v>
      </c>
      <c r="G728" s="22">
        <v>265037.95608336513</v>
      </c>
      <c r="H728" s="184"/>
      <c r="I728" s="23">
        <f ca="1">I727*労務費経費単価SC!D$7</f>
        <v>0</v>
      </c>
      <c r="J728" s="23">
        <f ca="1">J727*労務費経費単価SC!D$11</f>
        <v>6705</v>
      </c>
      <c r="K728" s="22">
        <f ca="1">K727*$E727</f>
        <v>0</v>
      </c>
      <c r="L728" s="22">
        <f ca="1">L727*$E727</f>
        <v>0</v>
      </c>
      <c r="M728" s="22">
        <f t="shared" ref="M728" ca="1" si="2521">M727*$E727</f>
        <v>0</v>
      </c>
      <c r="N728" s="22">
        <f t="shared" ref="N728" ca="1" si="2522">N727*$E727</f>
        <v>0</v>
      </c>
      <c r="O728" s="22">
        <f t="shared" ref="O728" ca="1" si="2523">O727*$E727</f>
        <v>0</v>
      </c>
      <c r="P728" s="22">
        <f t="shared" ref="P728" ca="1" si="2524">P727*$E727</f>
        <v>0</v>
      </c>
      <c r="Q728" s="22">
        <f t="shared" ref="Q728" ca="1" si="2525">Q727*$E727</f>
        <v>0</v>
      </c>
      <c r="R728" s="22">
        <f t="shared" ref="R728" ca="1" si="2526">R727*$E727</f>
        <v>0</v>
      </c>
      <c r="S728" s="22">
        <f t="shared" ref="S728" ca="1" si="2527">S727*$E727</f>
        <v>241380</v>
      </c>
      <c r="U728" s="17"/>
      <c r="V728" s="18"/>
      <c r="W728" s="19"/>
      <c r="X728" s="20"/>
    </row>
    <row r="729" spans="1:25">
      <c r="A729" s="200"/>
      <c r="B729" s="211"/>
      <c r="C729" s="200" t="s">
        <v>499</v>
      </c>
      <c r="D729" s="199" t="str">
        <f>VLOOKUP(C729,'仕掛品名寄（貼付）'!B:C,2,FALSE)</f>
        <v>その他</v>
      </c>
      <c r="E729" s="199">
        <f>VLOOKUP(D729,'仕掛品標準単価一覧表（貼付）'!B:G,6,FALSE)</f>
        <v>1080</v>
      </c>
      <c r="F729" s="12" t="s">
        <v>246</v>
      </c>
      <c r="G729" s="24">
        <v>57.5</v>
      </c>
      <c r="H729" s="13">
        <f ca="1">SUMIF('1.3②原材料使用'!B:E,C729,'1.3②原材料使用'!E:E)</f>
        <v>20</v>
      </c>
      <c r="I729" s="13">
        <f ca="1">SUMIF('2.10原液別作業時間'!A:B,C729,'2.10原液別作業時間'!B:B)</f>
        <v>850</v>
      </c>
      <c r="J729" s="13">
        <f ca="1">SUM(G729:H729,K729)</f>
        <v>753</v>
      </c>
      <c r="K729" s="13">
        <f ca="1">SUMIF('2.2⑤純増減→前工程費'!B:E,C729,'2.2⑤純増減→前工程費'!E:E)</f>
        <v>675.5</v>
      </c>
      <c r="L729" s="13">
        <f ca="1">SUMIF('2.6完成品'!C:D,C729,'2.6完成品'!D:D)</f>
        <v>534.5</v>
      </c>
      <c r="M729" s="13">
        <f ca="1">SUMIF('2.3研究費'!D:E,C729,'2.3研究費'!E:E)</f>
        <v>0</v>
      </c>
      <c r="N729" s="13">
        <f ca="1">SUMIF('2.4販促費'!D:E,C729,'2.4販促費'!E:E)</f>
        <v>0</v>
      </c>
      <c r="O729" s="13">
        <f ca="1">SUMIF('2.5廃棄処分'!D:E,C729,'2.5廃棄処分'!E:E)</f>
        <v>0</v>
      </c>
      <c r="P729" s="13">
        <f ca="1">SUMIF('2.1④異種原液'!D:E,C729,'2.1④異種原液'!E:E)</f>
        <v>0</v>
      </c>
      <c r="Q729" s="14">
        <f ca="1">SUMIF('2.7製造部生産分'!D:I,C729,'2.7製造部生産分'!H:H)</f>
        <v>0</v>
      </c>
      <c r="R729" s="15">
        <f ca="1">-(G729+H729+K729-L729-M729-N729-O729-P729-Q729-S729)</f>
        <v>-16.5</v>
      </c>
      <c r="S729" s="13">
        <f ca="1">SUMIF('2.9原液在庫'!B:H,C729,'2.9原液在庫'!H:H)</f>
        <v>202</v>
      </c>
      <c r="T729" s="16">
        <f ca="1">IFERROR(SUM(G730:K730)/(G729+H729+K729),0)</f>
        <v>1618.621126659589</v>
      </c>
      <c r="U729" s="17" t="str">
        <f>C729</f>
        <v>PR</v>
      </c>
      <c r="V729" s="18">
        <f ca="1">IF(ISERROR(SUM(G730:K730)/SUM(L729:Q729,S729)),0,SUM(G730:K730)/SUM(L729:Q729,S729))</f>
        <v>1654.8835144258933</v>
      </c>
      <c r="W729" s="19">
        <f ca="1">V729</f>
        <v>1654.8835144258933</v>
      </c>
      <c r="X729" s="20">
        <f ca="1">W729/1000</f>
        <v>1.6548835144258933</v>
      </c>
    </row>
    <row r="730" spans="1:25">
      <c r="A730" s="201"/>
      <c r="B730" s="201"/>
      <c r="C730" s="201"/>
      <c r="D730" s="199"/>
      <c r="E730" s="199"/>
      <c r="F730" s="21" t="s">
        <v>247</v>
      </c>
      <c r="G730" s="22">
        <v>75691.708374670503</v>
      </c>
      <c r="H730" s="184"/>
      <c r="I730" s="23">
        <f ca="1">I729*労務費経費単価SC!D$7</f>
        <v>391000</v>
      </c>
      <c r="J730" s="23">
        <f ca="1">J729*労務費経費単価SC!D$11</f>
        <v>22590</v>
      </c>
      <c r="K730" s="22">
        <f ca="1">K729*$E729</f>
        <v>729540</v>
      </c>
      <c r="L730" s="22">
        <f ca="1">L729*$E729</f>
        <v>577260</v>
      </c>
      <c r="M730" s="22">
        <f t="shared" ref="M730" ca="1" si="2528">M729*$E729</f>
        <v>0</v>
      </c>
      <c r="N730" s="22">
        <f t="shared" ref="N730" ca="1" si="2529">N729*$E729</f>
        <v>0</v>
      </c>
      <c r="O730" s="22">
        <f t="shared" ref="O730" ca="1" si="2530">O729*$E729</f>
        <v>0</v>
      </c>
      <c r="P730" s="22">
        <f t="shared" ref="P730" ca="1" si="2531">P729*$E729</f>
        <v>0</v>
      </c>
      <c r="Q730" s="22">
        <f t="shared" ref="Q730" ca="1" si="2532">Q729*$E729</f>
        <v>0</v>
      </c>
      <c r="R730" s="22">
        <f t="shared" ref="R730" ca="1" si="2533">R729*$E729</f>
        <v>-17820</v>
      </c>
      <c r="S730" s="22">
        <f t="shared" ref="S730" ca="1" si="2534">S729*$E729</f>
        <v>218160</v>
      </c>
      <c r="U730" s="17"/>
      <c r="V730" s="18"/>
      <c r="W730" s="19"/>
      <c r="X730" s="20"/>
    </row>
    <row r="731" spans="1:25">
      <c r="A731" s="200"/>
      <c r="B731" s="211"/>
      <c r="C731" s="200" t="s">
        <v>500</v>
      </c>
      <c r="D731" s="199" t="str">
        <f>VLOOKUP(C731,'仕掛品名寄（貼付）'!B:C,2,FALSE)</f>
        <v>その他</v>
      </c>
      <c r="E731" s="199">
        <f>VLOOKUP(D731,'仕掛品標準単価一覧表（貼付）'!B:G,6,FALSE)</f>
        <v>1080</v>
      </c>
      <c r="F731" s="12" t="s">
        <v>246</v>
      </c>
      <c r="G731" s="13">
        <v>1236</v>
      </c>
      <c r="H731" s="13">
        <f ca="1">SUMIF('1.3②原材料使用'!B:E,C731,'1.3②原材料使用'!E:E)</f>
        <v>0</v>
      </c>
      <c r="I731" s="13">
        <f ca="1">SUMIF('2.10原液別作業時間'!A:B,C731,'2.10原液別作業時間'!B:B)</f>
        <v>0</v>
      </c>
      <c r="J731" s="13">
        <f ca="1">SUM(G731:H731,K731)</f>
        <v>1236</v>
      </c>
      <c r="K731" s="13">
        <f ca="1">SUMIF('2.2⑤純増減→前工程費'!B:E,C731,'2.2⑤純増減→前工程費'!E:E)</f>
        <v>0</v>
      </c>
      <c r="L731" s="13">
        <f ca="1">SUMIF('2.6完成品'!C:D,C731,'2.6完成品'!D:D)</f>
        <v>0</v>
      </c>
      <c r="M731" s="13">
        <f ca="1">SUMIF('2.3研究費'!D:E,C731,'2.3研究費'!E:E)</f>
        <v>0</v>
      </c>
      <c r="N731" s="13">
        <f ca="1">SUMIF('2.4販促費'!D:E,C731,'2.4販促費'!E:E)</f>
        <v>0</v>
      </c>
      <c r="O731" s="13">
        <f ca="1">SUMIF('2.5廃棄処分'!D:E,C731,'2.5廃棄処分'!E:E)</f>
        <v>0</v>
      </c>
      <c r="P731" s="13">
        <f ca="1">SUMIF('2.1④異種原液'!D:E,C731,'2.1④異種原液'!E:E)</f>
        <v>0</v>
      </c>
      <c r="Q731" s="14">
        <f ca="1">SUMIF('2.7製造部生産分'!D:I,C731,'2.7製造部生産分'!H:H)</f>
        <v>0</v>
      </c>
      <c r="R731" s="15">
        <f ca="1">-(G731+H731+K731-L731-M731-N731-O731-P731-Q731-S731)</f>
        <v>0</v>
      </c>
      <c r="S731" s="13">
        <f ca="1">SUMIF('2.9原液在庫'!B:H,C731,'2.9原液在庫'!H:H)</f>
        <v>1236</v>
      </c>
      <c r="T731" s="16">
        <f ca="1">IFERROR(SUM(G732:K732)/(G731+H731+K731),0)</f>
        <v>1767.0912602253447</v>
      </c>
      <c r="U731" s="17" t="str">
        <f>C731</f>
        <v>PS</v>
      </c>
      <c r="V731" s="18">
        <f ca="1">IF(ISERROR(SUM(G732:K732)/SUM(L731:Q731,S731)),0,SUM(G732:K732)/SUM(L731:Q731,S731))</f>
        <v>1767.0912602253447</v>
      </c>
      <c r="W731" s="19">
        <f ca="1">V731</f>
        <v>1767.0912602253447</v>
      </c>
      <c r="X731" s="20">
        <f ca="1">W731/1000</f>
        <v>1.7670912602253448</v>
      </c>
    </row>
    <row r="732" spans="1:25">
      <c r="A732" s="201"/>
      <c r="B732" s="201"/>
      <c r="C732" s="201"/>
      <c r="D732" s="199"/>
      <c r="E732" s="199"/>
      <c r="F732" s="21" t="s">
        <v>247</v>
      </c>
      <c r="G732" s="22">
        <v>2147044.7976385262</v>
      </c>
      <c r="H732" s="184"/>
      <c r="I732" s="23">
        <f ca="1">I731*労務費経費単価SC!D$7</f>
        <v>0</v>
      </c>
      <c r="J732" s="23">
        <f ca="1">J731*労務費経費単価SC!D$11</f>
        <v>37080</v>
      </c>
      <c r="K732" s="22">
        <f ca="1">K731*$E731</f>
        <v>0</v>
      </c>
      <c r="L732" s="22">
        <f ca="1">L731*$E731</f>
        <v>0</v>
      </c>
      <c r="M732" s="22">
        <f t="shared" ref="M732" ca="1" si="2535">M731*$E731</f>
        <v>0</v>
      </c>
      <c r="N732" s="22">
        <f t="shared" ref="N732" ca="1" si="2536">N731*$E731</f>
        <v>0</v>
      </c>
      <c r="O732" s="22">
        <f t="shared" ref="O732" ca="1" si="2537">O731*$E731</f>
        <v>0</v>
      </c>
      <c r="P732" s="22">
        <f t="shared" ref="P732" ca="1" si="2538">P731*$E731</f>
        <v>0</v>
      </c>
      <c r="Q732" s="22">
        <f t="shared" ref="Q732" ca="1" si="2539">Q731*$E731</f>
        <v>0</v>
      </c>
      <c r="R732" s="22">
        <f t="shared" ref="R732" ca="1" si="2540">R731*$E731</f>
        <v>0</v>
      </c>
      <c r="S732" s="22">
        <f t="shared" ref="S732" ca="1" si="2541">S731*$E731</f>
        <v>1334880</v>
      </c>
      <c r="U732" s="17"/>
      <c r="V732" s="18"/>
      <c r="W732" s="19"/>
      <c r="X732" s="20"/>
    </row>
    <row r="733" spans="1:25">
      <c r="A733" s="200"/>
      <c r="B733" s="211"/>
      <c r="C733" s="200" t="s">
        <v>168</v>
      </c>
      <c r="D733" s="199" t="str">
        <f>VLOOKUP(C733,'仕掛品名寄（貼付）'!B:C,2,FALSE)</f>
        <v>その他</v>
      </c>
      <c r="E733" s="199">
        <f>VLOOKUP(D733,'仕掛品標準単価一覧表（貼付）'!B:G,6,FALSE)</f>
        <v>1080</v>
      </c>
      <c r="F733" s="12" t="s">
        <v>246</v>
      </c>
      <c r="G733" s="13">
        <v>1047.5</v>
      </c>
      <c r="H733" s="13">
        <f ca="1">SUMIF('1.3②原材料使用'!B:E,C733,'1.3②原材料使用'!E:E)</f>
        <v>1310.4000000000001</v>
      </c>
      <c r="I733" s="13">
        <f ca="1">SUMIF('2.10原液別作業時間'!A:B,C733,'2.10原液別作業時間'!B:B)</f>
        <v>4225</v>
      </c>
      <c r="J733" s="13">
        <f ca="1">SUM(G733:H733,K733)</f>
        <v>5164.8999999999996</v>
      </c>
      <c r="K733" s="13">
        <f ca="1">SUMIF('2.2⑤純増減→前工程費'!B:E,C733,'2.2⑤純増減→前工程費'!E:E)</f>
        <v>2807</v>
      </c>
      <c r="L733" s="13">
        <f ca="1">SUMIF('2.6完成品'!C:D,C733,'2.6完成品'!D:D)</f>
        <v>2247.5</v>
      </c>
      <c r="M733" s="13">
        <f ca="1">SUMIF('2.3研究費'!D:E,C733,'2.3研究費'!E:E)</f>
        <v>0</v>
      </c>
      <c r="N733" s="13">
        <f ca="1">SUMIF('2.4販促費'!D:E,C733,'2.4販促費'!E:E)</f>
        <v>0</v>
      </c>
      <c r="O733" s="13">
        <f ca="1">SUMIF('2.5廃棄処分'!D:E,C733,'2.5廃棄処分'!E:E)</f>
        <v>0</v>
      </c>
      <c r="P733" s="13">
        <f ca="1">SUMIF('2.1④異種原液'!D:E,C733,'2.1④異種原液'!E:E)</f>
        <v>0</v>
      </c>
      <c r="Q733" s="14">
        <f ca="1">SUMIF('2.7製造部生産分'!D:I,C733,'2.7製造部生産分'!H:H)</f>
        <v>0</v>
      </c>
      <c r="R733" s="15">
        <f ca="1">-(G733+H733+K733-L733-M733-N733-O733-P733-Q733-S733)</f>
        <v>-1322.8999999999996</v>
      </c>
      <c r="S733" s="13">
        <f ca="1">SUMIF('2.9原液在庫'!B:H,C733,'2.9原液在庫'!H:H)</f>
        <v>1594.5</v>
      </c>
      <c r="T733" s="16">
        <f ca="1">IFERROR(SUM(G734:K734)/(G733+H733+K733),0)</f>
        <v>1210.7514330494907</v>
      </c>
      <c r="U733" s="17" t="str">
        <f>C733</f>
        <v>PSA</v>
      </c>
      <c r="V733" s="18">
        <f ca="1">IF(ISERROR(SUM(G734:K734)/SUM(L733:Q733,S733)),0,SUM(G734:K734)/SUM(L733:Q733,S733))</f>
        <v>1627.6444759389158</v>
      </c>
      <c r="W733" s="19">
        <f ca="1">V733</f>
        <v>1627.6444759389158</v>
      </c>
      <c r="X733" s="20">
        <f ca="1">W733/1000</f>
        <v>1.6276444759389157</v>
      </c>
    </row>
    <row r="734" spans="1:25">
      <c r="A734" s="201"/>
      <c r="B734" s="201"/>
      <c r="C734" s="201"/>
      <c r="D734" s="199"/>
      <c r="E734" s="199"/>
      <c r="F734" s="21" t="s">
        <v>247</v>
      </c>
      <c r="G734" s="22">
        <v>1123403.076557314</v>
      </c>
      <c r="H734" s="184"/>
      <c r="I734" s="23">
        <f ca="1">I733*労務費経費単価SC!D$7</f>
        <v>1943500</v>
      </c>
      <c r="J734" s="23">
        <f ca="1">J733*労務費経費単価SC!D$11</f>
        <v>154947</v>
      </c>
      <c r="K734" s="22">
        <f ca="1">K733*$E733</f>
        <v>3031560</v>
      </c>
      <c r="L734" s="22">
        <f ca="1">L733*$E733</f>
        <v>2427300</v>
      </c>
      <c r="M734" s="22">
        <f t="shared" ref="M734" ca="1" si="2542">M733*$E733</f>
        <v>0</v>
      </c>
      <c r="N734" s="22">
        <f t="shared" ref="N734" ca="1" si="2543">N733*$E733</f>
        <v>0</v>
      </c>
      <c r="O734" s="22">
        <f t="shared" ref="O734" ca="1" si="2544">O733*$E733</f>
        <v>0</v>
      </c>
      <c r="P734" s="22">
        <f t="shared" ref="P734" ca="1" si="2545">P733*$E733</f>
        <v>0</v>
      </c>
      <c r="Q734" s="22">
        <f t="shared" ref="Q734" ca="1" si="2546">Q733*$E733</f>
        <v>0</v>
      </c>
      <c r="R734" s="22">
        <f t="shared" ref="R734" ca="1" si="2547">R733*$E733</f>
        <v>-1428731.9999999995</v>
      </c>
      <c r="S734" s="22">
        <f t="shared" ref="S734" ca="1" si="2548">S733*$E733</f>
        <v>1722060</v>
      </c>
      <c r="U734" s="17"/>
      <c r="V734" s="18"/>
      <c r="W734" s="19"/>
      <c r="X734" s="20"/>
    </row>
    <row r="735" spans="1:25">
      <c r="A735" s="200"/>
      <c r="B735" s="211"/>
      <c r="C735" s="200" t="s">
        <v>169</v>
      </c>
      <c r="D735" s="199" t="str">
        <f>VLOOKUP(C735,'仕掛品名寄（貼付）'!B:C,2,FALSE)</f>
        <v>その他</v>
      </c>
      <c r="E735" s="199">
        <f>VLOOKUP(D735,'仕掛品標準単価一覧表（貼付）'!B:G,6,FALSE)</f>
        <v>1080</v>
      </c>
      <c r="F735" s="12" t="s">
        <v>246</v>
      </c>
      <c r="G735" s="13">
        <v>0</v>
      </c>
      <c r="H735" s="13">
        <f ca="1">SUMIF('1.3②原材料使用'!B:E,C735,'1.3②原材料使用'!E:E)</f>
        <v>0</v>
      </c>
      <c r="I735" s="13">
        <f ca="1">SUMIF('2.10原液別作業時間'!A:B,C735,'2.10原液別作業時間'!B:B)</f>
        <v>0</v>
      </c>
      <c r="J735" s="13">
        <f ca="1">SUM(G735:H735,K735)</f>
        <v>0</v>
      </c>
      <c r="K735" s="13">
        <f ca="1">SUMIF('2.2⑤純増減→前工程費'!B:E,C735,'2.2⑤純増減→前工程費'!E:E)</f>
        <v>0</v>
      </c>
      <c r="L735" s="13">
        <f ca="1">SUMIF('2.6完成品'!C:D,C735,'2.6完成品'!D:D)</f>
        <v>0</v>
      </c>
      <c r="M735" s="13">
        <f ca="1">SUMIF('2.3研究費'!D:E,C735,'2.3研究費'!E:E)</f>
        <v>0</v>
      </c>
      <c r="N735" s="13">
        <f ca="1">SUMIF('2.4販促費'!D:E,C735,'2.4販促費'!E:E)</f>
        <v>0</v>
      </c>
      <c r="O735" s="13">
        <f ca="1">SUMIF('2.5廃棄処分'!D:E,C735,'2.5廃棄処分'!E:E)</f>
        <v>0</v>
      </c>
      <c r="P735" s="13">
        <f ca="1">SUMIF('2.1④異種原液'!D:E,C735,'2.1④異種原液'!E:E)</f>
        <v>0</v>
      </c>
      <c r="Q735" s="14">
        <f ca="1">SUMIF('2.7製造部生産分'!D:I,C735,'2.7製造部生産分'!H:H)</f>
        <v>0</v>
      </c>
      <c r="R735" s="15">
        <f ca="1">-(G735+H735+K735-L735-M735-N735-O735-P735-Q735-S735)</f>
        <v>0</v>
      </c>
      <c r="S735" s="13">
        <f ca="1">SUMIF('2.9原液在庫'!B:H,C735,'2.9原液在庫'!H:H)</f>
        <v>0</v>
      </c>
      <c r="T735" s="16">
        <f ca="1">IFERROR(SUM(G736:K736)/(G735+H735+K735),0)</f>
        <v>0</v>
      </c>
      <c r="U735" s="17" t="str">
        <f>C735</f>
        <v>PT</v>
      </c>
      <c r="V735" s="18">
        <f ca="1">IF(ISERROR(SUM(G736:K736)/SUM(L735:Q735,S735)),0,SUM(G736:K736)/SUM(L735:Q735,S735))</f>
        <v>0</v>
      </c>
      <c r="W735" s="19">
        <f ca="1">V735</f>
        <v>0</v>
      </c>
      <c r="X735" s="20">
        <f ca="1">W735/1000</f>
        <v>0</v>
      </c>
    </row>
    <row r="736" spans="1:25">
      <c r="A736" s="201"/>
      <c r="B736" s="201"/>
      <c r="C736" s="201"/>
      <c r="D736" s="199"/>
      <c r="E736" s="199"/>
      <c r="F736" s="21" t="s">
        <v>247</v>
      </c>
      <c r="G736" s="22" t="s">
        <v>254</v>
      </c>
      <c r="H736" s="184"/>
      <c r="I736" s="23">
        <f ca="1">I735*労務費経費単価SC!D$7</f>
        <v>0</v>
      </c>
      <c r="J736" s="23">
        <f ca="1">J735*労務費経費単価SC!D$11</f>
        <v>0</v>
      </c>
      <c r="K736" s="22">
        <f ca="1">K735*$E735</f>
        <v>0</v>
      </c>
      <c r="L736" s="22">
        <f ca="1">L735*$E735</f>
        <v>0</v>
      </c>
      <c r="M736" s="22">
        <f t="shared" ref="M736" ca="1" si="2549">M735*$E735</f>
        <v>0</v>
      </c>
      <c r="N736" s="22">
        <f t="shared" ref="N736" ca="1" si="2550">N735*$E735</f>
        <v>0</v>
      </c>
      <c r="O736" s="22">
        <f t="shared" ref="O736" ca="1" si="2551">O735*$E735</f>
        <v>0</v>
      </c>
      <c r="P736" s="22">
        <f t="shared" ref="P736" ca="1" si="2552">P735*$E735</f>
        <v>0</v>
      </c>
      <c r="Q736" s="22">
        <f t="shared" ref="Q736" ca="1" si="2553">Q735*$E735</f>
        <v>0</v>
      </c>
      <c r="R736" s="22">
        <f t="shared" ref="R736" ca="1" si="2554">R735*$E735</f>
        <v>0</v>
      </c>
      <c r="S736" s="22">
        <f t="shared" ref="S736" ca="1" si="2555">S735*$E735</f>
        <v>0</v>
      </c>
      <c r="U736" s="17"/>
      <c r="V736" s="18"/>
      <c r="W736" s="19"/>
      <c r="X736" s="20"/>
    </row>
    <row r="737" spans="1:24">
      <c r="A737" s="200"/>
      <c r="B737" s="211"/>
      <c r="C737" s="200" t="s">
        <v>170</v>
      </c>
      <c r="D737" s="199" t="str">
        <f>VLOOKUP(C737,'仕掛品名寄（貼付）'!B:C,2,FALSE)</f>
        <v>その他</v>
      </c>
      <c r="E737" s="199">
        <f>VLOOKUP(D737,'仕掛品標準単価一覧表（貼付）'!B:G,6,FALSE)</f>
        <v>1080</v>
      </c>
      <c r="F737" s="12" t="s">
        <v>246</v>
      </c>
      <c r="G737" s="13">
        <v>0</v>
      </c>
      <c r="H737" s="13">
        <f ca="1">SUMIF('1.3②原材料使用'!B:E,C737,'1.3②原材料使用'!E:E)</f>
        <v>0</v>
      </c>
      <c r="I737" s="13">
        <f ca="1">SUMIF('2.10原液別作業時間'!A:B,C737,'2.10原液別作業時間'!B:B)</f>
        <v>0</v>
      </c>
      <c r="J737" s="13">
        <f ca="1">SUM(G737:H737,K737)</f>
        <v>0</v>
      </c>
      <c r="K737" s="13">
        <f ca="1">SUMIF('2.2⑤純増減→前工程費'!B:E,C737,'2.2⑤純増減→前工程費'!E:E)</f>
        <v>0</v>
      </c>
      <c r="L737" s="13">
        <f ca="1">SUMIF('2.6完成品'!C:D,C737,'2.6完成品'!D:D)</f>
        <v>0</v>
      </c>
      <c r="M737" s="13">
        <f ca="1">SUMIF('2.3研究費'!D:E,C737,'2.3研究費'!E:E)</f>
        <v>0</v>
      </c>
      <c r="N737" s="13">
        <f ca="1">SUMIF('2.4販促費'!D:E,C737,'2.4販促費'!E:E)</f>
        <v>0</v>
      </c>
      <c r="O737" s="13">
        <f ca="1">SUMIF('2.5廃棄処分'!D:E,C737,'2.5廃棄処分'!E:E)</f>
        <v>0</v>
      </c>
      <c r="P737" s="13">
        <f ca="1">SUMIF('2.1④異種原液'!D:E,C737,'2.1④異種原液'!E:E)</f>
        <v>0</v>
      </c>
      <c r="Q737" s="14">
        <f ca="1">SUMIF('2.7製造部生産分'!D:I,C737,'2.7製造部生産分'!H:H)</f>
        <v>0</v>
      </c>
      <c r="R737" s="15">
        <f ca="1">-(G737+H737+K737-L737-M737-N737-O737-P737-Q737-S737)</f>
        <v>0</v>
      </c>
      <c r="S737" s="13">
        <f ca="1">SUMIF('2.9原液在庫'!B:H,C737,'2.9原液在庫'!H:H)</f>
        <v>0</v>
      </c>
      <c r="T737" s="16">
        <f ca="1">IFERROR(SUM(G738:K738)/(G737+H737+K737),0)</f>
        <v>0</v>
      </c>
      <c r="U737" s="17" t="str">
        <f>C737</f>
        <v>PU</v>
      </c>
      <c r="V737" s="18">
        <f ca="1">IF(ISERROR(SUM(G738:K738)/SUM(L737:Q737,S737)),0,SUM(G738:K738)/SUM(L737:Q737,S737))</f>
        <v>0</v>
      </c>
      <c r="W737" s="19">
        <f ca="1">V737</f>
        <v>0</v>
      </c>
      <c r="X737" s="20">
        <f ca="1">W737/1000</f>
        <v>0</v>
      </c>
    </row>
    <row r="738" spans="1:24">
      <c r="A738" s="201"/>
      <c r="B738" s="201"/>
      <c r="C738" s="201"/>
      <c r="D738" s="199"/>
      <c r="E738" s="199"/>
      <c r="F738" s="21" t="s">
        <v>247</v>
      </c>
      <c r="G738" s="22" t="s">
        <v>254</v>
      </c>
      <c r="H738" s="184"/>
      <c r="I738" s="23">
        <f ca="1">I737*労務費経費単価SC!D$7</f>
        <v>0</v>
      </c>
      <c r="J738" s="23">
        <f ca="1">J737*労務費経費単価SC!D$11</f>
        <v>0</v>
      </c>
      <c r="K738" s="22">
        <f ca="1">K737*$E737</f>
        <v>0</v>
      </c>
      <c r="L738" s="22">
        <f ca="1">L737*$E737</f>
        <v>0</v>
      </c>
      <c r="M738" s="22">
        <f t="shared" ref="M738" ca="1" si="2556">M737*$E737</f>
        <v>0</v>
      </c>
      <c r="N738" s="22">
        <f t="shared" ref="N738" ca="1" si="2557">N737*$E737</f>
        <v>0</v>
      </c>
      <c r="O738" s="22">
        <f t="shared" ref="O738" ca="1" si="2558">O737*$E737</f>
        <v>0</v>
      </c>
      <c r="P738" s="22">
        <f t="shared" ref="P738" ca="1" si="2559">P737*$E737</f>
        <v>0</v>
      </c>
      <c r="Q738" s="22">
        <f t="shared" ref="Q738" ca="1" si="2560">Q737*$E737</f>
        <v>0</v>
      </c>
      <c r="R738" s="22">
        <f t="shared" ref="R738" ca="1" si="2561">R737*$E737</f>
        <v>0</v>
      </c>
      <c r="S738" s="22">
        <f t="shared" ref="S738" ca="1" si="2562">S737*$E737</f>
        <v>0</v>
      </c>
      <c r="U738" s="17"/>
      <c r="V738" s="18"/>
      <c r="W738" s="19"/>
      <c r="X738" s="20"/>
    </row>
    <row r="739" spans="1:24">
      <c r="A739" s="200"/>
      <c r="B739" s="211"/>
      <c r="C739" s="200" t="s">
        <v>171</v>
      </c>
      <c r="D739" s="199" t="str">
        <f>VLOOKUP(C739,'仕掛品名寄（貼付）'!B:C,2,FALSE)</f>
        <v>その他</v>
      </c>
      <c r="E739" s="199">
        <f>VLOOKUP(D739,'仕掛品標準単価一覧表（貼付）'!B:G,6,FALSE)</f>
        <v>1080</v>
      </c>
      <c r="F739" s="12" t="s">
        <v>246</v>
      </c>
      <c r="G739" s="13">
        <v>578.5</v>
      </c>
      <c r="H739" s="13">
        <f ca="1">SUMIF('1.3②原材料使用'!B:E,C739,'1.3②原材料使用'!E:E)</f>
        <v>0</v>
      </c>
      <c r="I739" s="13">
        <f ca="1">SUMIF('2.10原液別作業時間'!A:B,C739,'2.10原液別作業時間'!B:B)</f>
        <v>0</v>
      </c>
      <c r="J739" s="13">
        <f ca="1">SUM(G739:H739,K739)</f>
        <v>578.5</v>
      </c>
      <c r="K739" s="13">
        <f ca="1">SUMIF('2.2⑤純増減→前工程費'!B:E,C739,'2.2⑤純増減→前工程費'!E:E)</f>
        <v>0</v>
      </c>
      <c r="L739" s="13">
        <f ca="1">SUMIF('2.6完成品'!C:D,C739,'2.6完成品'!D:D)</f>
        <v>0</v>
      </c>
      <c r="M739" s="13">
        <f ca="1">SUMIF('2.3研究費'!D:E,C739,'2.3研究費'!E:E)</f>
        <v>0</v>
      </c>
      <c r="N739" s="13">
        <f ca="1">SUMIF('2.4販促費'!D:E,C739,'2.4販促費'!E:E)</f>
        <v>0</v>
      </c>
      <c r="O739" s="13">
        <f ca="1">SUMIF('2.5廃棄処分'!D:E,C739,'2.5廃棄処分'!E:E)</f>
        <v>0</v>
      </c>
      <c r="P739" s="13">
        <f ca="1">SUMIF('2.1④異種原液'!D:E,C739,'2.1④異種原液'!E:E)</f>
        <v>0</v>
      </c>
      <c r="Q739" s="14">
        <f ca="1">SUMIF('2.7製造部生産分'!D:I,C739,'2.7製造部生産分'!H:H)</f>
        <v>0</v>
      </c>
      <c r="R739" s="15">
        <f ca="1">-(G739+H739+K739-L739-M739-N739-O739-P739-Q739-S739)</f>
        <v>0</v>
      </c>
      <c r="S739" s="13">
        <f ca="1">SUMIF('2.9原液在庫'!B:H,C739,'2.9原液在庫'!H:H)</f>
        <v>578.5</v>
      </c>
      <c r="T739" s="16">
        <f ca="1">IFERROR(SUM(G740:K740)/(G739+H739+K739),0)</f>
        <v>1918.1790416431127</v>
      </c>
      <c r="U739" s="17" t="str">
        <f>C739</f>
        <v>PV</v>
      </c>
      <c r="V739" s="18">
        <f ca="1">IF(ISERROR(SUM(G740:K740)/SUM(L739:Q739,S739)),0,SUM(G740:K740)/SUM(L739:Q739,S739))</f>
        <v>1918.1790416431127</v>
      </c>
      <c r="W739" s="19">
        <f ca="1">V739</f>
        <v>1918.1790416431127</v>
      </c>
      <c r="X739" s="20">
        <f ca="1">W739/1000</f>
        <v>1.9181790416431126</v>
      </c>
    </row>
    <row r="740" spans="1:24">
      <c r="A740" s="201"/>
      <c r="B740" s="201"/>
      <c r="C740" s="201"/>
      <c r="D740" s="199"/>
      <c r="E740" s="199"/>
      <c r="F740" s="21" t="s">
        <v>247</v>
      </c>
      <c r="G740" s="22">
        <v>1092311.5755905407</v>
      </c>
      <c r="H740" s="184"/>
      <c r="I740" s="23">
        <f ca="1">I739*労務費経費単価SC!D$7</f>
        <v>0</v>
      </c>
      <c r="J740" s="23">
        <f ca="1">J739*労務費経費単価SC!D$11</f>
        <v>17355</v>
      </c>
      <c r="K740" s="22">
        <f ca="1">K739*$E739</f>
        <v>0</v>
      </c>
      <c r="L740" s="22">
        <f ca="1">L739*$E739</f>
        <v>0</v>
      </c>
      <c r="M740" s="22">
        <f t="shared" ref="M740" ca="1" si="2563">M739*$E739</f>
        <v>0</v>
      </c>
      <c r="N740" s="22">
        <f t="shared" ref="N740" ca="1" si="2564">N739*$E739</f>
        <v>0</v>
      </c>
      <c r="O740" s="22">
        <f t="shared" ref="O740" ca="1" si="2565">O739*$E739</f>
        <v>0</v>
      </c>
      <c r="P740" s="22">
        <f t="shared" ref="P740" ca="1" si="2566">P739*$E739</f>
        <v>0</v>
      </c>
      <c r="Q740" s="22">
        <f t="shared" ref="Q740" ca="1" si="2567">Q739*$E739</f>
        <v>0</v>
      </c>
      <c r="R740" s="22">
        <f t="shared" ref="R740" ca="1" si="2568">R739*$E739</f>
        <v>0</v>
      </c>
      <c r="S740" s="22">
        <f t="shared" ref="S740" ca="1" si="2569">S739*$E739</f>
        <v>624780</v>
      </c>
      <c r="U740" s="17"/>
      <c r="V740" s="18"/>
      <c r="W740" s="19"/>
      <c r="X740" s="20"/>
    </row>
    <row r="741" spans="1:24">
      <c r="A741" s="200"/>
      <c r="B741" s="211"/>
      <c r="C741" s="200" t="s">
        <v>501</v>
      </c>
      <c r="D741" s="199" t="str">
        <f>VLOOKUP(C741,'仕掛品名寄（貼付）'!B:C,2,FALSE)</f>
        <v>その他</v>
      </c>
      <c r="E741" s="199">
        <f>VLOOKUP(D741,'仕掛品標準単価一覧表（貼付）'!B:G,6,FALSE)</f>
        <v>1080</v>
      </c>
      <c r="F741" s="12" t="s">
        <v>246</v>
      </c>
      <c r="G741" s="24">
        <v>0</v>
      </c>
      <c r="H741" s="13">
        <f ca="1">SUMIF('1.3②原材料使用'!B:E,C741,'1.3②原材料使用'!E:E)</f>
        <v>0</v>
      </c>
      <c r="I741" s="13">
        <f ca="1">SUMIF('2.10原液別作業時間'!A:B,C741,'2.10原液別作業時間'!B:B)</f>
        <v>0</v>
      </c>
      <c r="J741" s="13">
        <f ca="1">SUM(G741:H741,K741)</f>
        <v>0</v>
      </c>
      <c r="K741" s="13">
        <f ca="1">SUMIF('2.2⑤純増減→前工程費'!B:E,C741,'2.2⑤純増減→前工程費'!E:E)</f>
        <v>0</v>
      </c>
      <c r="L741" s="13">
        <f ca="1">SUMIF('2.6完成品'!C:D,C741,'2.6完成品'!D:D)</f>
        <v>0</v>
      </c>
      <c r="M741" s="13">
        <f ca="1">SUMIF('2.3研究費'!D:E,C741,'2.3研究費'!E:E)</f>
        <v>0</v>
      </c>
      <c r="N741" s="13">
        <f ca="1">SUMIF('2.4販促費'!D:E,C741,'2.4販促費'!E:E)</f>
        <v>0</v>
      </c>
      <c r="O741" s="13">
        <f ca="1">SUMIF('2.5廃棄処分'!D:E,C741,'2.5廃棄処分'!E:E)</f>
        <v>0</v>
      </c>
      <c r="P741" s="13">
        <f ca="1">SUMIF('2.1④異種原液'!D:E,C741,'2.1④異種原液'!E:E)</f>
        <v>0</v>
      </c>
      <c r="Q741" s="14">
        <f ca="1">SUMIF('2.7製造部生産分'!D:I,C741,'2.7製造部生産分'!H:H)</f>
        <v>0</v>
      </c>
      <c r="R741" s="15">
        <f ca="1">-(G741+H741+K741-L741-M741-N741-O741-P741-Q741-S741)</f>
        <v>0</v>
      </c>
      <c r="S741" s="13">
        <f ca="1">SUMIF('2.9原液在庫'!B:H,C741,'2.9原液在庫'!H:H)</f>
        <v>0</v>
      </c>
      <c r="T741" s="16">
        <f ca="1">IFERROR(SUM(G742:K742)/(G741+H741+K741),0)</f>
        <v>0</v>
      </c>
      <c r="U741" s="17" t="str">
        <f>C741</f>
        <v>PW</v>
      </c>
      <c r="V741" s="18">
        <f ca="1">IF(ISERROR(SUM(G742:K742)/SUM(L741:Q741,S741)),0,SUM(G742:K742)/SUM(L741:Q741,S741))</f>
        <v>0</v>
      </c>
      <c r="W741" s="19">
        <f ca="1">V741</f>
        <v>0</v>
      </c>
      <c r="X741" s="20">
        <f ca="1">W741/1000</f>
        <v>0</v>
      </c>
    </row>
    <row r="742" spans="1:24">
      <c r="A742" s="201"/>
      <c r="B742" s="201"/>
      <c r="C742" s="201"/>
      <c r="D742" s="199"/>
      <c r="E742" s="199"/>
      <c r="F742" s="21" t="s">
        <v>247</v>
      </c>
      <c r="G742" s="22" t="s">
        <v>254</v>
      </c>
      <c r="H742" s="184"/>
      <c r="I742" s="23">
        <f ca="1">I741*労務費経費単価SC!D$7</f>
        <v>0</v>
      </c>
      <c r="J742" s="23">
        <f ca="1">J741*労務費経費単価SC!D$11</f>
        <v>0</v>
      </c>
      <c r="K742" s="22">
        <f ca="1">K741*$E741</f>
        <v>0</v>
      </c>
      <c r="L742" s="22">
        <f ca="1">L741*$E741</f>
        <v>0</v>
      </c>
      <c r="M742" s="22">
        <f t="shared" ref="M742" ca="1" si="2570">M741*$E741</f>
        <v>0</v>
      </c>
      <c r="N742" s="22">
        <f t="shared" ref="N742" ca="1" si="2571">N741*$E741</f>
        <v>0</v>
      </c>
      <c r="O742" s="22">
        <f t="shared" ref="O742" ca="1" si="2572">O741*$E741</f>
        <v>0</v>
      </c>
      <c r="P742" s="22">
        <f t="shared" ref="P742" ca="1" si="2573">P741*$E741</f>
        <v>0</v>
      </c>
      <c r="Q742" s="22">
        <f t="shared" ref="Q742" ca="1" si="2574">Q741*$E741</f>
        <v>0</v>
      </c>
      <c r="R742" s="22">
        <f t="shared" ref="R742" ca="1" si="2575">R741*$E741</f>
        <v>0</v>
      </c>
      <c r="S742" s="22">
        <f t="shared" ref="S742" ca="1" si="2576">S741*$E741</f>
        <v>0</v>
      </c>
      <c r="U742" s="17"/>
      <c r="V742" s="18"/>
      <c r="W742" s="19"/>
      <c r="X742" s="20"/>
    </row>
    <row r="743" spans="1:24">
      <c r="A743" s="200"/>
      <c r="B743" s="211"/>
      <c r="C743" s="200" t="s">
        <v>172</v>
      </c>
      <c r="D743" s="199" t="str">
        <f>VLOOKUP(C743,'仕掛品名寄（貼付）'!B:C,2,FALSE)</f>
        <v>PX</v>
      </c>
      <c r="E743" s="199">
        <f>VLOOKUP(D743,'仕掛品標準単価一覧表（貼付）'!B:G,6,FALSE)</f>
        <v>1340</v>
      </c>
      <c r="F743" s="12" t="s">
        <v>246</v>
      </c>
      <c r="G743" s="24">
        <v>7633</v>
      </c>
      <c r="H743" s="13">
        <f ca="1">SUMIF('1.3②原材料使用'!B:E,C743,'1.3②原材料使用'!E:E)</f>
        <v>0</v>
      </c>
      <c r="I743" s="13">
        <f ca="1">SUMIF('2.10原液別作業時間'!A:B,C743,'2.10原液別作業時間'!B:B)</f>
        <v>4140</v>
      </c>
      <c r="J743" s="13">
        <f ca="1">SUM(G743:H743,K743)</f>
        <v>19986.5</v>
      </c>
      <c r="K743" s="13">
        <f ca="1">SUMIF('2.2⑤純増減→前工程費'!B:E,C743,'2.2⑤純増減→前工程費'!E:E)</f>
        <v>12353.5</v>
      </c>
      <c r="L743" s="13">
        <f ca="1">SUMIF('2.6完成品'!C:D,C743,'2.6完成品'!D:D)</f>
        <v>12588.5</v>
      </c>
      <c r="M743" s="13">
        <f ca="1">SUMIF('2.3研究費'!D:E,C743,'2.3研究費'!E:E)</f>
        <v>5.2</v>
      </c>
      <c r="N743" s="13">
        <f ca="1">SUMIF('2.4販促費'!D:E,C743,'2.4販促費'!E:E)</f>
        <v>0</v>
      </c>
      <c r="O743" s="13">
        <f ca="1">SUMIF('2.5廃棄処分'!D:E,C743,'2.5廃棄処分'!E:E)</f>
        <v>0</v>
      </c>
      <c r="P743" s="13">
        <f ca="1">SUMIF('2.1④異種原液'!D:E,C743,'2.1④異種原液'!E:E)</f>
        <v>1848</v>
      </c>
      <c r="Q743" s="14">
        <f ca="1">SUMIF('2.7製造部生産分'!D:I,C743,'2.7製造部生産分'!H:H)</f>
        <v>0</v>
      </c>
      <c r="R743" s="15">
        <f ca="1">-(G743+H743+K743-L743-M743-N743-O743-P743-Q743-S743)</f>
        <v>-73.800000000000182</v>
      </c>
      <c r="S743" s="13">
        <f ca="1">SUMIF('2.9原液在庫'!B:H,C743,'2.9原液在庫'!H:H)</f>
        <v>5471</v>
      </c>
      <c r="T743" s="16">
        <f ca="1">IFERROR(SUM(G744:K744)/(G743+H743+K743),0)</f>
        <v>1341.9059950356075</v>
      </c>
      <c r="U743" s="17" t="str">
        <f>C743</f>
        <v>PX</v>
      </c>
      <c r="V743" s="18">
        <f ca="1">IF(ISERROR(SUM(G744:K744)/SUM(L743:Q743,S743)),0,SUM(G744:K744)/SUM(L743:Q743,S743))</f>
        <v>1346.8793367940643</v>
      </c>
      <c r="W743" s="19">
        <f ca="1">V743</f>
        <v>1346.8793367940643</v>
      </c>
      <c r="X743" s="20">
        <f ca="1">W743/1000</f>
        <v>1.3468793367940644</v>
      </c>
    </row>
    <row r="744" spans="1:24">
      <c r="A744" s="201"/>
      <c r="B744" s="201"/>
      <c r="C744" s="201"/>
      <c r="D744" s="199"/>
      <c r="E744" s="199"/>
      <c r="F744" s="21" t="s">
        <v>247</v>
      </c>
      <c r="G744" s="22">
        <v>7762319.1697791647</v>
      </c>
      <c r="H744" s="184"/>
      <c r="I744" s="23">
        <f ca="1">I743*労務費経費単価SC!D$7</f>
        <v>1904400</v>
      </c>
      <c r="J744" s="23">
        <f ca="1">J743*労務費経費単価SC!D$11</f>
        <v>599595</v>
      </c>
      <c r="K744" s="22">
        <f ca="1">K743*$E743</f>
        <v>16553690</v>
      </c>
      <c r="L744" s="22">
        <f ca="1">L743*$E743</f>
        <v>16868590</v>
      </c>
      <c r="M744" s="22">
        <f t="shared" ref="M744" ca="1" si="2577">M743*$E743</f>
        <v>6968</v>
      </c>
      <c r="N744" s="22">
        <f t="shared" ref="N744" ca="1" si="2578">N743*$E743</f>
        <v>0</v>
      </c>
      <c r="O744" s="22">
        <f t="shared" ref="O744" ca="1" si="2579">O743*$E743</f>
        <v>0</v>
      </c>
      <c r="P744" s="22">
        <f t="shared" ref="P744" ca="1" si="2580">P743*$E743</f>
        <v>2476320</v>
      </c>
      <c r="Q744" s="22">
        <f t="shared" ref="Q744" ca="1" si="2581">Q743*$E743</f>
        <v>0</v>
      </c>
      <c r="R744" s="22">
        <f t="shared" ref="R744" ca="1" si="2582">R743*$E743</f>
        <v>-98892.000000000247</v>
      </c>
      <c r="S744" s="22">
        <f t="shared" ref="S744" ca="1" si="2583">S743*$E743</f>
        <v>7331140</v>
      </c>
      <c r="U744" s="17"/>
      <c r="V744" s="18"/>
      <c r="W744" s="19"/>
      <c r="X744" s="20"/>
    </row>
    <row r="745" spans="1:24">
      <c r="A745" s="200"/>
      <c r="B745" s="211"/>
      <c r="C745" s="200" t="s">
        <v>187</v>
      </c>
      <c r="D745" s="199" t="str">
        <f>VLOOKUP(C745,'仕掛品名寄（貼付）'!B:C,2,FALSE)</f>
        <v>その他</v>
      </c>
      <c r="E745" s="199">
        <f>VLOOKUP(D745,'仕掛品標準単価一覧表（貼付）'!B:G,6,FALSE)</f>
        <v>1080</v>
      </c>
      <c r="F745" s="12" t="s">
        <v>246</v>
      </c>
      <c r="G745" s="24">
        <v>0</v>
      </c>
      <c r="H745" s="13">
        <f ca="1">SUMIF('1.3②原材料使用'!B:E,C745,'1.3②原材料使用'!E:E)</f>
        <v>0</v>
      </c>
      <c r="I745" s="13">
        <f ca="1">SUMIF('2.10原液別作業時間'!A:B,C745,'2.10原液別作業時間'!B:B)</f>
        <v>0</v>
      </c>
      <c r="J745" s="13">
        <f ca="1">SUM(G745:H745,K745)</f>
        <v>0</v>
      </c>
      <c r="K745" s="13">
        <f ca="1">SUMIF('2.2⑤純増減→前工程費'!B:E,C745,'2.2⑤純増減→前工程費'!E:E)</f>
        <v>0</v>
      </c>
      <c r="L745" s="13">
        <f ca="1">SUMIF('2.6完成品'!C:D,C745,'2.6完成品'!D:D)</f>
        <v>0</v>
      </c>
      <c r="M745" s="13">
        <f ca="1">SUMIF('2.3研究費'!D:E,C745,'2.3研究費'!E:E)</f>
        <v>0</v>
      </c>
      <c r="N745" s="13">
        <f ca="1">SUMIF('2.4販促費'!D:E,C745,'2.4販促費'!E:E)</f>
        <v>0</v>
      </c>
      <c r="O745" s="13">
        <f ca="1">SUMIF('2.5廃棄処分'!D:E,C745,'2.5廃棄処分'!E:E)</f>
        <v>0</v>
      </c>
      <c r="P745" s="13">
        <f ca="1">SUMIF('2.1④異種原液'!D:E,C745,'2.1④異種原液'!E:E)</f>
        <v>0</v>
      </c>
      <c r="Q745" s="14">
        <f ca="1">SUMIF('2.7製造部生産分'!D:I,C745,'2.7製造部生産分'!H:H)</f>
        <v>0</v>
      </c>
      <c r="R745" s="15">
        <f ca="1">-(G745+H745+K745-L745-M745-N745-O745-P745-Q745-S745)</f>
        <v>0</v>
      </c>
      <c r="S745" s="13">
        <f ca="1">SUMIF('2.9原液在庫'!B:H,C745,'2.9原液在庫'!H:H)</f>
        <v>0</v>
      </c>
      <c r="T745" s="16">
        <f ca="1">IFERROR(SUM(G746:K746)/(G745+H745+K745),0)</f>
        <v>0</v>
      </c>
      <c r="U745" s="17" t="str">
        <f>C745</f>
        <v>LBP</v>
      </c>
      <c r="V745" s="18">
        <f ca="1">IF(ISERROR(SUM(G746:K746)/SUM(L745:Q745,S745)),0,SUM(G746:K746)/SUM(L745:Q745,S745))</f>
        <v>0</v>
      </c>
      <c r="W745" s="19">
        <f ca="1">V745</f>
        <v>0</v>
      </c>
      <c r="X745" s="20">
        <f ca="1">W745/1000</f>
        <v>0</v>
      </c>
    </row>
    <row r="746" spans="1:24">
      <c r="A746" s="201"/>
      <c r="B746" s="201"/>
      <c r="C746" s="201"/>
      <c r="D746" s="199"/>
      <c r="E746" s="199"/>
      <c r="F746" s="21" t="s">
        <v>247</v>
      </c>
      <c r="G746" s="22" t="s">
        <v>254</v>
      </c>
      <c r="H746" s="184"/>
      <c r="I746" s="23">
        <f ca="1">I745*労務費経費単価SC!D$7</f>
        <v>0</v>
      </c>
      <c r="J746" s="23">
        <f ca="1">J745*労務費経費単価SC!D$11</f>
        <v>0</v>
      </c>
      <c r="K746" s="22">
        <f ca="1">K745*$E745</f>
        <v>0</v>
      </c>
      <c r="L746" s="22">
        <f ca="1">L745*$E745</f>
        <v>0</v>
      </c>
      <c r="M746" s="22">
        <f t="shared" ref="M746" ca="1" si="2584">M745*$E745</f>
        <v>0</v>
      </c>
      <c r="N746" s="22">
        <f t="shared" ref="N746" ca="1" si="2585">N745*$E745</f>
        <v>0</v>
      </c>
      <c r="O746" s="22">
        <f t="shared" ref="O746" ca="1" si="2586">O745*$E745</f>
        <v>0</v>
      </c>
      <c r="P746" s="22">
        <f t="shared" ref="P746" ca="1" si="2587">P745*$E745</f>
        <v>0</v>
      </c>
      <c r="Q746" s="22">
        <f t="shared" ref="Q746" ca="1" si="2588">Q745*$E745</f>
        <v>0</v>
      </c>
      <c r="R746" s="22">
        <f t="shared" ref="R746" ca="1" si="2589">R745*$E745</f>
        <v>0</v>
      </c>
      <c r="S746" s="22">
        <f t="shared" ref="S746" ca="1" si="2590">S745*$E745</f>
        <v>0</v>
      </c>
      <c r="U746" s="17"/>
      <c r="V746" s="18"/>
      <c r="W746" s="19"/>
      <c r="X746" s="20"/>
    </row>
    <row r="747" spans="1:24">
      <c r="A747" s="200"/>
      <c r="B747" s="211"/>
      <c r="C747" s="200" t="s">
        <v>175</v>
      </c>
      <c r="D747" s="199" t="str">
        <f>VLOOKUP(C747,'仕掛品名寄（貼付）'!B:C,2,FALSE)</f>
        <v>その他</v>
      </c>
      <c r="E747" s="199">
        <f>VLOOKUP(D747,'仕掛品標準単価一覧表（貼付）'!B:G,6,FALSE)</f>
        <v>1080</v>
      </c>
      <c r="F747" s="12" t="s">
        <v>246</v>
      </c>
      <c r="G747" s="24">
        <v>0</v>
      </c>
      <c r="H747" s="13">
        <f ca="1">SUMIF('1.3②原材料使用'!B:E,C747,'1.3②原材料使用'!E:E)</f>
        <v>0</v>
      </c>
      <c r="I747" s="13">
        <f ca="1">SUMIF('2.10原液別作業時間'!A:B,C747,'2.10原液別作業時間'!B:B)</f>
        <v>0</v>
      </c>
      <c r="J747" s="13">
        <f ca="1">SUM(G747:H747,K747)</f>
        <v>0</v>
      </c>
      <c r="K747" s="13">
        <f ca="1">SUMIF('2.2⑤純増減→前工程費'!B:E,C747,'2.2⑤純増減→前工程費'!E:E)</f>
        <v>0</v>
      </c>
      <c r="L747" s="13">
        <f ca="1">SUMIF('2.6完成品'!C:D,C747,'2.6完成品'!D:D)</f>
        <v>0</v>
      </c>
      <c r="M747" s="13">
        <f ca="1">SUMIF('2.3研究費'!D:E,C747,'2.3研究費'!E:E)</f>
        <v>0</v>
      </c>
      <c r="N747" s="13">
        <f ca="1">SUMIF('2.4販促費'!D:E,C747,'2.4販促費'!E:E)</f>
        <v>0</v>
      </c>
      <c r="O747" s="13">
        <f ca="1">SUMIF('2.5廃棄処分'!D:E,C747,'2.5廃棄処分'!E:E)</f>
        <v>0</v>
      </c>
      <c r="P747" s="13">
        <f ca="1">SUMIF('2.1④異種原液'!D:E,C747,'2.1④異種原液'!E:E)</f>
        <v>0</v>
      </c>
      <c r="Q747" s="14">
        <f ca="1">SUMIF('2.7製造部生産分'!D:I,C747,'2.7製造部生産分'!H:H)</f>
        <v>0</v>
      </c>
      <c r="R747" s="15">
        <f ca="1">-(G747+H747+K747-L747-M747-N747-O747-P747-Q747-S747)</f>
        <v>0</v>
      </c>
      <c r="S747" s="13">
        <f ca="1">SUMIF('2.9原液在庫'!B:H,C747,'2.9原液在庫'!H:H)</f>
        <v>0</v>
      </c>
      <c r="T747" s="16">
        <f ca="1">IFERROR(SUM(G748:K748)/(G747+H747+K747),0)</f>
        <v>0</v>
      </c>
      <c r="U747" s="17" t="str">
        <f>C747</f>
        <v>PY</v>
      </c>
      <c r="V747" s="18">
        <f ca="1">IF(ISERROR(SUM(G748:K748)/SUM(L747:Q747,S747)),0,SUM(G748:K748)/SUM(L747:Q747,S747))</f>
        <v>0</v>
      </c>
      <c r="W747" s="19">
        <f ca="1">V747</f>
        <v>0</v>
      </c>
      <c r="X747" s="20">
        <f ca="1">W747/1000</f>
        <v>0</v>
      </c>
    </row>
    <row r="748" spans="1:24">
      <c r="A748" s="201"/>
      <c r="B748" s="201"/>
      <c r="C748" s="201"/>
      <c r="D748" s="199"/>
      <c r="E748" s="199"/>
      <c r="F748" s="21" t="s">
        <v>247</v>
      </c>
      <c r="G748" s="22">
        <v>0</v>
      </c>
      <c r="H748" s="184"/>
      <c r="I748" s="23">
        <f ca="1">I747*労務費経費単価SC!D$7</f>
        <v>0</v>
      </c>
      <c r="J748" s="23">
        <f ca="1">J747*労務費経費単価SC!D$11</f>
        <v>0</v>
      </c>
      <c r="K748" s="22">
        <f ca="1">K747*$E747</f>
        <v>0</v>
      </c>
      <c r="L748" s="22">
        <f ca="1">L747*$E747</f>
        <v>0</v>
      </c>
      <c r="M748" s="22">
        <f t="shared" ref="M748" ca="1" si="2591">M747*$E747</f>
        <v>0</v>
      </c>
      <c r="N748" s="22">
        <f t="shared" ref="N748" ca="1" si="2592">N747*$E747</f>
        <v>0</v>
      </c>
      <c r="O748" s="22">
        <f t="shared" ref="O748" ca="1" si="2593">O747*$E747</f>
        <v>0</v>
      </c>
      <c r="P748" s="22">
        <f t="shared" ref="P748" ca="1" si="2594">P747*$E747</f>
        <v>0</v>
      </c>
      <c r="Q748" s="22">
        <f t="shared" ref="Q748" ca="1" si="2595">Q747*$E747</f>
        <v>0</v>
      </c>
      <c r="R748" s="22">
        <f t="shared" ref="R748" ca="1" si="2596">R747*$E747</f>
        <v>0</v>
      </c>
      <c r="S748" s="22">
        <f t="shared" ref="S748" ca="1" si="2597">S747*$E747</f>
        <v>0</v>
      </c>
      <c r="U748" s="17"/>
      <c r="V748" s="18"/>
      <c r="W748" s="19"/>
      <c r="X748" s="20"/>
    </row>
    <row r="749" spans="1:24">
      <c r="A749" s="200"/>
      <c r="B749" s="211"/>
      <c r="C749" s="200" t="s">
        <v>502</v>
      </c>
      <c r="D749" s="199" t="str">
        <f>VLOOKUP(C749,'仕掛品名寄（貼付）'!B:C,2,FALSE)</f>
        <v>その他</v>
      </c>
      <c r="E749" s="199">
        <f>VLOOKUP(D749,'仕掛品標準単価一覧表（貼付）'!B:G,6,FALSE)</f>
        <v>1080</v>
      </c>
      <c r="F749" s="12" t="s">
        <v>246</v>
      </c>
      <c r="G749" s="13">
        <v>0</v>
      </c>
      <c r="H749" s="13">
        <f ca="1">SUMIF('1.3②原材料使用'!B:E,C749,'1.3②原材料使用'!E:E)</f>
        <v>0</v>
      </c>
      <c r="I749" s="13">
        <f ca="1">SUMIF('2.10原液別作業時間'!A:B,C749,'2.10原液別作業時間'!B:B)</f>
        <v>0</v>
      </c>
      <c r="J749" s="13">
        <f ca="1">SUM(G749:H749,K749)</f>
        <v>0</v>
      </c>
      <c r="K749" s="13">
        <f ca="1">SUMIF('2.2⑤純増減→前工程費'!B:E,C749,'2.2⑤純増減→前工程費'!E:E)</f>
        <v>0</v>
      </c>
      <c r="L749" s="13">
        <f ca="1">SUMIF('2.6完成品'!C:D,C749,'2.6完成品'!D:D)</f>
        <v>0</v>
      </c>
      <c r="M749" s="13">
        <f ca="1">SUMIF('2.3研究費'!D:E,C749,'2.3研究費'!E:E)</f>
        <v>0</v>
      </c>
      <c r="N749" s="13">
        <f ca="1">SUMIF('2.4販促費'!D:E,C749,'2.4販促費'!E:E)</f>
        <v>0</v>
      </c>
      <c r="O749" s="13">
        <f ca="1">SUMIF('2.5廃棄処分'!D:E,C749,'2.5廃棄処分'!E:E)</f>
        <v>0</v>
      </c>
      <c r="P749" s="13">
        <f ca="1">SUMIF('2.1④異種原液'!D:E,C749,'2.1④異種原液'!E:E)</f>
        <v>0</v>
      </c>
      <c r="Q749" s="14">
        <f ca="1">SUMIF('2.7製造部生産分'!D:I,C749,'2.7製造部生産分'!H:H)</f>
        <v>0</v>
      </c>
      <c r="R749" s="15">
        <f ca="1">-(G749+H749+K749-L749-M749-N749-O749-P749-Q749-S749)</f>
        <v>0</v>
      </c>
      <c r="S749" s="13">
        <f ca="1">SUMIF('2.9原液在庫'!B:H,C749,'2.9原液在庫'!H:H)</f>
        <v>0</v>
      </c>
      <c r="T749" s="16">
        <f ca="1">IFERROR(SUM(G750:K750)/(G749+H749+K749),0)</f>
        <v>0</v>
      </c>
      <c r="U749" s="17" t="str">
        <f>C749</f>
        <v>PZ</v>
      </c>
      <c r="V749" s="18">
        <f ca="1">IF(ISERROR(SUM(G750:K750)/SUM(L749:Q749,S749)),0,SUM(G750:K750)/SUM(L749:Q749,S749))</f>
        <v>0</v>
      </c>
      <c r="W749" s="19">
        <f ca="1">V749</f>
        <v>0</v>
      </c>
      <c r="X749" s="20">
        <f ca="1">W749/1000</f>
        <v>0</v>
      </c>
    </row>
    <row r="750" spans="1:24">
      <c r="A750" s="201"/>
      <c r="B750" s="201"/>
      <c r="C750" s="201"/>
      <c r="D750" s="199"/>
      <c r="E750" s="199"/>
      <c r="F750" s="21" t="s">
        <v>247</v>
      </c>
      <c r="G750" s="22" t="s">
        <v>254</v>
      </c>
      <c r="H750" s="184"/>
      <c r="I750" s="23">
        <f ca="1">I749*労務費経費単価SC!D$7</f>
        <v>0</v>
      </c>
      <c r="J750" s="23">
        <f ca="1">J749*労務費経費単価SC!D$11</f>
        <v>0</v>
      </c>
      <c r="K750" s="22">
        <f ca="1">K749*$E749</f>
        <v>0</v>
      </c>
      <c r="L750" s="22">
        <f ca="1">L749*$E749</f>
        <v>0</v>
      </c>
      <c r="M750" s="22">
        <f t="shared" ref="M750" ca="1" si="2598">M749*$E749</f>
        <v>0</v>
      </c>
      <c r="N750" s="22">
        <f t="shared" ref="N750" ca="1" si="2599">N749*$E749</f>
        <v>0</v>
      </c>
      <c r="O750" s="22">
        <f t="shared" ref="O750" ca="1" si="2600">O749*$E749</f>
        <v>0</v>
      </c>
      <c r="P750" s="22">
        <f t="shared" ref="P750" ca="1" si="2601">P749*$E749</f>
        <v>0</v>
      </c>
      <c r="Q750" s="22">
        <f t="shared" ref="Q750" ca="1" si="2602">Q749*$E749</f>
        <v>0</v>
      </c>
      <c r="R750" s="22">
        <f t="shared" ref="R750" ca="1" si="2603">R749*$E749</f>
        <v>0</v>
      </c>
      <c r="S750" s="22">
        <f t="shared" ref="S750" ca="1" si="2604">S749*$E749</f>
        <v>0</v>
      </c>
      <c r="U750" s="17"/>
      <c r="V750" s="18"/>
      <c r="W750" s="19"/>
      <c r="X750" s="20"/>
    </row>
    <row r="751" spans="1:24">
      <c r="A751" s="200"/>
      <c r="B751" s="211"/>
      <c r="C751" s="200" t="s">
        <v>503</v>
      </c>
      <c r="D751" s="199" t="str">
        <f>VLOOKUP(C751,'仕掛品名寄（貼付）'!B:C,2,FALSE)</f>
        <v>その他</v>
      </c>
      <c r="E751" s="199">
        <f>VLOOKUP(D751,'仕掛品標準単価一覧表（貼付）'!B:G,6,FALSE)</f>
        <v>1080</v>
      </c>
      <c r="F751" s="12" t="s">
        <v>246</v>
      </c>
      <c r="G751" s="13">
        <v>0</v>
      </c>
      <c r="H751" s="13">
        <f ca="1">SUMIF('1.3②原材料使用'!B:E,C751,'1.3②原材料使用'!E:E)</f>
        <v>0</v>
      </c>
      <c r="I751" s="13">
        <f ca="1">SUMIF('2.10原液別作業時間'!A:B,C751,'2.10原液別作業時間'!B:B)</f>
        <v>0</v>
      </c>
      <c r="J751" s="13">
        <f ca="1">SUM(G751:H751,K751)</f>
        <v>0</v>
      </c>
      <c r="K751" s="13">
        <f ca="1">SUMIF('2.2⑤純増減→前工程費'!B:E,C751,'2.2⑤純増減→前工程費'!E:E)</f>
        <v>0</v>
      </c>
      <c r="L751" s="13">
        <f ca="1">SUMIF('2.6完成品'!C:D,C751,'2.6完成品'!D:D)</f>
        <v>0</v>
      </c>
      <c r="M751" s="13">
        <f ca="1">SUMIF('2.3研究費'!D:E,C751,'2.3研究費'!E:E)</f>
        <v>0</v>
      </c>
      <c r="N751" s="13">
        <f ca="1">SUMIF('2.4販促費'!D:E,C751,'2.4販促費'!E:E)</f>
        <v>0</v>
      </c>
      <c r="O751" s="13">
        <f ca="1">SUMIF('2.5廃棄処分'!D:E,C751,'2.5廃棄処分'!E:E)</f>
        <v>0</v>
      </c>
      <c r="P751" s="13">
        <f ca="1">SUMIF('2.1④異種原液'!D:E,C751,'2.1④異種原液'!E:E)</f>
        <v>0</v>
      </c>
      <c r="Q751" s="14">
        <f ca="1">SUMIF('2.7製造部生産分'!D:I,C751,'2.7製造部生産分'!H:H)</f>
        <v>0</v>
      </c>
      <c r="R751" s="15">
        <f ca="1">-(G751+H751+K751-L751-M751-N751-O751-P751-Q751-S751)</f>
        <v>0</v>
      </c>
      <c r="S751" s="13">
        <f ca="1">SUMIF('2.9原液在庫'!B:H,C751,'2.9原液在庫'!H:H)</f>
        <v>0</v>
      </c>
      <c r="T751" s="16">
        <f ca="1">IFERROR(SUM(G752:K752)/(G751+H751+K751),0)</f>
        <v>0</v>
      </c>
      <c r="U751" s="17" t="str">
        <f>C751</f>
        <v>QA</v>
      </c>
      <c r="V751" s="18">
        <f ca="1">IF(ISERROR(SUM(G752:K752)/SUM(L751:Q751,S751)),0,SUM(G752:K752)/SUM(L751:Q751,S751))</f>
        <v>0</v>
      </c>
      <c r="W751" s="19">
        <f ca="1">V751</f>
        <v>0</v>
      </c>
      <c r="X751" s="20">
        <f ca="1">W751/1000</f>
        <v>0</v>
      </c>
    </row>
    <row r="752" spans="1:24">
      <c r="A752" s="201"/>
      <c r="B752" s="201"/>
      <c r="C752" s="201"/>
      <c r="D752" s="199"/>
      <c r="E752" s="199"/>
      <c r="F752" s="21" t="s">
        <v>247</v>
      </c>
      <c r="G752" s="22" t="s">
        <v>254</v>
      </c>
      <c r="H752" s="184"/>
      <c r="I752" s="23">
        <f ca="1">I751*労務費経費単価SC!D$7</f>
        <v>0</v>
      </c>
      <c r="J752" s="23">
        <f ca="1">J751*労務費経費単価SC!D$11</f>
        <v>0</v>
      </c>
      <c r="K752" s="22">
        <f ca="1">K751*$E751</f>
        <v>0</v>
      </c>
      <c r="L752" s="22">
        <f ca="1">L751*$E751</f>
        <v>0</v>
      </c>
      <c r="M752" s="22">
        <f t="shared" ref="M752" ca="1" si="2605">M751*$E751</f>
        <v>0</v>
      </c>
      <c r="N752" s="22">
        <f t="shared" ref="N752" ca="1" si="2606">N751*$E751</f>
        <v>0</v>
      </c>
      <c r="O752" s="22">
        <f t="shared" ref="O752" ca="1" si="2607">O751*$E751</f>
        <v>0</v>
      </c>
      <c r="P752" s="22">
        <f t="shared" ref="P752" ca="1" si="2608">P751*$E751</f>
        <v>0</v>
      </c>
      <c r="Q752" s="22">
        <f t="shared" ref="Q752" ca="1" si="2609">Q751*$E751</f>
        <v>0</v>
      </c>
      <c r="R752" s="22">
        <f t="shared" ref="R752" ca="1" si="2610">R751*$E751</f>
        <v>0</v>
      </c>
      <c r="S752" s="22">
        <f t="shared" ref="S752" ca="1" si="2611">S751*$E751</f>
        <v>0</v>
      </c>
      <c r="U752" s="17"/>
      <c r="V752" s="18"/>
      <c r="W752" s="19"/>
      <c r="X752" s="20"/>
    </row>
    <row r="753" spans="1:24">
      <c r="A753" s="200"/>
      <c r="B753" s="211"/>
      <c r="C753" s="200" t="s">
        <v>504</v>
      </c>
      <c r="D753" s="199" t="str">
        <f>VLOOKUP(C753,'仕掛品名寄（貼付）'!B:C,2,FALSE)</f>
        <v>その他</v>
      </c>
      <c r="E753" s="199">
        <f>VLOOKUP(D753,'仕掛品標準単価一覧表（貼付）'!B:G,6,FALSE)</f>
        <v>1080</v>
      </c>
      <c r="F753" s="12" t="s">
        <v>246</v>
      </c>
      <c r="G753" s="24">
        <v>32.5</v>
      </c>
      <c r="H753" s="13">
        <f ca="1">SUMIF('1.3②原材料使用'!B:E,C753,'1.3②原材料使用'!E:E)</f>
        <v>0</v>
      </c>
      <c r="I753" s="13">
        <f ca="1">SUMIF('2.10原液別作業時間'!A:B,C753,'2.10原液別作業時間'!B:B)</f>
        <v>0</v>
      </c>
      <c r="J753" s="13">
        <f ca="1">SUM(G753:H753,K753)</f>
        <v>32.5</v>
      </c>
      <c r="K753" s="13">
        <f ca="1">SUMIF('2.2⑤純増減→前工程費'!B:E,C753,'2.2⑤純増減→前工程費'!E:E)</f>
        <v>0</v>
      </c>
      <c r="L753" s="13">
        <f ca="1">SUMIF('2.6完成品'!C:D,C753,'2.6完成品'!D:D)</f>
        <v>0</v>
      </c>
      <c r="M753" s="13">
        <f ca="1">SUMIF('2.3研究費'!D:E,C753,'2.3研究費'!E:E)</f>
        <v>0</v>
      </c>
      <c r="N753" s="13">
        <f ca="1">SUMIF('2.4販促費'!D:E,C753,'2.4販促費'!E:E)</f>
        <v>0</v>
      </c>
      <c r="O753" s="13">
        <f ca="1">SUMIF('2.5廃棄処分'!D:E,C753,'2.5廃棄処分'!E:E)</f>
        <v>0</v>
      </c>
      <c r="P753" s="13">
        <f ca="1">SUMIF('2.1④異種原液'!D:E,C753,'2.1④異種原液'!E:E)</f>
        <v>0</v>
      </c>
      <c r="Q753" s="14">
        <f ca="1">SUMIF('2.7製造部生産分'!D:I,C753,'2.7製造部生産分'!H:H)</f>
        <v>0</v>
      </c>
      <c r="R753" s="15">
        <f ca="1">-(G753+H753+K753-L753-M753-N753-O753-P753-Q753-S753)</f>
        <v>0</v>
      </c>
      <c r="S753" s="13">
        <f ca="1">SUMIF('2.9原液在庫'!B:H,C753,'2.9原液在庫'!H:H)</f>
        <v>32.5</v>
      </c>
      <c r="T753" s="16">
        <f ca="1">IFERROR(SUM(G754:K754)/(G753+H753+K753),0)</f>
        <v>6664.1295503292486</v>
      </c>
      <c r="U753" s="17" t="str">
        <f>C753</f>
        <v>QB</v>
      </c>
      <c r="V753" s="18">
        <f ca="1">IF(ISERROR(SUM(G754:K754)/SUM(L753:Q753,S753)),0,SUM(G754:K754)/SUM(L753:Q753,S753))</f>
        <v>6664.1295503292486</v>
      </c>
      <c r="W753" s="19">
        <f ca="1">V753</f>
        <v>6664.1295503292486</v>
      </c>
      <c r="X753" s="20">
        <f ca="1">W753/1000</f>
        <v>6.6641295503292488</v>
      </c>
    </row>
    <row r="754" spans="1:24">
      <c r="A754" s="212"/>
      <c r="B754" s="212"/>
      <c r="C754" s="201"/>
      <c r="D754" s="199"/>
      <c r="E754" s="199"/>
      <c r="F754" s="21" t="s">
        <v>247</v>
      </c>
      <c r="G754" s="22">
        <v>215609.21038570057</v>
      </c>
      <c r="H754" s="184"/>
      <c r="I754" s="23">
        <f ca="1">I753*労務費経費単価SC!D$7</f>
        <v>0</v>
      </c>
      <c r="J754" s="23">
        <f ca="1">J753*労務費経費単価SC!D$11</f>
        <v>975</v>
      </c>
      <c r="K754" s="22">
        <f ca="1">K753*$E753</f>
        <v>0</v>
      </c>
      <c r="L754" s="22">
        <f ca="1">L753*$E753</f>
        <v>0</v>
      </c>
      <c r="M754" s="22">
        <f t="shared" ref="M754" ca="1" si="2612">M753*$E753</f>
        <v>0</v>
      </c>
      <c r="N754" s="22">
        <f t="shared" ref="N754" ca="1" si="2613">N753*$E753</f>
        <v>0</v>
      </c>
      <c r="O754" s="22">
        <f t="shared" ref="O754" ca="1" si="2614">O753*$E753</f>
        <v>0</v>
      </c>
      <c r="P754" s="22">
        <f t="shared" ref="P754" ca="1" si="2615">P753*$E753</f>
        <v>0</v>
      </c>
      <c r="Q754" s="22">
        <f t="shared" ref="Q754" ca="1" si="2616">Q753*$E753</f>
        <v>0</v>
      </c>
      <c r="R754" s="22">
        <f t="shared" ref="R754" ca="1" si="2617">R753*$E753</f>
        <v>0</v>
      </c>
      <c r="S754" s="22">
        <f t="shared" ref="S754" ca="1" si="2618">S753*$E753</f>
        <v>35100</v>
      </c>
      <c r="U754" s="17"/>
      <c r="V754" s="18"/>
      <c r="W754" s="19"/>
      <c r="X754" s="20"/>
    </row>
    <row r="755" spans="1:24">
      <c r="A755" s="200"/>
      <c r="B755" s="211"/>
      <c r="C755" s="200" t="s">
        <v>505</v>
      </c>
      <c r="D755" s="199" t="str">
        <f>VLOOKUP(C755,'仕掛品名寄（貼付）'!B:C,2,FALSE)</f>
        <v>その他</v>
      </c>
      <c r="E755" s="199">
        <f>VLOOKUP(D755,'仕掛品標準単価一覧表（貼付）'!B:G,6,FALSE)</f>
        <v>1080</v>
      </c>
      <c r="F755" s="12" t="s">
        <v>246</v>
      </c>
      <c r="G755" s="13">
        <v>0</v>
      </c>
      <c r="H755" s="13">
        <f ca="1">SUMIF('1.3②原材料使用'!B:E,C755,'1.3②原材料使用'!E:E)</f>
        <v>0</v>
      </c>
      <c r="I755" s="13">
        <f ca="1">SUMIF('2.10原液別作業時間'!A:B,C755,'2.10原液別作業時間'!B:B)</f>
        <v>0</v>
      </c>
      <c r="J755" s="13">
        <f ca="1">SUM(G755:H755,K755)</f>
        <v>0</v>
      </c>
      <c r="K755" s="13">
        <f ca="1">SUMIF('2.2⑤純増減→前工程費'!B:E,C755,'2.2⑤純増減→前工程費'!E:E)</f>
        <v>0</v>
      </c>
      <c r="L755" s="13">
        <f ca="1">SUMIF('2.6完成品'!C:D,C755,'2.6完成品'!D:D)</f>
        <v>0</v>
      </c>
      <c r="M755" s="13">
        <f ca="1">SUMIF('2.3研究費'!D:E,C755,'2.3研究費'!E:E)</f>
        <v>0</v>
      </c>
      <c r="N755" s="13">
        <f ca="1">SUMIF('2.4販促費'!D:E,C755,'2.4販促費'!E:E)</f>
        <v>0</v>
      </c>
      <c r="O755" s="13">
        <f ca="1">SUMIF('2.5廃棄処分'!D:E,C755,'2.5廃棄処分'!E:E)</f>
        <v>0</v>
      </c>
      <c r="P755" s="13">
        <f ca="1">SUMIF('2.1④異種原液'!D:E,C755,'2.1④異種原液'!E:E)</f>
        <v>0</v>
      </c>
      <c r="Q755" s="14">
        <f ca="1">SUMIF('2.7製造部生産分'!D:I,C755,'2.7製造部生産分'!H:H)</f>
        <v>0</v>
      </c>
      <c r="R755" s="15">
        <f ca="1">-(G755+H755+K755-L755-M755-N755-O755-P755-Q755-S755)</f>
        <v>0</v>
      </c>
      <c r="S755" s="13">
        <f ca="1">SUMIF('2.9原液在庫'!B:H,C755,'2.9原液在庫'!H:H)</f>
        <v>0</v>
      </c>
      <c r="T755" s="16">
        <f ca="1">IFERROR(SUM(G756:K756)/(G755+H755+K755),0)</f>
        <v>0</v>
      </c>
      <c r="U755" s="17" t="str">
        <f>C755</f>
        <v>R</v>
      </c>
      <c r="V755" s="18">
        <f ca="1">IF(ISERROR(SUM(G756:K756)/SUM(L755:Q755,S755)),0,SUM(G756:K756)/SUM(L755:Q755,S755))</f>
        <v>0</v>
      </c>
      <c r="W755" s="19">
        <f ca="1">V755</f>
        <v>0</v>
      </c>
      <c r="X755" s="20">
        <f ca="1">W755/1000</f>
        <v>0</v>
      </c>
    </row>
    <row r="756" spans="1:24">
      <c r="A756" s="207"/>
      <c r="B756" s="201"/>
      <c r="C756" s="207"/>
      <c r="D756" s="199"/>
      <c r="E756" s="199"/>
      <c r="F756" s="21" t="s">
        <v>247</v>
      </c>
      <c r="G756" s="22" t="s">
        <v>254</v>
      </c>
      <c r="H756" s="184"/>
      <c r="I756" s="23">
        <f ca="1">I755*労務費経費単価SC!D$7</f>
        <v>0</v>
      </c>
      <c r="J756" s="23">
        <f ca="1">J755*労務費経費単価SC!D$11</f>
        <v>0</v>
      </c>
      <c r="K756" s="22">
        <f ca="1">K755*$E755</f>
        <v>0</v>
      </c>
      <c r="L756" s="22">
        <f ca="1">L755*$E755</f>
        <v>0</v>
      </c>
      <c r="M756" s="22">
        <f t="shared" ref="M756" ca="1" si="2619">M755*$E755</f>
        <v>0</v>
      </c>
      <c r="N756" s="22">
        <f t="shared" ref="N756" ca="1" si="2620">N755*$E755</f>
        <v>0</v>
      </c>
      <c r="O756" s="22">
        <f t="shared" ref="O756" ca="1" si="2621">O755*$E755</f>
        <v>0</v>
      </c>
      <c r="P756" s="22">
        <f t="shared" ref="P756" ca="1" si="2622">P755*$E755</f>
        <v>0</v>
      </c>
      <c r="Q756" s="22">
        <f t="shared" ref="Q756" ca="1" si="2623">Q755*$E755</f>
        <v>0</v>
      </c>
      <c r="R756" s="22">
        <f t="shared" ref="R756" ca="1" si="2624">R755*$E755</f>
        <v>0</v>
      </c>
      <c r="S756" s="22">
        <f t="shared" ref="S756" ca="1" si="2625">S755*$E755</f>
        <v>0</v>
      </c>
      <c r="U756" s="17"/>
      <c r="V756" s="18"/>
      <c r="W756" s="19"/>
      <c r="X756" s="20"/>
    </row>
    <row r="757" spans="1:24">
      <c r="A757" s="200"/>
      <c r="B757" s="211"/>
      <c r="C757" s="200" t="s">
        <v>176</v>
      </c>
      <c r="D757" s="199" t="str">
        <f>VLOOKUP(C757,'仕掛品名寄（貼付）'!B:C,2,FALSE)</f>
        <v>その他</v>
      </c>
      <c r="E757" s="199">
        <f>VLOOKUP(D757,'仕掛品標準単価一覧表（貼付）'!B:G,6,FALSE)</f>
        <v>1080</v>
      </c>
      <c r="F757" s="12" t="s">
        <v>246</v>
      </c>
      <c r="G757" s="13">
        <v>0</v>
      </c>
      <c r="H757" s="13">
        <f ca="1">SUMIF('1.3②原材料使用'!B:E,C757,'1.3②原材料使用'!E:E)</f>
        <v>0</v>
      </c>
      <c r="I757" s="13">
        <f ca="1">SUMIF('2.10原液別作業時間'!A:B,C757,'2.10原液別作業時間'!B:B)</f>
        <v>0</v>
      </c>
      <c r="J757" s="13">
        <f ca="1">SUM(G757:H757,K757)</f>
        <v>0</v>
      </c>
      <c r="K757" s="13">
        <f ca="1">SUMIF('2.2⑤純増減→前工程費'!B:E,C757,'2.2⑤純増減→前工程費'!E:E)</f>
        <v>0</v>
      </c>
      <c r="L757" s="13">
        <f ca="1">SUMIF('2.6完成品'!C:D,C757,'2.6完成品'!D:D)</f>
        <v>0</v>
      </c>
      <c r="M757" s="13">
        <f ca="1">SUMIF('2.3研究費'!D:E,C757,'2.3研究費'!E:E)</f>
        <v>0</v>
      </c>
      <c r="N757" s="13">
        <f ca="1">SUMIF('2.4販促費'!D:E,C757,'2.4販促費'!E:E)</f>
        <v>0</v>
      </c>
      <c r="O757" s="13">
        <f ca="1">SUMIF('2.5廃棄処分'!D:E,C757,'2.5廃棄処分'!E:E)</f>
        <v>0</v>
      </c>
      <c r="P757" s="13">
        <f ca="1">SUMIF('2.1④異種原液'!D:E,C757,'2.1④異種原液'!E:E)</f>
        <v>0</v>
      </c>
      <c r="Q757" s="14">
        <f ca="1">SUMIF('2.7製造部生産分'!D:I,C757,'2.7製造部生産分'!H:H)</f>
        <v>0</v>
      </c>
      <c r="R757" s="15">
        <f ca="1">-(G757+H757+K757-L757-M757-N757-O757-P757-Q757-S757)</f>
        <v>0</v>
      </c>
      <c r="S757" s="13">
        <f ca="1">SUMIF('2.9原液在庫'!B:H,C757,'2.9原液在庫'!H:H)</f>
        <v>0</v>
      </c>
      <c r="T757" s="16">
        <f ca="1">IFERROR(SUM(G758:K758)/(G757+H757+K757),0)</f>
        <v>0</v>
      </c>
      <c r="U757" s="17" t="str">
        <f>C757</f>
        <v>S</v>
      </c>
      <c r="V757" s="18">
        <f ca="1">IF(ISERROR(SUM(G758:K758)/SUM(L757:Q757,S757)),0,SUM(G758:K758)/SUM(L757:Q757,S757))</f>
        <v>0</v>
      </c>
      <c r="W757" s="19">
        <f ca="1">V757</f>
        <v>0</v>
      </c>
      <c r="X757" s="20">
        <f ca="1">W757/1000</f>
        <v>0</v>
      </c>
    </row>
    <row r="758" spans="1:24">
      <c r="A758" s="201"/>
      <c r="B758" s="201"/>
      <c r="C758" s="201"/>
      <c r="D758" s="199"/>
      <c r="E758" s="199"/>
      <c r="F758" s="21" t="s">
        <v>247</v>
      </c>
      <c r="G758" s="22" t="s">
        <v>254</v>
      </c>
      <c r="H758" s="184"/>
      <c r="I758" s="23">
        <f ca="1">I757*労務費経費単価SC!D$7</f>
        <v>0</v>
      </c>
      <c r="J758" s="23">
        <f ca="1">J757*労務費経費単価SC!D$11</f>
        <v>0</v>
      </c>
      <c r="K758" s="22">
        <f ca="1">K757*$E757</f>
        <v>0</v>
      </c>
      <c r="L758" s="22">
        <f ca="1">L757*$E757</f>
        <v>0</v>
      </c>
      <c r="M758" s="22">
        <f t="shared" ref="M758" ca="1" si="2626">M757*$E757</f>
        <v>0</v>
      </c>
      <c r="N758" s="22">
        <f t="shared" ref="N758" ca="1" si="2627">N757*$E757</f>
        <v>0</v>
      </c>
      <c r="O758" s="22">
        <f t="shared" ref="O758" ca="1" si="2628">O757*$E757</f>
        <v>0</v>
      </c>
      <c r="P758" s="22">
        <f t="shared" ref="P758" ca="1" si="2629">P757*$E757</f>
        <v>0</v>
      </c>
      <c r="Q758" s="22">
        <f t="shared" ref="Q758" ca="1" si="2630">Q757*$E757</f>
        <v>0</v>
      </c>
      <c r="R758" s="22">
        <f t="shared" ref="R758" ca="1" si="2631">R757*$E757</f>
        <v>0</v>
      </c>
      <c r="S758" s="22">
        <f t="shared" ref="S758" ca="1" si="2632">S757*$E757</f>
        <v>0</v>
      </c>
      <c r="U758" s="17"/>
      <c r="V758" s="18"/>
      <c r="W758" s="19"/>
      <c r="X758" s="20"/>
    </row>
    <row r="759" spans="1:24">
      <c r="A759" s="200"/>
      <c r="B759" s="211"/>
      <c r="C759" s="200" t="s">
        <v>506</v>
      </c>
      <c r="D759" s="199" t="str">
        <f>VLOOKUP(C759,'仕掛品名寄（貼付）'!B:C,2,FALSE)</f>
        <v>その他</v>
      </c>
      <c r="E759" s="199">
        <f>VLOOKUP(D759,'仕掛品標準単価一覧表（貼付）'!B:G,6,FALSE)</f>
        <v>1080</v>
      </c>
      <c r="F759" s="12" t="s">
        <v>246</v>
      </c>
      <c r="G759" s="13">
        <v>0</v>
      </c>
      <c r="H759" s="13">
        <f ca="1">SUMIF('1.3②原材料使用'!B:E,C759,'1.3②原材料使用'!E:E)</f>
        <v>0</v>
      </c>
      <c r="I759" s="13">
        <f ca="1">SUMIF('2.10原液別作業時間'!A:B,C759,'2.10原液別作業時間'!B:B)</f>
        <v>0</v>
      </c>
      <c r="J759" s="13">
        <f ca="1">SUM(G759:H759,K759)</f>
        <v>0</v>
      </c>
      <c r="K759" s="13">
        <f ca="1">SUMIF('2.2⑤純増減→前工程費'!B:E,C759,'2.2⑤純増減→前工程費'!E:E)</f>
        <v>0</v>
      </c>
      <c r="L759" s="13">
        <f ca="1">SUMIF('2.6完成品'!C:D,C759,'2.6完成品'!D:D)</f>
        <v>0</v>
      </c>
      <c r="M759" s="13">
        <f ca="1">SUMIF('2.3研究費'!D:E,C759,'2.3研究費'!E:E)</f>
        <v>0</v>
      </c>
      <c r="N759" s="13">
        <f ca="1">SUMIF('2.4販促費'!D:E,C759,'2.4販促費'!E:E)</f>
        <v>0</v>
      </c>
      <c r="O759" s="13">
        <f ca="1">SUMIF('2.5廃棄処分'!D:E,C759,'2.5廃棄処分'!E:E)</f>
        <v>0</v>
      </c>
      <c r="P759" s="13">
        <f ca="1">SUMIF('2.1④異種原液'!D:E,C759,'2.1④異種原液'!E:E)</f>
        <v>0</v>
      </c>
      <c r="Q759" s="14">
        <f ca="1">SUMIF('2.7製造部生産分'!D:I,C759,'2.7製造部生産分'!H:H)</f>
        <v>0</v>
      </c>
      <c r="R759" s="15">
        <f ca="1">-(G759+H759+K759-L759-M759-N759-O759-P759-Q759-S759)</f>
        <v>0</v>
      </c>
      <c r="S759" s="13">
        <f ca="1">SUMIF('2.9原液在庫'!B:H,C759,'2.9原液在庫'!H:H)</f>
        <v>0</v>
      </c>
      <c r="T759" s="16">
        <f ca="1">IFERROR(SUM(G760:K760)/(G759+H759+K759),0)</f>
        <v>0</v>
      </c>
      <c r="U759" s="17" t="str">
        <f>C759</f>
        <v>SA</v>
      </c>
      <c r="V759" s="18">
        <f ca="1">IF(ISERROR(SUM(G760:K760)/SUM(L759:Q759,S759)),0,SUM(G760:K760)/SUM(L759:Q759,S759))</f>
        <v>0</v>
      </c>
      <c r="W759" s="19">
        <f ca="1">V759</f>
        <v>0</v>
      </c>
      <c r="X759" s="20">
        <f ca="1">W759/1000</f>
        <v>0</v>
      </c>
    </row>
    <row r="760" spans="1:24">
      <c r="A760" s="201"/>
      <c r="B760" s="201"/>
      <c r="C760" s="201"/>
      <c r="D760" s="199"/>
      <c r="E760" s="199"/>
      <c r="F760" s="21" t="s">
        <v>247</v>
      </c>
      <c r="G760" s="22" t="s">
        <v>254</v>
      </c>
      <c r="H760" s="184"/>
      <c r="I760" s="23">
        <f ca="1">I759*労務費経費単価SC!D$7</f>
        <v>0</v>
      </c>
      <c r="J760" s="23">
        <f ca="1">J759*労務費経費単価SC!D$11</f>
        <v>0</v>
      </c>
      <c r="K760" s="22">
        <f ca="1">K759*$E759</f>
        <v>0</v>
      </c>
      <c r="L760" s="22">
        <f ca="1">L759*$E759</f>
        <v>0</v>
      </c>
      <c r="M760" s="22">
        <f t="shared" ref="M760" ca="1" si="2633">M759*$E759</f>
        <v>0</v>
      </c>
      <c r="N760" s="22">
        <f t="shared" ref="N760" ca="1" si="2634">N759*$E759</f>
        <v>0</v>
      </c>
      <c r="O760" s="22">
        <f t="shared" ref="O760" ca="1" si="2635">O759*$E759</f>
        <v>0</v>
      </c>
      <c r="P760" s="22">
        <f t="shared" ref="P760" ca="1" si="2636">P759*$E759</f>
        <v>0</v>
      </c>
      <c r="Q760" s="22">
        <f t="shared" ref="Q760" ca="1" si="2637">Q759*$E759</f>
        <v>0</v>
      </c>
      <c r="R760" s="22">
        <f t="shared" ref="R760" ca="1" si="2638">R759*$E759</f>
        <v>0</v>
      </c>
      <c r="S760" s="22">
        <f t="shared" ref="S760" ca="1" si="2639">S759*$E759</f>
        <v>0</v>
      </c>
      <c r="U760" s="17"/>
      <c r="V760" s="18"/>
      <c r="W760" s="19"/>
      <c r="X760" s="20"/>
    </row>
    <row r="761" spans="1:24">
      <c r="A761" s="200"/>
      <c r="B761" s="211"/>
      <c r="C761" s="200" t="s">
        <v>507</v>
      </c>
      <c r="D761" s="199" t="str">
        <f>VLOOKUP(C761,'仕掛品名寄（貼付）'!B:C,2,FALSE)</f>
        <v>その他</v>
      </c>
      <c r="E761" s="199">
        <f>VLOOKUP(D761,'仕掛品標準単価一覧表（貼付）'!B:G,6,FALSE)</f>
        <v>1080</v>
      </c>
      <c r="F761" s="12" t="s">
        <v>246</v>
      </c>
      <c r="G761" s="13">
        <v>0</v>
      </c>
      <c r="H761" s="13">
        <f ca="1">SUMIF('1.3②原材料使用'!B:E,C761,'1.3②原材料使用'!E:E)</f>
        <v>0</v>
      </c>
      <c r="I761" s="13">
        <f ca="1">SUMIF('2.10原液別作業時間'!A:B,C761,'2.10原液別作業時間'!B:B)</f>
        <v>0</v>
      </c>
      <c r="J761" s="13">
        <f ca="1">SUM(G761:H761,K761)</f>
        <v>0</v>
      </c>
      <c r="K761" s="13">
        <f ca="1">SUMIF('2.2⑤純増減→前工程費'!B:E,C761,'2.2⑤純増減→前工程費'!E:E)</f>
        <v>0</v>
      </c>
      <c r="L761" s="13">
        <f ca="1">SUMIF('2.6完成品'!C:D,C761,'2.6完成品'!D:D)</f>
        <v>0</v>
      </c>
      <c r="M761" s="13">
        <f ca="1">SUMIF('2.3研究費'!D:E,C761,'2.3研究費'!E:E)</f>
        <v>0</v>
      </c>
      <c r="N761" s="13">
        <f ca="1">SUMIF('2.4販促費'!D:E,C761,'2.4販促費'!E:E)</f>
        <v>0</v>
      </c>
      <c r="O761" s="13">
        <f ca="1">SUMIF('2.5廃棄処分'!D:E,C761,'2.5廃棄処分'!E:E)</f>
        <v>0</v>
      </c>
      <c r="P761" s="13">
        <f ca="1">SUMIF('2.1④異種原液'!D:E,C761,'2.1④異種原液'!E:E)</f>
        <v>0</v>
      </c>
      <c r="Q761" s="14">
        <f ca="1">SUMIF('2.7製造部生産分'!D:I,C761,'2.7製造部生産分'!H:H)</f>
        <v>0</v>
      </c>
      <c r="R761" s="15">
        <f ca="1">-(G761+H761+K761-L761-M761-N761-O761-P761-Q761-S761)</f>
        <v>0</v>
      </c>
      <c r="S761" s="13">
        <f ca="1">SUMIF('2.9原液在庫'!B:H,C761,'2.9原液在庫'!H:H)</f>
        <v>0</v>
      </c>
      <c r="T761" s="16">
        <f ca="1">IFERROR(SUM(G762:K762)/(G761+H761+K761),0)</f>
        <v>0</v>
      </c>
      <c r="U761" s="17" t="str">
        <f>C761</f>
        <v>SB</v>
      </c>
      <c r="V761" s="18">
        <f ca="1">IF(ISERROR(SUM(G762:K762)/SUM(L761:Q761,S761)),0,SUM(G762:K762)/SUM(L761:Q761,S761))</f>
        <v>0</v>
      </c>
      <c r="W761" s="19">
        <f ca="1">V761</f>
        <v>0</v>
      </c>
      <c r="X761" s="20">
        <f ca="1">W761/1000</f>
        <v>0</v>
      </c>
    </row>
    <row r="762" spans="1:24">
      <c r="A762" s="201"/>
      <c r="B762" s="201"/>
      <c r="C762" s="201"/>
      <c r="D762" s="199"/>
      <c r="E762" s="199"/>
      <c r="F762" s="21" t="s">
        <v>247</v>
      </c>
      <c r="G762" s="22" t="s">
        <v>254</v>
      </c>
      <c r="H762" s="184"/>
      <c r="I762" s="23">
        <f ca="1">I761*労務費経費単価SC!D$7</f>
        <v>0</v>
      </c>
      <c r="J762" s="23">
        <f ca="1">J761*労務費経費単価SC!D$11</f>
        <v>0</v>
      </c>
      <c r="K762" s="22">
        <f ca="1">K761*$E761</f>
        <v>0</v>
      </c>
      <c r="L762" s="22">
        <f ca="1">L761*$E761</f>
        <v>0</v>
      </c>
      <c r="M762" s="22">
        <f t="shared" ref="M762" ca="1" si="2640">M761*$E761</f>
        <v>0</v>
      </c>
      <c r="N762" s="22">
        <f t="shared" ref="N762" ca="1" si="2641">N761*$E761</f>
        <v>0</v>
      </c>
      <c r="O762" s="22">
        <f t="shared" ref="O762" ca="1" si="2642">O761*$E761</f>
        <v>0</v>
      </c>
      <c r="P762" s="22">
        <f t="shared" ref="P762" ca="1" si="2643">P761*$E761</f>
        <v>0</v>
      </c>
      <c r="Q762" s="22">
        <f t="shared" ref="Q762" ca="1" si="2644">Q761*$E761</f>
        <v>0</v>
      </c>
      <c r="R762" s="22">
        <f t="shared" ref="R762" ca="1" si="2645">R761*$E761</f>
        <v>0</v>
      </c>
      <c r="S762" s="22">
        <f t="shared" ref="S762" ca="1" si="2646">S761*$E761</f>
        <v>0</v>
      </c>
      <c r="U762" s="17"/>
      <c r="V762" s="18"/>
      <c r="W762" s="19"/>
      <c r="X762" s="20"/>
    </row>
    <row r="763" spans="1:24">
      <c r="A763" s="200"/>
      <c r="B763" s="211"/>
      <c r="C763" s="200" t="s">
        <v>508</v>
      </c>
      <c r="D763" s="199" t="str">
        <f>VLOOKUP(C763,'仕掛品名寄（貼付）'!B:C,2,FALSE)</f>
        <v>その他</v>
      </c>
      <c r="E763" s="199">
        <f>VLOOKUP(D763,'仕掛品標準単価一覧表（貼付）'!B:G,6,FALSE)</f>
        <v>1080</v>
      </c>
      <c r="F763" s="12" t="s">
        <v>246</v>
      </c>
      <c r="G763" s="13">
        <v>0</v>
      </c>
      <c r="H763" s="13">
        <f ca="1">SUMIF('1.3②原材料使用'!B:E,C763,'1.3②原材料使用'!E:E)</f>
        <v>0</v>
      </c>
      <c r="I763" s="13">
        <f ca="1">SUMIF('2.10原液別作業時間'!A:B,C763,'2.10原液別作業時間'!B:B)</f>
        <v>0</v>
      </c>
      <c r="J763" s="13">
        <f ca="1">SUM(G763:H763,K763)</f>
        <v>0</v>
      </c>
      <c r="K763" s="13">
        <f ca="1">SUMIF('2.2⑤純増減→前工程費'!B:E,C763,'2.2⑤純増減→前工程費'!E:E)</f>
        <v>0</v>
      </c>
      <c r="L763" s="13">
        <f ca="1">SUMIF('2.6完成品'!C:D,C763,'2.6完成品'!D:D)</f>
        <v>0</v>
      </c>
      <c r="M763" s="13">
        <f ca="1">SUMIF('2.3研究費'!D:E,C763,'2.3研究費'!E:E)</f>
        <v>0</v>
      </c>
      <c r="N763" s="13">
        <f ca="1">SUMIF('2.4販促費'!D:E,C763,'2.4販促費'!E:E)</f>
        <v>0</v>
      </c>
      <c r="O763" s="13">
        <f ca="1">SUMIF('2.5廃棄処分'!D:E,C763,'2.5廃棄処分'!E:E)</f>
        <v>0</v>
      </c>
      <c r="P763" s="13">
        <f ca="1">SUMIF('2.1④異種原液'!D:E,C763,'2.1④異種原液'!E:E)</f>
        <v>0</v>
      </c>
      <c r="Q763" s="14">
        <f ca="1">SUMIF('2.7製造部生産分'!D:I,C763,'2.7製造部生産分'!H:H)</f>
        <v>0</v>
      </c>
      <c r="R763" s="15">
        <f ca="1">-(G763+H763+K763-L763-M763-N763-O763-P763-Q763-S763)</f>
        <v>0</v>
      </c>
      <c r="S763" s="13">
        <f ca="1">SUMIF('2.9原液在庫'!B:H,C763,'2.9原液在庫'!H:H)</f>
        <v>0</v>
      </c>
      <c r="T763" s="16">
        <f ca="1">IFERROR(SUM(G764:K764)/(G763+H763+K763),0)</f>
        <v>0</v>
      </c>
      <c r="U763" s="17" t="str">
        <f>C763</f>
        <v>SBA</v>
      </c>
      <c r="V763" s="18">
        <f ca="1">IF(ISERROR(SUM(G764:K764)/SUM(L763:Q763,S763)),0,SUM(G764:K764)/SUM(L763:Q763,S763))</f>
        <v>0</v>
      </c>
      <c r="W763" s="19">
        <f ca="1">V763</f>
        <v>0</v>
      </c>
      <c r="X763" s="20">
        <f ca="1">W763/1000</f>
        <v>0</v>
      </c>
    </row>
    <row r="764" spans="1:24">
      <c r="A764" s="201"/>
      <c r="B764" s="201"/>
      <c r="C764" s="201"/>
      <c r="D764" s="199"/>
      <c r="E764" s="199"/>
      <c r="F764" s="21" t="s">
        <v>247</v>
      </c>
      <c r="G764" s="22">
        <v>0</v>
      </c>
      <c r="H764" s="184"/>
      <c r="I764" s="23">
        <f ca="1">I763*労務費経費単価SC!D$7</f>
        <v>0</v>
      </c>
      <c r="J764" s="23">
        <f ca="1">J763*労務費経費単価SC!D$11</f>
        <v>0</v>
      </c>
      <c r="K764" s="22">
        <f ca="1">K763*$E763</f>
        <v>0</v>
      </c>
      <c r="L764" s="22">
        <f ca="1">L763*$E763</f>
        <v>0</v>
      </c>
      <c r="M764" s="22">
        <f t="shared" ref="M764" ca="1" si="2647">M763*$E763</f>
        <v>0</v>
      </c>
      <c r="N764" s="22">
        <f t="shared" ref="N764" ca="1" si="2648">N763*$E763</f>
        <v>0</v>
      </c>
      <c r="O764" s="22">
        <f t="shared" ref="O764" ca="1" si="2649">O763*$E763</f>
        <v>0</v>
      </c>
      <c r="P764" s="22">
        <f t="shared" ref="P764" ca="1" si="2650">P763*$E763</f>
        <v>0</v>
      </c>
      <c r="Q764" s="22">
        <f t="shared" ref="Q764" ca="1" si="2651">Q763*$E763</f>
        <v>0</v>
      </c>
      <c r="R764" s="22">
        <f t="shared" ref="R764" ca="1" si="2652">R763*$E763</f>
        <v>0</v>
      </c>
      <c r="S764" s="22">
        <f t="shared" ref="S764" ca="1" si="2653">S763*$E763</f>
        <v>0</v>
      </c>
      <c r="U764" s="17"/>
      <c r="V764" s="18"/>
      <c r="W764" s="19"/>
      <c r="X764" s="20"/>
    </row>
    <row r="765" spans="1:24">
      <c r="A765" s="200"/>
      <c r="B765" s="211"/>
      <c r="C765" s="200" t="s">
        <v>177</v>
      </c>
      <c r="D765" s="199" t="str">
        <f>VLOOKUP(C765,'仕掛品名寄（貼付）'!B:C,2,FALSE)</f>
        <v>その他</v>
      </c>
      <c r="E765" s="199">
        <f>VLOOKUP(D765,'仕掛品標準単価一覧表（貼付）'!B:G,6,FALSE)</f>
        <v>1080</v>
      </c>
      <c r="F765" s="12" t="s">
        <v>246</v>
      </c>
      <c r="G765" s="13">
        <v>0</v>
      </c>
      <c r="H765" s="13">
        <f ca="1">SUMIF('1.3②原材料使用'!B:E,C765,'1.3②原材料使用'!E:E)</f>
        <v>0</v>
      </c>
      <c r="I765" s="13">
        <f ca="1">SUMIF('2.10原液別作業時間'!A:B,C765,'2.10原液別作業時間'!B:B)</f>
        <v>0</v>
      </c>
      <c r="J765" s="13">
        <f ca="1">SUM(G765:H765,K765)</f>
        <v>0</v>
      </c>
      <c r="K765" s="13">
        <f ca="1">SUMIF('2.2⑤純増減→前工程費'!B:E,C765,'2.2⑤純増減→前工程費'!E:E)</f>
        <v>0</v>
      </c>
      <c r="L765" s="13">
        <f ca="1">SUMIF('2.6完成品'!C:D,C765,'2.6完成品'!D:D)</f>
        <v>0</v>
      </c>
      <c r="M765" s="13">
        <f ca="1">SUMIF('2.3研究費'!D:E,C765,'2.3研究費'!E:E)</f>
        <v>0</v>
      </c>
      <c r="N765" s="13">
        <f ca="1">SUMIF('2.4販促費'!D:E,C765,'2.4販促費'!E:E)</f>
        <v>0</v>
      </c>
      <c r="O765" s="13">
        <f ca="1">SUMIF('2.5廃棄処分'!D:E,C765,'2.5廃棄処分'!E:E)</f>
        <v>0</v>
      </c>
      <c r="P765" s="13">
        <f ca="1">SUMIF('2.1④異種原液'!D:E,C765,'2.1④異種原液'!E:E)</f>
        <v>0</v>
      </c>
      <c r="Q765" s="14">
        <f ca="1">SUMIF('2.7製造部生産分'!D:I,C765,'2.7製造部生産分'!H:H)</f>
        <v>0</v>
      </c>
      <c r="R765" s="15">
        <f ca="1">-(G765+H765+K765-L765-M765-N765-O765-P765-Q765-S765)</f>
        <v>0</v>
      </c>
      <c r="S765" s="13">
        <f ca="1">SUMIF('2.9原液在庫'!B:H,C765,'2.9原液在庫'!H:H)</f>
        <v>0</v>
      </c>
      <c r="T765" s="16">
        <f ca="1">IFERROR(SUM(G766:K766)/(G765+H765+K765),0)</f>
        <v>0</v>
      </c>
      <c r="U765" s="17" t="str">
        <f>C765</f>
        <v>U</v>
      </c>
      <c r="V765" s="18">
        <f ca="1">IF(ISERROR(SUM(G766:K766)/SUM(L765:Q765,S765)),0,SUM(G766:K766)/SUM(L765:Q765,S765))</f>
        <v>0</v>
      </c>
      <c r="W765" s="19">
        <f ca="1">V765</f>
        <v>0</v>
      </c>
      <c r="X765" s="20">
        <f ca="1">W765/1000</f>
        <v>0</v>
      </c>
    </row>
    <row r="766" spans="1:24">
      <c r="A766" s="201"/>
      <c r="B766" s="201"/>
      <c r="C766" s="201"/>
      <c r="D766" s="199"/>
      <c r="E766" s="199"/>
      <c r="F766" s="21" t="s">
        <v>247</v>
      </c>
      <c r="G766" s="22" t="s">
        <v>254</v>
      </c>
      <c r="H766" s="184"/>
      <c r="I766" s="23">
        <f ca="1">I765*労務費経費単価SC!D$7</f>
        <v>0</v>
      </c>
      <c r="J766" s="23">
        <f ca="1">J765*労務費経費単価SC!D$11</f>
        <v>0</v>
      </c>
      <c r="K766" s="22">
        <f ca="1">K765*$E765</f>
        <v>0</v>
      </c>
      <c r="L766" s="22">
        <f ca="1">L765*$E765</f>
        <v>0</v>
      </c>
      <c r="M766" s="22">
        <f t="shared" ref="M766" ca="1" si="2654">M765*$E765</f>
        <v>0</v>
      </c>
      <c r="N766" s="22">
        <f t="shared" ref="N766" ca="1" si="2655">N765*$E765</f>
        <v>0</v>
      </c>
      <c r="O766" s="22">
        <f t="shared" ref="O766" ca="1" si="2656">O765*$E765</f>
        <v>0</v>
      </c>
      <c r="P766" s="22">
        <f t="shared" ref="P766" ca="1" si="2657">P765*$E765</f>
        <v>0</v>
      </c>
      <c r="Q766" s="22">
        <f t="shared" ref="Q766" ca="1" si="2658">Q765*$E765</f>
        <v>0</v>
      </c>
      <c r="R766" s="22">
        <f t="shared" ref="R766" ca="1" si="2659">R765*$E765</f>
        <v>0</v>
      </c>
      <c r="S766" s="22">
        <f t="shared" ref="S766" ca="1" si="2660">S765*$E765</f>
        <v>0</v>
      </c>
      <c r="U766" s="17"/>
      <c r="V766" s="18"/>
      <c r="W766" s="19"/>
      <c r="X766" s="20"/>
    </row>
    <row r="767" spans="1:24">
      <c r="A767" s="200"/>
      <c r="B767" s="211"/>
      <c r="C767" s="200" t="s">
        <v>178</v>
      </c>
      <c r="D767" s="199" t="str">
        <f>VLOOKUP(C767,'仕掛品名寄（貼付）'!B:C,2,FALSE)</f>
        <v>その他</v>
      </c>
      <c r="E767" s="199">
        <f>VLOOKUP(D767,'仕掛品標準単価一覧表（貼付）'!B:G,6,FALSE)</f>
        <v>1080</v>
      </c>
      <c r="F767" s="12" t="s">
        <v>246</v>
      </c>
      <c r="G767" s="13">
        <v>120.5</v>
      </c>
      <c r="H767" s="13">
        <f ca="1">SUMIF('1.3②原材料使用'!B:E,C767,'1.3②原材料使用'!E:E)</f>
        <v>0</v>
      </c>
      <c r="I767" s="13">
        <f ca="1">SUMIF('2.10原液別作業時間'!A:B,C767,'2.10原液別作業時間'!B:B)</f>
        <v>260</v>
      </c>
      <c r="J767" s="13">
        <f ca="1">SUM(G767:H767,K767)</f>
        <v>1020</v>
      </c>
      <c r="K767" s="13">
        <f ca="1">SUMIF('2.2⑤純増減→前工程費'!B:E,C767,'2.2⑤純増減→前工程費'!E:E)</f>
        <v>899.5</v>
      </c>
      <c r="L767" s="13">
        <f ca="1">SUMIF('2.6完成品'!C:D,C767,'2.6完成品'!D:D)</f>
        <v>679</v>
      </c>
      <c r="M767" s="13">
        <f ca="1">SUMIF('2.3研究費'!D:E,C767,'2.3研究費'!E:E)</f>
        <v>0</v>
      </c>
      <c r="N767" s="13">
        <f ca="1">SUMIF('2.4販促費'!D:E,C767,'2.4販促費'!E:E)</f>
        <v>0</v>
      </c>
      <c r="O767" s="13">
        <f ca="1">SUMIF('2.5廃棄処分'!D:E,C767,'2.5廃棄処分'!E:E)</f>
        <v>0</v>
      </c>
      <c r="P767" s="13">
        <f ca="1">SUMIF('2.1④異種原液'!D:E,C767,'2.1④異種原液'!E:E)</f>
        <v>0</v>
      </c>
      <c r="Q767" s="14">
        <f ca="1">SUMIF('2.7製造部生産分'!D:I,C767,'2.7製造部生産分'!H:H)</f>
        <v>0</v>
      </c>
      <c r="R767" s="15">
        <f ca="1">-(G767+H767+K767-L767-M767-N767-O767-P767-Q767-S767)</f>
        <v>-6.5</v>
      </c>
      <c r="S767" s="13">
        <f ca="1">SUMIF('2.9原液在庫'!B:H,C767,'2.9原液在庫'!H:H)</f>
        <v>334.5</v>
      </c>
      <c r="T767" s="16">
        <f ca="1">IFERROR(SUM(G768:K768)/(G767+H767+K767),0)</f>
        <v>1219.6261650752167</v>
      </c>
      <c r="U767" s="17" t="str">
        <f>C767</f>
        <v>V</v>
      </c>
      <c r="V767" s="18">
        <f ca="1">IF(ISERROR(SUM(G768:K768)/SUM(L767:Q767,S767)),0,SUM(G768:K768)/SUM(L767:Q767,S767))</f>
        <v>1227.4481385068782</v>
      </c>
      <c r="W767" s="19">
        <f ca="1">V767</f>
        <v>1227.4481385068782</v>
      </c>
      <c r="X767" s="20">
        <f ca="1">W767/1000</f>
        <v>1.2274481385068783</v>
      </c>
    </row>
    <row r="768" spans="1:24">
      <c r="A768" s="201"/>
      <c r="B768" s="201"/>
      <c r="C768" s="201"/>
      <c r="D768" s="199"/>
      <c r="E768" s="199"/>
      <c r="F768" s="21" t="s">
        <v>247</v>
      </c>
      <c r="G768" s="22">
        <v>122358.68837672101</v>
      </c>
      <c r="H768" s="184"/>
      <c r="I768" s="23">
        <f ca="1">I767*労務費経費単価SC!D$7</f>
        <v>119600</v>
      </c>
      <c r="J768" s="23">
        <f ca="1">J767*労務費経費単価SC!D$11</f>
        <v>30600</v>
      </c>
      <c r="K768" s="22">
        <f ca="1">K767*$E767</f>
        <v>971460</v>
      </c>
      <c r="L768" s="22">
        <f ca="1">L767*$E767</f>
        <v>733320</v>
      </c>
      <c r="M768" s="22">
        <f t="shared" ref="M768" ca="1" si="2661">M767*$E767</f>
        <v>0</v>
      </c>
      <c r="N768" s="22">
        <f t="shared" ref="N768" ca="1" si="2662">N767*$E767</f>
        <v>0</v>
      </c>
      <c r="O768" s="22">
        <f t="shared" ref="O768" ca="1" si="2663">O767*$E767</f>
        <v>0</v>
      </c>
      <c r="P768" s="22">
        <f t="shared" ref="P768" ca="1" si="2664">P767*$E767</f>
        <v>0</v>
      </c>
      <c r="Q768" s="22">
        <f t="shared" ref="Q768" ca="1" si="2665">Q767*$E767</f>
        <v>0</v>
      </c>
      <c r="R768" s="22">
        <f t="shared" ref="R768" ca="1" si="2666">R767*$E767</f>
        <v>-7020</v>
      </c>
      <c r="S768" s="22">
        <f t="shared" ref="S768" ca="1" si="2667">S767*$E767</f>
        <v>361260</v>
      </c>
      <c r="U768" s="17"/>
      <c r="V768" s="18"/>
      <c r="W768" s="19"/>
      <c r="X768" s="20"/>
    </row>
    <row r="769" spans="1:24">
      <c r="A769" s="200"/>
      <c r="B769" s="211"/>
      <c r="C769" s="200" t="s">
        <v>509</v>
      </c>
      <c r="D769" s="199" t="str">
        <f>VLOOKUP(C769,'仕掛品名寄（貼付）'!B:C,2,FALSE)</f>
        <v>その他</v>
      </c>
      <c r="E769" s="199">
        <f>VLOOKUP(D769,'仕掛品標準単価一覧表（貼付）'!B:G,6,FALSE)</f>
        <v>1080</v>
      </c>
      <c r="F769" s="12" t="s">
        <v>246</v>
      </c>
      <c r="G769" s="13">
        <v>0</v>
      </c>
      <c r="H769" s="13">
        <f ca="1">SUMIF('1.3②原材料使用'!B:E,C769,'1.3②原材料使用'!E:E)</f>
        <v>0</v>
      </c>
      <c r="I769" s="13">
        <f ca="1">SUMIF('2.10原液別作業時間'!A:B,C769,'2.10原液別作業時間'!B:B)</f>
        <v>0</v>
      </c>
      <c r="J769" s="13">
        <f ca="1">SUM(G769:H769,K769)</f>
        <v>0</v>
      </c>
      <c r="K769" s="13">
        <f ca="1">SUMIF('2.2⑤純増減→前工程費'!B:E,C769,'2.2⑤純増減→前工程費'!E:E)</f>
        <v>0</v>
      </c>
      <c r="L769" s="13">
        <f ca="1">SUMIF('2.6完成品'!C:D,C769,'2.6完成品'!D:D)</f>
        <v>0</v>
      </c>
      <c r="M769" s="13">
        <f ca="1">SUMIF('2.3研究費'!D:E,C769,'2.3研究費'!E:E)</f>
        <v>0</v>
      </c>
      <c r="N769" s="13">
        <f ca="1">SUMIF('2.4販促費'!D:E,C769,'2.4販促費'!E:E)</f>
        <v>0</v>
      </c>
      <c r="O769" s="13">
        <f ca="1">SUMIF('2.5廃棄処分'!D:E,C769,'2.5廃棄処分'!E:E)</f>
        <v>0</v>
      </c>
      <c r="P769" s="13">
        <f ca="1">SUMIF('2.1④異種原液'!D:E,C769,'2.1④異種原液'!E:E)</f>
        <v>0</v>
      </c>
      <c r="Q769" s="14">
        <f ca="1">SUMIF('2.7製造部生産分'!D:I,C769,'2.7製造部生産分'!H:H)</f>
        <v>0</v>
      </c>
      <c r="R769" s="15">
        <f ca="1">-(G769+H769+K769-L769-M769-N769-O769-P769-Q769-S769)</f>
        <v>0</v>
      </c>
      <c r="S769" s="13">
        <f ca="1">SUMIF('2.9原液在庫'!B:H,C769,'2.9原液在庫'!H:H)</f>
        <v>0</v>
      </c>
      <c r="T769" s="16">
        <f ca="1">IFERROR(SUM(G770:K770)/(G769+H769+K769),0)</f>
        <v>0</v>
      </c>
      <c r="U769" s="17" t="str">
        <f>C769</f>
        <v>WK</v>
      </c>
      <c r="V769" s="18">
        <f ca="1">IF(ISERROR(SUM(G770:K770)/SUM(L769:Q769,S769)),0,SUM(G770:K770)/SUM(L769:Q769,S769))</f>
        <v>0</v>
      </c>
      <c r="W769" s="19">
        <f ca="1">V769</f>
        <v>0</v>
      </c>
      <c r="X769" s="20">
        <f ca="1">W769/1000</f>
        <v>0</v>
      </c>
    </row>
    <row r="770" spans="1:24">
      <c r="A770" s="201"/>
      <c r="B770" s="201"/>
      <c r="C770" s="201"/>
      <c r="D770" s="199"/>
      <c r="E770" s="199"/>
      <c r="F770" s="21" t="s">
        <v>247</v>
      </c>
      <c r="G770" s="22" t="s">
        <v>254</v>
      </c>
      <c r="H770" s="184"/>
      <c r="I770" s="23">
        <f ca="1">I769*労務費経費単価SC!D$7</f>
        <v>0</v>
      </c>
      <c r="J770" s="23">
        <f ca="1">J769*労務費経費単価SC!D$11</f>
        <v>0</v>
      </c>
      <c r="K770" s="22">
        <f ca="1">K769*$E769</f>
        <v>0</v>
      </c>
      <c r="L770" s="22">
        <f ca="1">L769*$E769</f>
        <v>0</v>
      </c>
      <c r="M770" s="22">
        <f t="shared" ref="M770" ca="1" si="2668">M769*$E769</f>
        <v>0</v>
      </c>
      <c r="N770" s="22">
        <f t="shared" ref="N770" ca="1" si="2669">N769*$E769</f>
        <v>0</v>
      </c>
      <c r="O770" s="22">
        <f t="shared" ref="O770" ca="1" si="2670">O769*$E769</f>
        <v>0</v>
      </c>
      <c r="P770" s="22">
        <f t="shared" ref="P770" ca="1" si="2671">P769*$E769</f>
        <v>0</v>
      </c>
      <c r="Q770" s="22">
        <f t="shared" ref="Q770" ca="1" si="2672">Q769*$E769</f>
        <v>0</v>
      </c>
      <c r="R770" s="22">
        <f t="shared" ref="R770" ca="1" si="2673">R769*$E769</f>
        <v>0</v>
      </c>
      <c r="S770" s="22">
        <f t="shared" ref="S770" ca="1" si="2674">S769*$E769</f>
        <v>0</v>
      </c>
      <c r="U770" s="17"/>
      <c r="V770" s="18"/>
      <c r="W770" s="19"/>
      <c r="X770" s="20"/>
    </row>
    <row r="771" spans="1:24">
      <c r="A771" s="200"/>
      <c r="B771" s="211"/>
      <c r="C771" s="200" t="s">
        <v>510</v>
      </c>
      <c r="D771" s="199" t="str">
        <f>VLOOKUP(C771,'仕掛品名寄（貼付）'!B:C,2,FALSE)</f>
        <v>その他</v>
      </c>
      <c r="E771" s="199">
        <f>VLOOKUP(D771,'仕掛品標準単価一覧表（貼付）'!B:G,6,FALSE)</f>
        <v>1080</v>
      </c>
      <c r="F771" s="12" t="s">
        <v>246</v>
      </c>
      <c r="G771" s="24">
        <v>0</v>
      </c>
      <c r="H771" s="13">
        <f ca="1">SUMIF('1.3②原材料使用'!B:E,C771,'1.3②原材料使用'!E:E)</f>
        <v>0</v>
      </c>
      <c r="I771" s="13">
        <f ca="1">SUMIF('2.10原液別作業時間'!A:B,C771,'2.10原液別作業時間'!B:B)</f>
        <v>0</v>
      </c>
      <c r="J771" s="13">
        <f ca="1">SUM(G771:H771,K771)</f>
        <v>0</v>
      </c>
      <c r="K771" s="13">
        <f ca="1">SUMIF('2.2⑤純増減→前工程費'!B:E,C771,'2.2⑤純増減→前工程費'!E:E)</f>
        <v>0</v>
      </c>
      <c r="L771" s="13">
        <f ca="1">SUMIF('2.6完成品'!C:D,C771,'2.6完成品'!D:D)</f>
        <v>0</v>
      </c>
      <c r="M771" s="13">
        <f ca="1">SUMIF('2.3研究費'!D:E,C771,'2.3研究費'!E:E)</f>
        <v>0</v>
      </c>
      <c r="N771" s="13">
        <f ca="1">SUMIF('2.4販促費'!D:E,C771,'2.4販促費'!E:E)</f>
        <v>0</v>
      </c>
      <c r="O771" s="13">
        <f ca="1">SUMIF('2.5廃棄処分'!D:E,C771,'2.5廃棄処分'!E:E)</f>
        <v>0</v>
      </c>
      <c r="P771" s="13">
        <f ca="1">SUMIF('2.1④異種原液'!D:E,C771,'2.1④異種原液'!E:E)</f>
        <v>0</v>
      </c>
      <c r="Q771" s="14">
        <f ca="1">SUMIF('2.7製造部生産分'!D:I,C771,'2.7製造部生産分'!H:H)</f>
        <v>0</v>
      </c>
      <c r="R771" s="15">
        <f ca="1">-(G771+H771+K771-L771-M771-N771-O771-P771-Q771-S771)</f>
        <v>0</v>
      </c>
      <c r="S771" s="13">
        <f ca="1">SUMIF('2.9原液在庫'!B:H,C771,'2.9原液在庫'!H:H)</f>
        <v>0</v>
      </c>
      <c r="T771" s="16">
        <f ca="1">IFERROR(SUM(G772:K772)/(G771+H771+K771),0)</f>
        <v>0</v>
      </c>
      <c r="U771" s="17" t="str">
        <f>C771</f>
        <v>WK1</v>
      </c>
      <c r="V771" s="18">
        <f ca="1">IF(ISERROR(SUM(G772:K772)/SUM(L771:Q771,S771)),0,SUM(G772:K772)/SUM(L771:Q771,S771))</f>
        <v>0</v>
      </c>
      <c r="W771" s="19">
        <f ca="1">V771</f>
        <v>0</v>
      </c>
      <c r="X771" s="20">
        <f ca="1">W771/1000</f>
        <v>0</v>
      </c>
    </row>
    <row r="772" spans="1:24">
      <c r="A772" s="201"/>
      <c r="B772" s="201"/>
      <c r="C772" s="201"/>
      <c r="D772" s="199"/>
      <c r="E772" s="199"/>
      <c r="F772" s="21" t="s">
        <v>247</v>
      </c>
      <c r="G772" s="22" t="s">
        <v>254</v>
      </c>
      <c r="H772" s="184"/>
      <c r="I772" s="23">
        <f ca="1">I771*労務費経費単価SC!D$7</f>
        <v>0</v>
      </c>
      <c r="J772" s="23">
        <f ca="1">J771*労務費経費単価SC!D$11</f>
        <v>0</v>
      </c>
      <c r="K772" s="22">
        <f ca="1">K771*$E771</f>
        <v>0</v>
      </c>
      <c r="L772" s="22">
        <f ca="1">L771*$E771</f>
        <v>0</v>
      </c>
      <c r="M772" s="22">
        <f t="shared" ref="M772" ca="1" si="2675">M771*$E771</f>
        <v>0</v>
      </c>
      <c r="N772" s="22">
        <f t="shared" ref="N772" ca="1" si="2676">N771*$E771</f>
        <v>0</v>
      </c>
      <c r="O772" s="22">
        <f t="shared" ref="O772" ca="1" si="2677">O771*$E771</f>
        <v>0</v>
      </c>
      <c r="P772" s="22">
        <f t="shared" ref="P772" ca="1" si="2678">P771*$E771</f>
        <v>0</v>
      </c>
      <c r="Q772" s="22">
        <f t="shared" ref="Q772" ca="1" si="2679">Q771*$E771</f>
        <v>0</v>
      </c>
      <c r="R772" s="22">
        <f t="shared" ref="R772" ca="1" si="2680">R771*$E771</f>
        <v>0</v>
      </c>
      <c r="S772" s="22">
        <f t="shared" ref="S772" ca="1" si="2681">S771*$E771</f>
        <v>0</v>
      </c>
      <c r="U772" s="17"/>
      <c r="V772" s="18"/>
      <c r="W772" s="19"/>
      <c r="X772" s="20"/>
    </row>
    <row r="773" spans="1:24">
      <c r="A773" s="200"/>
      <c r="B773" s="211"/>
      <c r="C773" s="200" t="s">
        <v>511</v>
      </c>
      <c r="D773" s="199" t="str">
        <f>VLOOKUP(C773,'仕掛品名寄（貼付）'!B:C,2,FALSE)</f>
        <v>その他</v>
      </c>
      <c r="E773" s="199">
        <f>VLOOKUP(D773,'仕掛品標準単価一覧表（貼付）'!B:G,6,FALSE)</f>
        <v>1080</v>
      </c>
      <c r="F773" s="12" t="s">
        <v>246</v>
      </c>
      <c r="G773" s="24">
        <v>0</v>
      </c>
      <c r="H773" s="13">
        <f ca="1">SUMIF('1.3②原材料使用'!B:E,C773,'1.3②原材料使用'!E:E)</f>
        <v>0</v>
      </c>
      <c r="I773" s="13">
        <f ca="1">SUMIF('2.10原液別作業時間'!A:B,C773,'2.10原液別作業時間'!B:B)</f>
        <v>0</v>
      </c>
      <c r="J773" s="13">
        <f ca="1">SUM(G773:H773,K773)</f>
        <v>0</v>
      </c>
      <c r="K773" s="13">
        <f ca="1">SUMIF('2.2⑤純増減→前工程費'!B:E,C773,'2.2⑤純増減→前工程費'!E:E)</f>
        <v>0</v>
      </c>
      <c r="L773" s="13">
        <f ca="1">SUMIF('2.6完成品'!C:D,C773,'2.6完成品'!D:D)</f>
        <v>0</v>
      </c>
      <c r="M773" s="13">
        <f ca="1">SUMIF('2.3研究費'!D:E,C773,'2.3研究費'!E:E)</f>
        <v>0</v>
      </c>
      <c r="N773" s="13">
        <f ca="1">SUMIF('2.4販促費'!D:E,C773,'2.4販促費'!E:E)</f>
        <v>0</v>
      </c>
      <c r="O773" s="13">
        <f ca="1">SUMIF('2.5廃棄処分'!D:E,C773,'2.5廃棄処分'!E:E)</f>
        <v>0</v>
      </c>
      <c r="P773" s="13">
        <f ca="1">SUMIF('2.1④異種原液'!D:E,C773,'2.1④異種原液'!E:E)</f>
        <v>0</v>
      </c>
      <c r="Q773" s="14">
        <f ca="1">SUMIF('2.7製造部生産分'!D:I,C773,'2.7製造部生産分'!H:H)</f>
        <v>0</v>
      </c>
      <c r="R773" s="15">
        <f ca="1">-(G773+H773+K773-L773-M773-N773-O773-P773-Q773-S773)</f>
        <v>0</v>
      </c>
      <c r="S773" s="13">
        <f ca="1">SUMIF('2.9原液在庫'!B:H,C773,'2.9原液在庫'!H:H)</f>
        <v>0</v>
      </c>
      <c r="T773" s="16">
        <f ca="1">IFERROR(SUM(G774:K774)/(G773+H773+K773),0)</f>
        <v>0</v>
      </c>
      <c r="U773" s="17" t="str">
        <f>C773</f>
        <v>WKA</v>
      </c>
      <c r="V773" s="18">
        <f ca="1">IF(ISERROR(SUM(G774:K774)/SUM(L773:Q773,S773)),0,SUM(G774:K774)/SUM(L773:Q773,S773))</f>
        <v>0</v>
      </c>
      <c r="W773" s="19">
        <f ca="1">V773</f>
        <v>0</v>
      </c>
      <c r="X773" s="20">
        <f ca="1">W773/1000</f>
        <v>0</v>
      </c>
    </row>
    <row r="774" spans="1:24">
      <c r="A774" s="201"/>
      <c r="B774" s="201"/>
      <c r="C774" s="201"/>
      <c r="D774" s="199"/>
      <c r="E774" s="199"/>
      <c r="F774" s="21" t="s">
        <v>247</v>
      </c>
      <c r="G774" s="22" t="s">
        <v>254</v>
      </c>
      <c r="H774" s="184"/>
      <c r="I774" s="23">
        <f ca="1">I773*労務費経費単価SC!D$7</f>
        <v>0</v>
      </c>
      <c r="J774" s="23">
        <f ca="1">J773*労務費経費単価SC!D$11</f>
        <v>0</v>
      </c>
      <c r="K774" s="22">
        <f ca="1">K773*$E773</f>
        <v>0</v>
      </c>
      <c r="L774" s="22">
        <f ca="1">L773*$E773</f>
        <v>0</v>
      </c>
      <c r="M774" s="22">
        <f t="shared" ref="M774" ca="1" si="2682">M773*$E773</f>
        <v>0</v>
      </c>
      <c r="N774" s="22">
        <f t="shared" ref="N774" ca="1" si="2683">N773*$E773</f>
        <v>0</v>
      </c>
      <c r="O774" s="22">
        <f t="shared" ref="O774" ca="1" si="2684">O773*$E773</f>
        <v>0</v>
      </c>
      <c r="P774" s="22">
        <f t="shared" ref="P774" ca="1" si="2685">P773*$E773</f>
        <v>0</v>
      </c>
      <c r="Q774" s="22">
        <f t="shared" ref="Q774" ca="1" si="2686">Q773*$E773</f>
        <v>0</v>
      </c>
      <c r="R774" s="22">
        <f t="shared" ref="R774" ca="1" si="2687">R773*$E773</f>
        <v>0</v>
      </c>
      <c r="S774" s="22">
        <f t="shared" ref="S774" ca="1" si="2688">S773*$E773</f>
        <v>0</v>
      </c>
      <c r="U774" s="17"/>
      <c r="V774" s="18"/>
      <c r="W774" s="19"/>
      <c r="X774" s="20"/>
    </row>
    <row r="775" spans="1:24">
      <c r="A775" s="200"/>
      <c r="B775" s="211"/>
      <c r="C775" s="200" t="s">
        <v>512</v>
      </c>
      <c r="D775" s="199" t="str">
        <f>VLOOKUP(C775,'仕掛品名寄（貼付）'!B:C,2,FALSE)</f>
        <v>その他</v>
      </c>
      <c r="E775" s="199">
        <f>VLOOKUP(D775,'仕掛品標準単価一覧表（貼付）'!B:G,6,FALSE)</f>
        <v>1080</v>
      </c>
      <c r="F775" s="12" t="s">
        <v>246</v>
      </c>
      <c r="G775" s="24">
        <v>0</v>
      </c>
      <c r="H775" s="13">
        <f ca="1">SUMIF('1.3②原材料使用'!B:E,C775,'1.3②原材料使用'!E:E)</f>
        <v>0</v>
      </c>
      <c r="I775" s="13">
        <f ca="1">SUMIF('2.10原液別作業時間'!A:B,C775,'2.10原液別作業時間'!B:B)</f>
        <v>0</v>
      </c>
      <c r="J775" s="13">
        <f ca="1">SUM(G775:H775,K775)</f>
        <v>0</v>
      </c>
      <c r="K775" s="13">
        <f ca="1">SUMIF('2.2⑤純増減→前工程費'!B:E,C775,'2.2⑤純増減→前工程費'!E:E)</f>
        <v>0</v>
      </c>
      <c r="L775" s="13">
        <f ca="1">SUMIF('2.6完成品'!C:D,C775,'2.6完成品'!D:D)</f>
        <v>0</v>
      </c>
      <c r="M775" s="13">
        <f ca="1">SUMIF('2.3研究費'!D:E,C775,'2.3研究費'!E:E)</f>
        <v>0</v>
      </c>
      <c r="N775" s="13">
        <f ca="1">SUMIF('2.4販促費'!D:E,C775,'2.4販促費'!E:E)</f>
        <v>0</v>
      </c>
      <c r="O775" s="13">
        <f ca="1">SUMIF('2.5廃棄処分'!D:E,C775,'2.5廃棄処分'!E:E)</f>
        <v>0</v>
      </c>
      <c r="P775" s="13">
        <f ca="1">SUMIF('2.1④異種原液'!D:E,C775,'2.1④異種原液'!E:E)</f>
        <v>0</v>
      </c>
      <c r="Q775" s="14">
        <f ca="1">SUMIF('2.7製造部生産分'!D:I,C775,'2.7製造部生産分'!H:H)</f>
        <v>0</v>
      </c>
      <c r="R775" s="15">
        <f ca="1">-(G775+H775+K775-L775-M775-N775-O775-P775-Q775-S775)</f>
        <v>0</v>
      </c>
      <c r="S775" s="13">
        <f ca="1">SUMIF('2.9原液在庫'!B:H,C775,'2.9原液在庫'!H:H)</f>
        <v>0</v>
      </c>
      <c r="T775" s="16">
        <f ca="1">IFERROR(SUM(G776:K776)/(G775+H775+K775),0)</f>
        <v>0</v>
      </c>
      <c r="U775" s="17" t="str">
        <f>C775</f>
        <v>WKN</v>
      </c>
      <c r="V775" s="18">
        <f ca="1">IF(ISERROR(SUM(G776:K776)/SUM(L775:Q775,S775)),0,SUM(G776:K776)/SUM(L775:Q775,S775))</f>
        <v>0</v>
      </c>
      <c r="W775" s="19">
        <f ca="1">V775</f>
        <v>0</v>
      </c>
      <c r="X775" s="20">
        <f ca="1">W775/1000</f>
        <v>0</v>
      </c>
    </row>
    <row r="776" spans="1:24">
      <c r="A776" s="201"/>
      <c r="B776" s="201"/>
      <c r="C776" s="201"/>
      <c r="D776" s="199"/>
      <c r="E776" s="199"/>
      <c r="F776" s="21" t="s">
        <v>247</v>
      </c>
      <c r="G776" s="22" t="s">
        <v>254</v>
      </c>
      <c r="H776" s="184"/>
      <c r="I776" s="23">
        <f ca="1">I775*労務費経費単価SC!D$7</f>
        <v>0</v>
      </c>
      <c r="J776" s="23">
        <f ca="1">J775*労務費経費単価SC!D$11</f>
        <v>0</v>
      </c>
      <c r="K776" s="22">
        <f ca="1">K775*$E775</f>
        <v>0</v>
      </c>
      <c r="L776" s="22">
        <f ca="1">L775*$E775</f>
        <v>0</v>
      </c>
      <c r="M776" s="22">
        <f t="shared" ref="M776" ca="1" si="2689">M775*$E775</f>
        <v>0</v>
      </c>
      <c r="N776" s="22">
        <f t="shared" ref="N776" ca="1" si="2690">N775*$E775</f>
        <v>0</v>
      </c>
      <c r="O776" s="22">
        <f t="shared" ref="O776" ca="1" si="2691">O775*$E775</f>
        <v>0</v>
      </c>
      <c r="P776" s="22">
        <f t="shared" ref="P776" ca="1" si="2692">P775*$E775</f>
        <v>0</v>
      </c>
      <c r="Q776" s="22">
        <f t="shared" ref="Q776" ca="1" si="2693">Q775*$E775</f>
        <v>0</v>
      </c>
      <c r="R776" s="22">
        <f t="shared" ref="R776" ca="1" si="2694">R775*$E775</f>
        <v>0</v>
      </c>
      <c r="S776" s="22">
        <f t="shared" ref="S776" ca="1" si="2695">S775*$E775</f>
        <v>0</v>
      </c>
      <c r="U776" s="17"/>
      <c r="V776" s="18"/>
      <c r="W776" s="19"/>
      <c r="X776" s="20"/>
    </row>
    <row r="777" spans="1:24">
      <c r="A777" s="25"/>
      <c r="B777" s="25"/>
      <c r="C777" s="200" t="s">
        <v>183</v>
      </c>
      <c r="D777" s="199" t="str">
        <f>VLOOKUP(C777,'仕掛品名寄（貼付）'!B:C,2,FALSE)</f>
        <v>XC</v>
      </c>
      <c r="E777" s="199">
        <f>VLOOKUP(D777,'仕掛品標準単価一覧表（貼付）'!B:G,6,FALSE)</f>
        <v>2414</v>
      </c>
      <c r="F777" s="12" t="s">
        <v>246</v>
      </c>
      <c r="G777" s="24">
        <v>1215</v>
      </c>
      <c r="H777" s="13">
        <f ca="1">SUMIF('1.3②原材料使用'!B:E,C777,'1.3②原材料使用'!E:E)</f>
        <v>73</v>
      </c>
      <c r="I777" s="13">
        <f ca="1">SUMIF('2.10原液別作業時間'!A:B,C777,'2.10原液別作業時間'!B:B)</f>
        <v>1090</v>
      </c>
      <c r="J777" s="13">
        <f ca="1">SUM(G777:H777,K777)</f>
        <v>4528</v>
      </c>
      <c r="K777" s="13">
        <f ca="1">SUMIF('2.2⑤純増減→前工程費'!B:E,C777,'2.2⑤純増減→前工程費'!E:E)</f>
        <v>3240</v>
      </c>
      <c r="L777" s="13">
        <f ca="1">SUMIF('2.6完成品'!C:D,C777,'2.6完成品'!D:D)</f>
        <v>1639.7</v>
      </c>
      <c r="M777" s="13">
        <f ca="1">SUMIF('2.3研究費'!D:E,C777,'2.3研究費'!E:E)</f>
        <v>0</v>
      </c>
      <c r="N777" s="13">
        <f ca="1">SUMIF('2.4販促費'!D:E,C777,'2.4販促費'!E:E)</f>
        <v>0</v>
      </c>
      <c r="O777" s="13">
        <f ca="1">SUMIF('2.5廃棄処分'!D:E,C777,'2.5廃棄処分'!E:E)</f>
        <v>0</v>
      </c>
      <c r="P777" s="13">
        <f ca="1">SUMIF('2.1④異種原液'!D:E,C777,'2.1④異種原液'!E:E)</f>
        <v>0</v>
      </c>
      <c r="Q777" s="14">
        <f ca="1">SUMIF('2.7製造部生産分'!D:I,C777,'2.7製造部生産分'!H:H)</f>
        <v>0</v>
      </c>
      <c r="R777" s="15">
        <f ca="1">-(G777+H777+K777-L777-M777-N777-O777-P777-Q777-S777)</f>
        <v>-69.800000000000182</v>
      </c>
      <c r="S777" s="13">
        <f ca="1">SUMIF('2.9原液在庫'!B:H,C777,'2.9原液在庫'!H:H)</f>
        <v>2818.5</v>
      </c>
      <c r="T777" s="16">
        <f ca="1">IFERROR(SUM(G778:K778)/(G777+H777+K777),0)</f>
        <v>2490.5036124396906</v>
      </c>
      <c r="U777" s="17" t="str">
        <f>C777</f>
        <v>XC</v>
      </c>
      <c r="V777" s="18">
        <f ca="1">IF(ISERROR(SUM(G778:K778)/SUM(L777:Q777,S777)),0,SUM(G778:K778)/SUM(L777:Q777,S777))</f>
        <v>2529.4962893380557</v>
      </c>
      <c r="W777" s="19">
        <f ca="1">V777</f>
        <v>2529.4962893380557</v>
      </c>
      <c r="X777" s="20">
        <f ca="1">W777/1000</f>
        <v>2.5294962893380557</v>
      </c>
    </row>
    <row r="778" spans="1:24">
      <c r="A778" s="25"/>
      <c r="B778" s="25"/>
      <c r="C778" s="201"/>
      <c r="D778" s="199"/>
      <c r="E778" s="199"/>
      <c r="F778" s="21" t="s">
        <v>247</v>
      </c>
      <c r="G778" s="22">
        <v>2818400.3571269196</v>
      </c>
      <c r="H778" s="184"/>
      <c r="I778" s="23">
        <f ca="1">I777*労務費経費単価SC!D$7</f>
        <v>501400</v>
      </c>
      <c r="J778" s="23">
        <f ca="1">J777*労務費経費単価SC!D$11</f>
        <v>135840</v>
      </c>
      <c r="K778" s="22">
        <f ca="1">K777*$E777</f>
        <v>7821360</v>
      </c>
      <c r="L778" s="22">
        <f ca="1">L777*$E777</f>
        <v>3958235.8000000003</v>
      </c>
      <c r="M778" s="22">
        <f t="shared" ref="M778" ca="1" si="2696">M777*$E777</f>
        <v>0</v>
      </c>
      <c r="N778" s="22">
        <f t="shared" ref="N778" ca="1" si="2697">N777*$E777</f>
        <v>0</v>
      </c>
      <c r="O778" s="22">
        <f t="shared" ref="O778" ca="1" si="2698">O777*$E777</f>
        <v>0</v>
      </c>
      <c r="P778" s="22">
        <f t="shared" ref="P778" ca="1" si="2699">P777*$E777</f>
        <v>0</v>
      </c>
      <c r="Q778" s="22">
        <f t="shared" ref="Q778" ca="1" si="2700">Q777*$E777</f>
        <v>0</v>
      </c>
      <c r="R778" s="22">
        <f t="shared" ref="R778" ca="1" si="2701">R777*$E777</f>
        <v>-168497.20000000045</v>
      </c>
      <c r="S778" s="22">
        <f t="shared" ref="S778" ca="1" si="2702">S777*$E777</f>
        <v>6803859</v>
      </c>
      <c r="U778" s="17"/>
      <c r="V778" s="18"/>
      <c r="W778" s="19"/>
      <c r="X778" s="20"/>
    </row>
    <row r="779" spans="1:24">
      <c r="A779" s="25"/>
      <c r="B779" s="25"/>
      <c r="C779" s="200" t="s">
        <v>143</v>
      </c>
      <c r="D779" s="199" t="str">
        <f>VLOOKUP(C779,'仕掛品名寄（貼付）'!B:C,2,FALSE)</f>
        <v>その他</v>
      </c>
      <c r="E779" s="199">
        <f>VLOOKUP(D779,'仕掛品標準単価一覧表（貼付）'!B:G,6,FALSE)</f>
        <v>1080</v>
      </c>
      <c r="F779" s="12" t="s">
        <v>246</v>
      </c>
      <c r="G779" s="24">
        <v>9507</v>
      </c>
      <c r="H779" s="13">
        <f ca="1">SUMIF('1.3②原材料使用'!B:E,C779,'1.3②原材料使用'!E:E)</f>
        <v>0</v>
      </c>
      <c r="I779" s="13">
        <f ca="1">SUMIF('2.10原液別作業時間'!A:B,C779,'2.10原液別作業時間'!B:B)</f>
        <v>0</v>
      </c>
      <c r="J779" s="13">
        <f ca="1">SUM(G779:H779,K779)</f>
        <v>9507</v>
      </c>
      <c r="K779" s="13">
        <f ca="1">SUMIF('2.2⑤純増減→前工程費'!B:E,C779,'2.2⑤純増減→前工程費'!E:E)</f>
        <v>0</v>
      </c>
      <c r="L779" s="13">
        <f ca="1">SUMIF('2.6完成品'!C:D,C779,'2.6完成品'!D:D)</f>
        <v>0</v>
      </c>
      <c r="M779" s="13">
        <f ca="1">SUMIF('2.3研究費'!D:E,C779,'2.3研究費'!E:E)</f>
        <v>0</v>
      </c>
      <c r="N779" s="13">
        <f ca="1">SUMIF('2.4販促費'!D:E,C779,'2.4販促費'!E:E)</f>
        <v>0</v>
      </c>
      <c r="O779" s="13">
        <f ca="1">SUMIF('2.5廃棄処分'!D:E,C779,'2.5廃棄処分'!E:E)</f>
        <v>0</v>
      </c>
      <c r="P779" s="13">
        <f ca="1">SUMIF('2.1④異種原液'!D:E,C779,'2.1④異種原液'!E:E)</f>
        <v>0</v>
      </c>
      <c r="Q779" s="14">
        <f ca="1">SUMIF('2.7製造部生産分'!D:I,C779,'2.7製造部生産分'!H:H)</f>
        <v>0</v>
      </c>
      <c r="R779" s="15">
        <f ca="1">-(G779+H779+K779-L779-M779-N779-O779-P779-Q779-S779)</f>
        <v>0</v>
      </c>
      <c r="S779" s="13">
        <f ca="1">SUMIF('2.9原液在庫'!B:H,C779,'2.9原液在庫'!H:H)</f>
        <v>9507</v>
      </c>
      <c r="T779" s="16">
        <f ca="1">IFERROR(SUM(G780:K780)/(G779+H779+K779),0)</f>
        <v>1346.7839614534348</v>
      </c>
      <c r="U779" s="17" t="str">
        <f>C779</f>
        <v>XM</v>
      </c>
      <c r="V779" s="18">
        <f ca="1">IF(ISERROR(SUM(G780:K780)/SUM(L779:Q779,S779)),0,SUM(G780:K780)/SUM(L779:Q779,S779))</f>
        <v>1346.7839614534348</v>
      </c>
      <c r="W779" s="19">
        <f ca="1">V779</f>
        <v>1346.7839614534348</v>
      </c>
      <c r="X779" s="20">
        <f ca="1">W779/1000</f>
        <v>1.3467839614534347</v>
      </c>
    </row>
    <row r="780" spans="1:24">
      <c r="A780" s="25"/>
      <c r="B780" s="25"/>
      <c r="C780" s="201"/>
      <c r="D780" s="199"/>
      <c r="E780" s="199"/>
      <c r="F780" s="21" t="s">
        <v>247</v>
      </c>
      <c r="G780" s="22">
        <v>12518665.121537805</v>
      </c>
      <c r="H780" s="184"/>
      <c r="I780" s="23">
        <f ca="1">I779*労務費経費単価SC!D$7</f>
        <v>0</v>
      </c>
      <c r="J780" s="23">
        <f ca="1">J779*労務費経費単価SC!D$11</f>
        <v>285210</v>
      </c>
      <c r="K780" s="22">
        <f ca="1">K779*$E779</f>
        <v>0</v>
      </c>
      <c r="L780" s="22">
        <f ca="1">L779*$E779</f>
        <v>0</v>
      </c>
      <c r="M780" s="22">
        <f t="shared" ref="M780" ca="1" si="2703">M779*$E779</f>
        <v>0</v>
      </c>
      <c r="N780" s="22">
        <f t="shared" ref="N780" ca="1" si="2704">N779*$E779</f>
        <v>0</v>
      </c>
      <c r="O780" s="22">
        <f t="shared" ref="O780" ca="1" si="2705">O779*$E779</f>
        <v>0</v>
      </c>
      <c r="P780" s="22">
        <f t="shared" ref="P780" ca="1" si="2706">P779*$E779</f>
        <v>0</v>
      </c>
      <c r="Q780" s="22">
        <f t="shared" ref="Q780" ca="1" si="2707">Q779*$E779</f>
        <v>0</v>
      </c>
      <c r="R780" s="22">
        <f t="shared" ref="R780" ca="1" si="2708">R779*$E779</f>
        <v>0</v>
      </c>
      <c r="S780" s="22">
        <f t="shared" ref="S780" ca="1" si="2709">S779*$E779</f>
        <v>10267560</v>
      </c>
      <c r="U780" s="17"/>
      <c r="V780" s="18"/>
      <c r="W780" s="19"/>
      <c r="X780" s="20"/>
    </row>
    <row r="781" spans="1:24">
      <c r="A781" s="200"/>
      <c r="B781" s="211"/>
      <c r="C781" s="200" t="s">
        <v>513</v>
      </c>
      <c r="D781" s="199" t="str">
        <f>VLOOKUP(C781,'仕掛品名寄（貼付）'!B:C,2,FALSE)</f>
        <v>その他</v>
      </c>
      <c r="E781" s="199">
        <f>VLOOKUP(D781,'仕掛品標準単価一覧表（貼付）'!B:G,6,FALSE)</f>
        <v>1080</v>
      </c>
      <c r="F781" s="12" t="s">
        <v>246</v>
      </c>
      <c r="G781" s="24">
        <v>42</v>
      </c>
      <c r="H781" s="13">
        <f ca="1">SUMIF('1.3②原材料使用'!B:E,C781,'1.3②原材料使用'!E:E)</f>
        <v>0</v>
      </c>
      <c r="I781" s="13">
        <f ca="1">SUMIF('2.10原液別作業時間'!A:B,C781,'2.10原液別作業時間'!B:B)</f>
        <v>0</v>
      </c>
      <c r="J781" s="13">
        <f ca="1">SUM(G781:H781,K781)</f>
        <v>42</v>
      </c>
      <c r="K781" s="13">
        <f ca="1">SUMIF('2.2⑤純増減→前工程費'!B:E,C781,'2.2⑤純増減→前工程費'!E:E)</f>
        <v>0</v>
      </c>
      <c r="L781" s="13">
        <f ca="1">SUMIF('2.6完成品'!C:D,C781,'2.6完成品'!D:D)</f>
        <v>27</v>
      </c>
      <c r="M781" s="13">
        <f ca="1">SUMIF('2.3研究費'!D:E,C781,'2.3研究費'!E:E)</f>
        <v>0.2</v>
      </c>
      <c r="N781" s="13">
        <f ca="1">SUMIF('2.4販促費'!D:E,C781,'2.4販促費'!E:E)</f>
        <v>0</v>
      </c>
      <c r="O781" s="13">
        <f ca="1">SUMIF('2.5廃棄処分'!D:E,C781,'2.5廃棄処分'!E:E)</f>
        <v>0</v>
      </c>
      <c r="P781" s="13">
        <f ca="1">SUMIF('2.1④異種原液'!D:E,C781,'2.1④異種原液'!E:E)</f>
        <v>0</v>
      </c>
      <c r="Q781" s="14">
        <f ca="1">SUMIF('2.7製造部生産分'!D:I,C781,'2.7製造部生産分'!H:H)</f>
        <v>0</v>
      </c>
      <c r="R781" s="15">
        <f ca="1">-(G781+H781+K781-L781-M781-N781-O781-P781-Q781-S781)</f>
        <v>-0.80000000000000071</v>
      </c>
      <c r="S781" s="13">
        <f ca="1">SUMIF('2.9原液在庫'!B:H,C781,'2.9原液在庫'!H:H)</f>
        <v>14</v>
      </c>
      <c r="T781" s="16">
        <f ca="1">IFERROR(SUM(G782:K782)/(G781+H781+K781),0)</f>
        <v>5349.2917904390151</v>
      </c>
      <c r="U781" s="17" t="str">
        <f>C781</f>
        <v>YC</v>
      </c>
      <c r="V781" s="18">
        <f ca="1">IF(ISERROR(SUM(G782:K782)/SUM(L781:Q781,S781)),0,SUM(G782:K782)/SUM(L781:Q781,S781))</f>
        <v>5453.1615339426853</v>
      </c>
      <c r="W781" s="19">
        <f ca="1">V781</f>
        <v>5453.1615339426853</v>
      </c>
      <c r="X781" s="20">
        <f ca="1">W781/1000</f>
        <v>5.4531615339426853</v>
      </c>
    </row>
    <row r="782" spans="1:24">
      <c r="A782" s="201"/>
      <c r="B782" s="201"/>
      <c r="C782" s="201"/>
      <c r="D782" s="199"/>
      <c r="E782" s="199"/>
      <c r="F782" s="21" t="s">
        <v>247</v>
      </c>
      <c r="G782" s="22">
        <v>223410.25519843865</v>
      </c>
      <c r="H782" s="184"/>
      <c r="I782" s="23">
        <f ca="1">I781*労務費経費単価SC!D$7</f>
        <v>0</v>
      </c>
      <c r="J782" s="23">
        <f ca="1">J781*労務費経費単価SC!D$11</f>
        <v>1260</v>
      </c>
      <c r="K782" s="22">
        <f ca="1">K781*$E781</f>
        <v>0</v>
      </c>
      <c r="L782" s="22">
        <f ca="1">L781*$E781</f>
        <v>29160</v>
      </c>
      <c r="M782" s="22">
        <f t="shared" ref="M782" ca="1" si="2710">M781*$E781</f>
        <v>216</v>
      </c>
      <c r="N782" s="22">
        <f t="shared" ref="N782" ca="1" si="2711">N781*$E781</f>
        <v>0</v>
      </c>
      <c r="O782" s="22">
        <f t="shared" ref="O782" ca="1" si="2712">O781*$E781</f>
        <v>0</v>
      </c>
      <c r="P782" s="22">
        <f t="shared" ref="P782" ca="1" si="2713">P781*$E781</f>
        <v>0</v>
      </c>
      <c r="Q782" s="22">
        <f t="shared" ref="Q782" ca="1" si="2714">Q781*$E781</f>
        <v>0</v>
      </c>
      <c r="R782" s="22">
        <f t="shared" ref="R782" ca="1" si="2715">R781*$E781</f>
        <v>-864.0000000000008</v>
      </c>
      <c r="S782" s="22">
        <f t="shared" ref="S782" ca="1" si="2716">S781*$E781</f>
        <v>15120</v>
      </c>
      <c r="U782" s="17"/>
      <c r="V782" s="18"/>
      <c r="W782" s="19"/>
      <c r="X782" s="20"/>
    </row>
    <row r="783" spans="1:24">
      <c r="A783" s="200"/>
      <c r="B783" s="211"/>
      <c r="C783" s="200" t="s">
        <v>514</v>
      </c>
      <c r="D783" s="199" t="str">
        <f>VLOOKUP(C783,'仕掛品名寄（貼付）'!B:C,2,FALSE)</f>
        <v>その他</v>
      </c>
      <c r="E783" s="199">
        <f>VLOOKUP(D783,'仕掛品標準単価一覧表（貼付）'!B:G,6,FALSE)</f>
        <v>1080</v>
      </c>
      <c r="F783" s="12" t="s">
        <v>246</v>
      </c>
      <c r="G783" s="24">
        <v>0</v>
      </c>
      <c r="H783" s="13">
        <f ca="1">SUMIF('1.3②原材料使用'!B:E,C783,'1.3②原材料使用'!E:E)</f>
        <v>0</v>
      </c>
      <c r="I783" s="13">
        <f ca="1">SUMIF('2.10原液別作業時間'!A:B,C783,'2.10原液別作業時間'!B:B)</f>
        <v>0</v>
      </c>
      <c r="J783" s="13">
        <f ca="1">SUM(G783:H783,K783)</f>
        <v>0</v>
      </c>
      <c r="K783" s="13">
        <f ca="1">SUMIF('2.2⑤純増減→前工程費'!B:E,C783,'2.2⑤純増減→前工程費'!E:E)</f>
        <v>0</v>
      </c>
      <c r="L783" s="13">
        <f ca="1">SUMIF('2.6完成品'!C:D,C783,'2.6完成品'!D:D)</f>
        <v>0</v>
      </c>
      <c r="M783" s="13">
        <f ca="1">SUMIF('2.3研究費'!D:E,C783,'2.3研究費'!E:E)</f>
        <v>0</v>
      </c>
      <c r="N783" s="13">
        <f ca="1">SUMIF('2.4販促費'!D:E,C783,'2.4販促費'!E:E)</f>
        <v>0</v>
      </c>
      <c r="O783" s="13">
        <f ca="1">SUMIF('2.5廃棄処分'!D:E,C783,'2.5廃棄処分'!E:E)</f>
        <v>0</v>
      </c>
      <c r="P783" s="13">
        <f ca="1">SUMIF('2.1④異種原液'!D:E,C783,'2.1④異種原液'!E:E)</f>
        <v>0</v>
      </c>
      <c r="Q783" s="14">
        <f ca="1">SUMIF('2.7製造部生産分'!D:I,C783,'2.7製造部生産分'!H:H)</f>
        <v>0</v>
      </c>
      <c r="R783" s="15">
        <f ca="1">-(G783+H783+K783-L783-M783-N783-O783-P783-Q783-S783)</f>
        <v>0</v>
      </c>
      <c r="S783" s="13">
        <f ca="1">SUMIF('2.9原液在庫'!B:H,C783,'2.9原液在庫'!H:H)</f>
        <v>0</v>
      </c>
      <c r="T783" s="16">
        <f ca="1">IFERROR(SUM(G784:K784)/(G783+H783+K783),0)</f>
        <v>0</v>
      </c>
      <c r="U783" s="17" t="str">
        <f>C783</f>
        <v>YK</v>
      </c>
      <c r="V783" s="18">
        <f ca="1">IF(ISERROR(SUM(G784:K784)/SUM(L783:Q783,S783)),0,SUM(G784:K784)/SUM(L783:Q783,S783))</f>
        <v>0</v>
      </c>
      <c r="W783" s="19">
        <f ca="1">V783</f>
        <v>0</v>
      </c>
      <c r="X783" s="20">
        <f ca="1">W783/1000</f>
        <v>0</v>
      </c>
    </row>
    <row r="784" spans="1:24">
      <c r="A784" s="201"/>
      <c r="B784" s="201"/>
      <c r="C784" s="201"/>
      <c r="D784" s="199"/>
      <c r="E784" s="199"/>
      <c r="F784" s="21" t="s">
        <v>247</v>
      </c>
      <c r="G784" s="22" t="s">
        <v>254</v>
      </c>
      <c r="H784" s="184"/>
      <c r="I784" s="23">
        <f ca="1">I783*労務費経費単価SC!D$7</f>
        <v>0</v>
      </c>
      <c r="J784" s="23">
        <f ca="1">J783*労務費経費単価SC!D$11</f>
        <v>0</v>
      </c>
      <c r="K784" s="22">
        <f ca="1">K783*$E783</f>
        <v>0</v>
      </c>
      <c r="L784" s="22">
        <f ca="1">L783*$E783</f>
        <v>0</v>
      </c>
      <c r="M784" s="22">
        <f t="shared" ref="M784" ca="1" si="2717">M783*$E783</f>
        <v>0</v>
      </c>
      <c r="N784" s="22">
        <f t="shared" ref="N784" ca="1" si="2718">N783*$E783</f>
        <v>0</v>
      </c>
      <c r="O784" s="22">
        <f t="shared" ref="O784" ca="1" si="2719">O783*$E783</f>
        <v>0</v>
      </c>
      <c r="P784" s="22">
        <f t="shared" ref="P784" ca="1" si="2720">P783*$E783</f>
        <v>0</v>
      </c>
      <c r="Q784" s="22">
        <f t="shared" ref="Q784" ca="1" si="2721">Q783*$E783</f>
        <v>0</v>
      </c>
      <c r="R784" s="22">
        <f t="shared" ref="R784" ca="1" si="2722">R783*$E783</f>
        <v>0</v>
      </c>
      <c r="S784" s="22">
        <f t="shared" ref="S784" ca="1" si="2723">S783*$E783</f>
        <v>0</v>
      </c>
      <c r="U784" s="17"/>
      <c r="V784" s="18"/>
      <c r="W784" s="19"/>
      <c r="X784" s="20"/>
    </row>
    <row r="785" spans="1:24">
      <c r="A785" s="200"/>
      <c r="B785" s="211"/>
      <c r="C785" s="200" t="s">
        <v>515</v>
      </c>
      <c r="D785" s="199" t="str">
        <f>VLOOKUP(C785,'仕掛品名寄（貼付）'!B:C,2,FALSE)</f>
        <v>その他</v>
      </c>
      <c r="E785" s="199">
        <f>VLOOKUP(D785,'仕掛品標準単価一覧表（貼付）'!B:G,6,FALSE)</f>
        <v>1080</v>
      </c>
      <c r="F785" s="12" t="s">
        <v>246</v>
      </c>
      <c r="G785" s="13">
        <v>291.5</v>
      </c>
      <c r="H785" s="13">
        <f ca="1">SUMIF('1.3②原材料使用'!B:E,C785,'1.3②原材料使用'!E:E)</f>
        <v>0</v>
      </c>
      <c r="I785" s="13">
        <f ca="1">SUMIF('2.10原液別作業時間'!A:B,C785,'2.10原液別作業時間'!B:B)</f>
        <v>0</v>
      </c>
      <c r="J785" s="13">
        <f ca="1">SUM(G785:H785,K785)</f>
        <v>291.5</v>
      </c>
      <c r="K785" s="13">
        <f ca="1">SUMIF('2.2⑤純増減→前工程費'!B:E,C785,'2.2⑤純増減→前工程費'!E:E)</f>
        <v>0</v>
      </c>
      <c r="L785" s="13">
        <f ca="1">SUMIF('2.6完成品'!C:D,C785,'2.6完成品'!D:D)</f>
        <v>146.19999999999999</v>
      </c>
      <c r="M785" s="13">
        <f ca="1">SUMIF('2.3研究費'!D:E,C785,'2.3研究費'!E:E)</f>
        <v>0</v>
      </c>
      <c r="N785" s="13">
        <f ca="1">SUMIF('2.4販促費'!D:E,C785,'2.4販促費'!E:E)</f>
        <v>0</v>
      </c>
      <c r="O785" s="13">
        <f ca="1">SUMIF('2.5廃棄処分'!D:E,C785,'2.5廃棄処分'!E:E)</f>
        <v>0</v>
      </c>
      <c r="P785" s="13">
        <f ca="1">SUMIF('2.1④異種原液'!D:E,C785,'2.1④異種原液'!E:E)</f>
        <v>0</v>
      </c>
      <c r="Q785" s="14">
        <f ca="1">SUMIF('2.7製造部生産分'!D:I,C785,'2.7製造部生産分'!H:H)</f>
        <v>0</v>
      </c>
      <c r="R785" s="15">
        <f ca="1">-(G785+H785+K785-L785-M785-N785-O785-P785-Q785-S785)</f>
        <v>-1.8000000000000114</v>
      </c>
      <c r="S785" s="13">
        <f ca="1">SUMIF('2.9原液在庫'!B:H,C785,'2.9原液在庫'!H:H)</f>
        <v>143.5</v>
      </c>
      <c r="T785" s="16">
        <f ca="1">IFERROR(SUM(G786:K786)/(G785+H785+K785),0)</f>
        <v>2194.156400708574</v>
      </c>
      <c r="U785" s="17" t="str">
        <f>C785</f>
        <v>ZA</v>
      </c>
      <c r="V785" s="18">
        <f ca="1">IF(ISERROR(SUM(G786:K786)/SUM(L785:Q785,S785)),0,SUM(G786:K786)/SUM(L785:Q785,S785))</f>
        <v>2207.7894056145988</v>
      </c>
      <c r="W785" s="19">
        <f ca="1">V785</f>
        <v>2207.7894056145988</v>
      </c>
      <c r="X785" s="20">
        <f ca="1">W785/1000</f>
        <v>2.2077894056145988</v>
      </c>
    </row>
    <row r="786" spans="1:24">
      <c r="A786" s="201"/>
      <c r="B786" s="201"/>
      <c r="C786" s="201"/>
      <c r="D786" s="199"/>
      <c r="E786" s="199"/>
      <c r="F786" s="21" t="s">
        <v>247</v>
      </c>
      <c r="G786" s="22">
        <v>630851.5908065493</v>
      </c>
      <c r="H786" s="184"/>
      <c r="I786" s="23">
        <f ca="1">I785*労務費経費単価SC!D$7</f>
        <v>0</v>
      </c>
      <c r="J786" s="23">
        <f ca="1">J785*労務費経費単価SC!D$11</f>
        <v>8745</v>
      </c>
      <c r="K786" s="22">
        <f ca="1">K785*$E785</f>
        <v>0</v>
      </c>
      <c r="L786" s="22">
        <f ca="1">L785*$E785</f>
        <v>157896</v>
      </c>
      <c r="M786" s="22">
        <f t="shared" ref="M786" ca="1" si="2724">M785*$E785</f>
        <v>0</v>
      </c>
      <c r="N786" s="22">
        <f t="shared" ref="N786" ca="1" si="2725">N785*$E785</f>
        <v>0</v>
      </c>
      <c r="O786" s="22">
        <f t="shared" ref="O786" ca="1" si="2726">O785*$E785</f>
        <v>0</v>
      </c>
      <c r="P786" s="22">
        <f t="shared" ref="P786" ca="1" si="2727">P785*$E785</f>
        <v>0</v>
      </c>
      <c r="Q786" s="22">
        <f t="shared" ref="Q786" ca="1" si="2728">Q785*$E785</f>
        <v>0</v>
      </c>
      <c r="R786" s="22">
        <f t="shared" ref="R786" ca="1" si="2729">R785*$E785</f>
        <v>-1944.0000000000123</v>
      </c>
      <c r="S786" s="22">
        <f t="shared" ref="S786" ca="1" si="2730">S785*$E785</f>
        <v>154980</v>
      </c>
      <c r="U786" s="17"/>
      <c r="V786" s="18"/>
      <c r="W786" s="19"/>
      <c r="X786" s="20"/>
    </row>
    <row r="787" spans="1:24">
      <c r="A787" s="200"/>
      <c r="B787" s="211"/>
      <c r="C787" s="200" t="s">
        <v>516</v>
      </c>
      <c r="D787" s="199" t="str">
        <f>VLOOKUP(C787,'仕掛品名寄（貼付）'!B:C,2,FALSE)</f>
        <v>その他</v>
      </c>
      <c r="E787" s="199">
        <f>VLOOKUP(D787,'仕掛品標準単価一覧表（貼付）'!B:G,6,FALSE)</f>
        <v>1080</v>
      </c>
      <c r="F787" s="12" t="s">
        <v>246</v>
      </c>
      <c r="G787" s="13">
        <v>0</v>
      </c>
      <c r="H787" s="13">
        <f ca="1">SUMIF('1.3②原材料使用'!B:E,C787,'1.3②原材料使用'!E:E)</f>
        <v>0</v>
      </c>
      <c r="I787" s="13">
        <f ca="1">SUMIF('2.10原液別作業時間'!A:B,C787,'2.10原液別作業時間'!B:B)</f>
        <v>0</v>
      </c>
      <c r="J787" s="13">
        <f ca="1">SUM(G787:H787,K787)</f>
        <v>0</v>
      </c>
      <c r="K787" s="13">
        <f ca="1">SUMIF('2.2⑤純増減→前工程費'!B:E,C787,'2.2⑤純増減→前工程費'!E:E)</f>
        <v>0</v>
      </c>
      <c r="L787" s="13">
        <f ca="1">SUMIF('2.6完成品'!C:D,C787,'2.6完成品'!D:D)</f>
        <v>0</v>
      </c>
      <c r="M787" s="13">
        <f ca="1">SUMIF('2.3研究費'!D:E,C787,'2.3研究費'!E:E)</f>
        <v>0</v>
      </c>
      <c r="N787" s="13">
        <f ca="1">SUMIF('2.4販促費'!D:E,C787,'2.4販促費'!E:E)</f>
        <v>0</v>
      </c>
      <c r="O787" s="13">
        <f ca="1">SUMIF('2.5廃棄処分'!D:E,C787,'2.5廃棄処分'!E:E)</f>
        <v>0</v>
      </c>
      <c r="P787" s="13">
        <f ca="1">SUMIF('2.1④異種原液'!D:E,C787,'2.1④異種原液'!E:E)</f>
        <v>0</v>
      </c>
      <c r="Q787" s="14">
        <f ca="1">SUMIF('2.7製造部生産分'!D:I,C787,'2.7製造部生産分'!H:H)</f>
        <v>0</v>
      </c>
      <c r="R787" s="15">
        <f ca="1">-(G787+H787+K787-L787-M787-N787-O787-P787-Q787-S787)</f>
        <v>0</v>
      </c>
      <c r="S787" s="13">
        <f ca="1">SUMIF('2.9原液在庫'!B:H,C787,'2.9原液在庫'!H:H)</f>
        <v>0</v>
      </c>
      <c r="T787" s="16">
        <f ca="1">IFERROR(SUM(G788:K788)/(G787+H787+K787),0)</f>
        <v>0</v>
      </c>
      <c r="U787" s="17" t="str">
        <f>C787</f>
        <v>ZAK</v>
      </c>
      <c r="V787" s="18">
        <f ca="1">IF(ISERROR(SUM(G788:K788)/SUM(L787:Q787,S787)),0,SUM(G788:K788)/SUM(L787:Q787,S787))</f>
        <v>0</v>
      </c>
      <c r="W787" s="19">
        <f ca="1">V787</f>
        <v>0</v>
      </c>
      <c r="X787" s="20">
        <f ca="1">W787/1000</f>
        <v>0</v>
      </c>
    </row>
    <row r="788" spans="1:24">
      <c r="A788" s="201"/>
      <c r="B788" s="201"/>
      <c r="C788" s="201"/>
      <c r="D788" s="199"/>
      <c r="E788" s="199"/>
      <c r="F788" s="21" t="s">
        <v>247</v>
      </c>
      <c r="G788" s="22" t="s">
        <v>254</v>
      </c>
      <c r="H788" s="184"/>
      <c r="I788" s="23">
        <f ca="1">I787*労務費経費単価SC!D$7</f>
        <v>0</v>
      </c>
      <c r="J788" s="23">
        <f ca="1">J787*労務費経費単価SC!D$11</f>
        <v>0</v>
      </c>
      <c r="K788" s="22">
        <f ca="1">K787*$E787</f>
        <v>0</v>
      </c>
      <c r="L788" s="22">
        <f ca="1">L787*$E787</f>
        <v>0</v>
      </c>
      <c r="M788" s="22">
        <f t="shared" ref="M788" ca="1" si="2731">M787*$E787</f>
        <v>0</v>
      </c>
      <c r="N788" s="22">
        <f t="shared" ref="N788" ca="1" si="2732">N787*$E787</f>
        <v>0</v>
      </c>
      <c r="O788" s="22">
        <f t="shared" ref="O788" ca="1" si="2733">O787*$E787</f>
        <v>0</v>
      </c>
      <c r="P788" s="22">
        <f t="shared" ref="P788" ca="1" si="2734">P787*$E787</f>
        <v>0</v>
      </c>
      <c r="Q788" s="22">
        <f t="shared" ref="Q788" ca="1" si="2735">Q787*$E787</f>
        <v>0</v>
      </c>
      <c r="R788" s="22">
        <f t="shared" ref="R788" ca="1" si="2736">R787*$E787</f>
        <v>0</v>
      </c>
      <c r="S788" s="22">
        <f t="shared" ref="S788" ca="1" si="2737">S787*$E787</f>
        <v>0</v>
      </c>
      <c r="U788" s="17"/>
      <c r="V788" s="18"/>
      <c r="W788" s="19"/>
      <c r="X788" s="20"/>
    </row>
    <row r="789" spans="1:24">
      <c r="A789" s="200"/>
      <c r="B789" s="211"/>
      <c r="C789" s="200" t="s">
        <v>517</v>
      </c>
      <c r="D789" s="199" t="str">
        <f>VLOOKUP(C789,'仕掛品名寄（貼付）'!B:C,2,FALSE)</f>
        <v>その他</v>
      </c>
      <c r="E789" s="199">
        <f>VLOOKUP(D789,'仕掛品標準単価一覧表（貼付）'!B:G,6,FALSE)</f>
        <v>1080</v>
      </c>
      <c r="F789" s="12" t="s">
        <v>246</v>
      </c>
      <c r="G789" s="13">
        <v>0</v>
      </c>
      <c r="H789" s="13">
        <f ca="1">SUMIF('1.3②原材料使用'!B:E,C789,'1.3②原材料使用'!E:E)</f>
        <v>0</v>
      </c>
      <c r="I789" s="13">
        <f ca="1">SUMIF('2.10原液別作業時間'!A:B,C789,'2.10原液別作業時間'!B:B)</f>
        <v>0</v>
      </c>
      <c r="J789" s="13">
        <f ca="1">SUM(G789:H789,K789)</f>
        <v>0</v>
      </c>
      <c r="K789" s="13">
        <f ca="1">SUMIF('2.2⑤純増減→前工程費'!B:E,C789,'2.2⑤純増減→前工程費'!E:E)</f>
        <v>0</v>
      </c>
      <c r="L789" s="13">
        <f ca="1">SUMIF('2.6完成品'!C:D,C789,'2.6完成品'!D:D)</f>
        <v>0</v>
      </c>
      <c r="M789" s="13">
        <f ca="1">SUMIF('2.3研究費'!D:E,C789,'2.3研究費'!E:E)</f>
        <v>0</v>
      </c>
      <c r="N789" s="13">
        <f ca="1">SUMIF('2.4販促費'!D:E,C789,'2.4販促費'!E:E)</f>
        <v>0</v>
      </c>
      <c r="O789" s="13">
        <f ca="1">SUMIF('2.5廃棄処分'!D:E,C789,'2.5廃棄処分'!E:E)</f>
        <v>0</v>
      </c>
      <c r="P789" s="13">
        <f ca="1">SUMIF('2.1④異種原液'!D:E,C789,'2.1④異種原液'!E:E)</f>
        <v>0</v>
      </c>
      <c r="Q789" s="14">
        <f ca="1">SUMIF('2.7製造部生産分'!D:I,C789,'2.7製造部生産分'!H:H)</f>
        <v>0</v>
      </c>
      <c r="R789" s="15">
        <f ca="1">-(G789+H789+K789-L789-M789-N789-O789-P789-Q789-S789)</f>
        <v>0</v>
      </c>
      <c r="S789" s="13">
        <f ca="1">SUMIF('2.9原液在庫'!B:H,C789,'2.9原液在庫'!H:H)</f>
        <v>0</v>
      </c>
      <c r="T789" s="16">
        <f ca="1">IFERROR(SUM(G790:K790)/(G789+H789+K789),0)</f>
        <v>0</v>
      </c>
      <c r="U789" s="17" t="str">
        <f>C789</f>
        <v>ZAKN</v>
      </c>
      <c r="V789" s="18">
        <f ca="1">IF(ISERROR(SUM(G790:K790)/SUM(L789:Q789,S789)),0,SUM(G790:K790)/SUM(L789:Q789,S789))</f>
        <v>0</v>
      </c>
      <c r="W789" s="19">
        <f ca="1">V789</f>
        <v>0</v>
      </c>
      <c r="X789" s="20">
        <f ca="1">W789/1000</f>
        <v>0</v>
      </c>
    </row>
    <row r="790" spans="1:24">
      <c r="A790" s="201"/>
      <c r="B790" s="201"/>
      <c r="C790" s="201"/>
      <c r="D790" s="199"/>
      <c r="E790" s="199"/>
      <c r="F790" s="21" t="s">
        <v>247</v>
      </c>
      <c r="G790" s="22" t="s">
        <v>254</v>
      </c>
      <c r="H790" s="184"/>
      <c r="I790" s="23">
        <f ca="1">I789*労務費経費単価SC!D$7</f>
        <v>0</v>
      </c>
      <c r="J790" s="23">
        <f ca="1">J789*労務費経費単価SC!D$11</f>
        <v>0</v>
      </c>
      <c r="K790" s="22">
        <f ca="1">K789*$E789</f>
        <v>0</v>
      </c>
      <c r="L790" s="22">
        <f ca="1">L789*$E789</f>
        <v>0</v>
      </c>
      <c r="M790" s="22">
        <f t="shared" ref="M790" ca="1" si="2738">M789*$E789</f>
        <v>0</v>
      </c>
      <c r="N790" s="22">
        <f t="shared" ref="N790" ca="1" si="2739">N789*$E789</f>
        <v>0</v>
      </c>
      <c r="O790" s="22">
        <f t="shared" ref="O790" ca="1" si="2740">O789*$E789</f>
        <v>0</v>
      </c>
      <c r="P790" s="22">
        <f t="shared" ref="P790" ca="1" si="2741">P789*$E789</f>
        <v>0</v>
      </c>
      <c r="Q790" s="22">
        <f t="shared" ref="Q790" ca="1" si="2742">Q789*$E789</f>
        <v>0</v>
      </c>
      <c r="R790" s="22">
        <f t="shared" ref="R790" ca="1" si="2743">R789*$E789</f>
        <v>0</v>
      </c>
      <c r="S790" s="22">
        <f t="shared" ref="S790" ca="1" si="2744">S789*$E789</f>
        <v>0</v>
      </c>
      <c r="U790" s="17"/>
      <c r="V790" s="18"/>
      <c r="W790" s="19"/>
      <c r="X790" s="20"/>
    </row>
    <row r="791" spans="1:24">
      <c r="A791" s="200"/>
      <c r="B791" s="211"/>
      <c r="C791" s="200" t="s">
        <v>518</v>
      </c>
      <c r="D791" s="199" t="str">
        <f>VLOOKUP(C791,'仕掛品名寄（貼付）'!B:C,2,FALSE)</f>
        <v>その他</v>
      </c>
      <c r="E791" s="199">
        <f>VLOOKUP(D791,'仕掛品標準単価一覧表（貼付）'!B:G,6,FALSE)</f>
        <v>1080</v>
      </c>
      <c r="F791" s="12" t="s">
        <v>246</v>
      </c>
      <c r="G791" s="13">
        <v>0</v>
      </c>
      <c r="H791" s="13">
        <f ca="1">SUMIF('1.3②原材料使用'!B:E,C791,'1.3②原材料使用'!E:E)</f>
        <v>0</v>
      </c>
      <c r="I791" s="13">
        <f ca="1">SUMIF('2.10原液別作業時間'!A:B,C791,'2.10原液別作業時間'!B:B)</f>
        <v>0</v>
      </c>
      <c r="J791" s="13">
        <f ca="1">SUM(G791:H791,K791)</f>
        <v>0</v>
      </c>
      <c r="K791" s="13">
        <f ca="1">SUMIF('2.2⑤純増減→前工程費'!B:E,C791,'2.2⑤純増減→前工程費'!E:E)</f>
        <v>0</v>
      </c>
      <c r="L791" s="13">
        <f ca="1">SUMIF('2.6完成品'!C:D,C791,'2.6完成品'!D:D)</f>
        <v>0</v>
      </c>
      <c r="M791" s="13">
        <f ca="1">SUMIF('2.3研究費'!D:E,C791,'2.3研究費'!E:E)</f>
        <v>0</v>
      </c>
      <c r="N791" s="13">
        <f ca="1">SUMIF('2.4販促費'!D:E,C791,'2.4販促費'!E:E)</f>
        <v>0</v>
      </c>
      <c r="O791" s="13">
        <f ca="1">SUMIF('2.5廃棄処分'!D:E,C791,'2.5廃棄処分'!E:E)</f>
        <v>0</v>
      </c>
      <c r="P791" s="13">
        <f ca="1">SUMIF('2.1④異種原液'!D:E,C791,'2.1④異種原液'!E:E)</f>
        <v>0</v>
      </c>
      <c r="Q791" s="14">
        <f ca="1">SUMIF('2.7製造部生産分'!D:I,C791,'2.7製造部生産分'!H:H)</f>
        <v>0</v>
      </c>
      <c r="R791" s="15">
        <f ca="1">-(G791+H791+K791-L791-M791-N791-O791-P791-Q791-S791)</f>
        <v>0</v>
      </c>
      <c r="S791" s="13">
        <f ca="1">SUMIF('2.9原液在庫'!B:H,C791,'2.9原液在庫'!H:H)</f>
        <v>0</v>
      </c>
      <c r="T791" s="16">
        <f ca="1">IFERROR(SUM(G792:K792)/(G791+H791+K791),0)</f>
        <v>0</v>
      </c>
      <c r="U791" s="17" t="str">
        <f>C791</f>
        <v>KOA</v>
      </c>
      <c r="V791" s="18">
        <f ca="1">IF(ISERROR(SUM(G792:K792)/SUM(L791:Q791,S791)),0,SUM(G792:K792)/SUM(L791:Q791,S791))</f>
        <v>0</v>
      </c>
      <c r="W791" s="19">
        <f ca="1">V791</f>
        <v>0</v>
      </c>
      <c r="X791" s="20">
        <f ca="1">W791/1000</f>
        <v>0</v>
      </c>
    </row>
    <row r="792" spans="1:24">
      <c r="A792" s="201"/>
      <c r="B792" s="201"/>
      <c r="C792" s="201"/>
      <c r="D792" s="199"/>
      <c r="E792" s="199"/>
      <c r="F792" s="21" t="s">
        <v>247</v>
      </c>
      <c r="G792" s="22" t="s">
        <v>254</v>
      </c>
      <c r="H792" s="184"/>
      <c r="I792" s="23">
        <f ca="1">I791*労務費経費単価SC!D$7</f>
        <v>0</v>
      </c>
      <c r="J792" s="23">
        <f ca="1">J791*労務費経費単価SC!D$11</f>
        <v>0</v>
      </c>
      <c r="K792" s="22">
        <f ca="1">K791*$E791</f>
        <v>0</v>
      </c>
      <c r="L792" s="22">
        <f ca="1">L791*$E791</f>
        <v>0</v>
      </c>
      <c r="M792" s="22">
        <f t="shared" ref="M792" ca="1" si="2745">M791*$E791</f>
        <v>0</v>
      </c>
      <c r="N792" s="22">
        <f t="shared" ref="N792" ca="1" si="2746">N791*$E791</f>
        <v>0</v>
      </c>
      <c r="O792" s="22">
        <f t="shared" ref="O792" ca="1" si="2747">O791*$E791</f>
        <v>0</v>
      </c>
      <c r="P792" s="22">
        <f t="shared" ref="P792" ca="1" si="2748">P791*$E791</f>
        <v>0</v>
      </c>
      <c r="Q792" s="22">
        <f t="shared" ref="Q792" ca="1" si="2749">Q791*$E791</f>
        <v>0</v>
      </c>
      <c r="R792" s="22">
        <f t="shared" ref="R792" ca="1" si="2750">R791*$E791</f>
        <v>0</v>
      </c>
      <c r="S792" s="22">
        <f t="shared" ref="S792" ca="1" si="2751">S791*$E791</f>
        <v>0</v>
      </c>
      <c r="U792" s="17"/>
      <c r="V792" s="18"/>
      <c r="W792" s="19"/>
      <c r="X792" s="20"/>
    </row>
    <row r="793" spans="1:24">
      <c r="A793" s="200"/>
      <c r="B793" s="211"/>
      <c r="C793" s="200" t="s">
        <v>179</v>
      </c>
      <c r="D793" s="199" t="str">
        <f>VLOOKUP(C793,'仕掛品名寄（貼付）'!B:C,2,FALSE)</f>
        <v>その他</v>
      </c>
      <c r="E793" s="199">
        <f>VLOOKUP(D793,'仕掛品標準単価一覧表（貼付）'!B:G,6,FALSE)</f>
        <v>1080</v>
      </c>
      <c r="F793" s="12" t="s">
        <v>246</v>
      </c>
      <c r="G793" s="13">
        <v>0</v>
      </c>
      <c r="H793" s="13">
        <f ca="1">SUMIF('1.3②原材料使用'!B:E,C793,'1.3②原材料使用'!E:E)</f>
        <v>0</v>
      </c>
      <c r="I793" s="13">
        <f ca="1">SUMIF('2.10原液別作業時間'!A:B,C793,'2.10原液別作業時間'!B:B)</f>
        <v>0</v>
      </c>
      <c r="J793" s="13">
        <f ca="1">SUM(G793:H793,K793)</f>
        <v>0</v>
      </c>
      <c r="K793" s="13">
        <f ca="1">SUMIF('2.2⑤純増減→前工程費'!B:E,C793,'2.2⑤純増減→前工程費'!E:E)</f>
        <v>0</v>
      </c>
      <c r="L793" s="13">
        <f ca="1">SUMIF('2.6完成品'!C:D,C793,'2.6完成品'!D:D)</f>
        <v>0</v>
      </c>
      <c r="M793" s="13">
        <f ca="1">SUMIF('2.3研究費'!D:E,C793,'2.3研究費'!E:E)</f>
        <v>0</v>
      </c>
      <c r="N793" s="13">
        <f ca="1">SUMIF('2.4販促費'!D:E,C793,'2.4販促費'!E:E)</f>
        <v>0</v>
      </c>
      <c r="O793" s="13">
        <f ca="1">SUMIF('2.5廃棄処分'!D:E,C793,'2.5廃棄処分'!E:E)</f>
        <v>0</v>
      </c>
      <c r="P793" s="13">
        <f ca="1">SUMIF('2.1④異種原液'!D:E,C793,'2.1④異種原液'!E:E)</f>
        <v>0</v>
      </c>
      <c r="Q793" s="14">
        <f ca="1">SUMIF('2.7製造部生産分'!D:I,C793,'2.7製造部生産分'!H:H)</f>
        <v>0</v>
      </c>
      <c r="R793" s="15">
        <f ca="1">-(G793+H793+K793-L793-M793-N793-O793-P793-Q793-S793)</f>
        <v>0</v>
      </c>
      <c r="S793" s="13">
        <f ca="1">SUMIF('2.9原液在庫'!B:H,C793,'2.9原液在庫'!H:H)</f>
        <v>0</v>
      </c>
      <c r="T793" s="16">
        <f ca="1">IFERROR(SUM(G794:K794)/(G793+H793+K793),0)</f>
        <v>0</v>
      </c>
      <c r="U793" s="17" t="str">
        <f>C793</f>
        <v>KOB</v>
      </c>
      <c r="V793" s="18">
        <f ca="1">IF(ISERROR(SUM(G794:K794)/SUM(L793:Q793,S793)),0,SUM(G794:K794)/SUM(L793:Q793,S793))</f>
        <v>0</v>
      </c>
      <c r="W793" s="19">
        <f ca="1">V793</f>
        <v>0</v>
      </c>
      <c r="X793" s="20">
        <f ca="1">W793/1000</f>
        <v>0</v>
      </c>
    </row>
    <row r="794" spans="1:24">
      <c r="A794" s="201"/>
      <c r="B794" s="201"/>
      <c r="C794" s="201"/>
      <c r="D794" s="199"/>
      <c r="E794" s="199"/>
      <c r="F794" s="21" t="s">
        <v>247</v>
      </c>
      <c r="G794" s="22" t="s">
        <v>254</v>
      </c>
      <c r="H794" s="184"/>
      <c r="I794" s="23">
        <f ca="1">I793*労務費経費単価SC!D$7</f>
        <v>0</v>
      </c>
      <c r="J794" s="23">
        <f ca="1">J793*労務費経費単価SC!D$11</f>
        <v>0</v>
      </c>
      <c r="K794" s="22">
        <f ca="1">K793*$E793</f>
        <v>0</v>
      </c>
      <c r="L794" s="22">
        <f ca="1">L793*$E793</f>
        <v>0</v>
      </c>
      <c r="M794" s="22">
        <f t="shared" ref="M794" ca="1" si="2752">M793*$E793</f>
        <v>0</v>
      </c>
      <c r="N794" s="22">
        <f t="shared" ref="N794" ca="1" si="2753">N793*$E793</f>
        <v>0</v>
      </c>
      <c r="O794" s="22">
        <f t="shared" ref="O794" ca="1" si="2754">O793*$E793</f>
        <v>0</v>
      </c>
      <c r="P794" s="22">
        <f t="shared" ref="P794" ca="1" si="2755">P793*$E793</f>
        <v>0</v>
      </c>
      <c r="Q794" s="22">
        <f t="shared" ref="Q794" ca="1" si="2756">Q793*$E793</f>
        <v>0</v>
      </c>
      <c r="R794" s="22">
        <f t="shared" ref="R794" ca="1" si="2757">R793*$E793</f>
        <v>0</v>
      </c>
      <c r="S794" s="22">
        <f t="shared" ref="S794" ca="1" si="2758">S793*$E793</f>
        <v>0</v>
      </c>
      <c r="U794" s="17"/>
      <c r="V794" s="18"/>
      <c r="W794" s="19"/>
      <c r="X794" s="20"/>
    </row>
    <row r="795" spans="1:24">
      <c r="A795" s="200"/>
      <c r="B795" s="211"/>
      <c r="C795" s="200" t="s">
        <v>519</v>
      </c>
      <c r="D795" s="199" t="str">
        <f>VLOOKUP(C795,'仕掛品名寄（貼付）'!B:C,2,FALSE)</f>
        <v>その他</v>
      </c>
      <c r="E795" s="199">
        <f>VLOOKUP(D795,'仕掛品標準単価一覧表（貼付）'!B:G,6,FALSE)</f>
        <v>1080</v>
      </c>
      <c r="F795" s="12" t="s">
        <v>246</v>
      </c>
      <c r="G795" s="13">
        <v>0</v>
      </c>
      <c r="H795" s="13">
        <f ca="1">SUMIF('1.3②原材料使用'!B:E,C795,'1.3②原材料使用'!E:E)</f>
        <v>0</v>
      </c>
      <c r="I795" s="13">
        <f ca="1">SUMIF('2.10原液別作業時間'!A:B,C795,'2.10原液別作業時間'!B:B)</f>
        <v>0</v>
      </c>
      <c r="J795" s="13">
        <f ca="1">SUM(G795:H795,K795)</f>
        <v>0</v>
      </c>
      <c r="K795" s="13">
        <f ca="1">SUMIF('2.2⑤純増減→前工程費'!B:E,C795,'2.2⑤純増減→前工程費'!E:E)</f>
        <v>0</v>
      </c>
      <c r="L795" s="13">
        <f ca="1">SUMIF('2.6完成品'!C:D,C795,'2.6完成品'!D:D)</f>
        <v>0</v>
      </c>
      <c r="M795" s="13">
        <f ca="1">SUMIF('2.3研究費'!D:E,C795,'2.3研究費'!E:E)</f>
        <v>0</v>
      </c>
      <c r="N795" s="13">
        <f ca="1">SUMIF('2.4販促費'!D:E,C795,'2.4販促費'!E:E)</f>
        <v>0</v>
      </c>
      <c r="O795" s="13">
        <f ca="1">SUMIF('2.5廃棄処分'!D:E,C795,'2.5廃棄処分'!E:E)</f>
        <v>0</v>
      </c>
      <c r="P795" s="13">
        <f ca="1">SUMIF('2.1④異種原液'!D:E,C795,'2.1④異種原液'!E:E)</f>
        <v>0</v>
      </c>
      <c r="Q795" s="14">
        <f ca="1">SUMIF('2.7製造部生産分'!D:I,C795,'2.7製造部生産分'!H:H)</f>
        <v>0</v>
      </c>
      <c r="R795" s="15">
        <f ca="1">-(G795+H795+K795-L795-M795-N795-O795-P795-Q795-S795)</f>
        <v>0</v>
      </c>
      <c r="S795" s="13">
        <f ca="1">SUMIF('2.9原液在庫'!B:H,C795,'2.9原液在庫'!H:H)</f>
        <v>0</v>
      </c>
      <c r="T795" s="16">
        <f ca="1">IFERROR(SUM(G796:K796)/(G795+H795+K795),0)</f>
        <v>0</v>
      </c>
      <c r="U795" s="17" t="str">
        <f>C795</f>
        <v>KOC</v>
      </c>
      <c r="V795" s="18">
        <f ca="1">IF(ISERROR(SUM(G796:K796)/SUM(L795:Q795,S795)),0,SUM(G796:K796)/SUM(L795:Q795,S795))</f>
        <v>0</v>
      </c>
      <c r="W795" s="19">
        <f ca="1">V795</f>
        <v>0</v>
      </c>
      <c r="X795" s="20">
        <f ca="1">W795/1000</f>
        <v>0</v>
      </c>
    </row>
    <row r="796" spans="1:24">
      <c r="A796" s="201"/>
      <c r="B796" s="201"/>
      <c r="C796" s="201"/>
      <c r="D796" s="199"/>
      <c r="E796" s="199"/>
      <c r="F796" s="21" t="s">
        <v>247</v>
      </c>
      <c r="G796" s="22" t="s">
        <v>254</v>
      </c>
      <c r="H796" s="184"/>
      <c r="I796" s="23">
        <f ca="1">I795*労務費経費単価SC!D$7</f>
        <v>0</v>
      </c>
      <c r="J796" s="23">
        <f ca="1">J795*労務費経費単価SC!D$11</f>
        <v>0</v>
      </c>
      <c r="K796" s="22">
        <f ca="1">K795*$E795</f>
        <v>0</v>
      </c>
      <c r="L796" s="22">
        <f ca="1">L795*$E795</f>
        <v>0</v>
      </c>
      <c r="M796" s="22">
        <f t="shared" ref="M796" ca="1" si="2759">M795*$E795</f>
        <v>0</v>
      </c>
      <c r="N796" s="22">
        <f t="shared" ref="N796" ca="1" si="2760">N795*$E795</f>
        <v>0</v>
      </c>
      <c r="O796" s="22">
        <f t="shared" ref="O796" ca="1" si="2761">O795*$E795</f>
        <v>0</v>
      </c>
      <c r="P796" s="22">
        <f t="shared" ref="P796" ca="1" si="2762">P795*$E795</f>
        <v>0</v>
      </c>
      <c r="Q796" s="22">
        <f t="shared" ref="Q796" ca="1" si="2763">Q795*$E795</f>
        <v>0</v>
      </c>
      <c r="R796" s="22">
        <f t="shared" ref="R796" ca="1" si="2764">R795*$E795</f>
        <v>0</v>
      </c>
      <c r="S796" s="22">
        <f t="shared" ref="S796" ca="1" si="2765">S795*$E795</f>
        <v>0</v>
      </c>
      <c r="U796" s="17"/>
      <c r="V796" s="18"/>
      <c r="W796" s="19"/>
      <c r="X796" s="20"/>
    </row>
    <row r="797" spans="1:24">
      <c r="A797" s="200"/>
      <c r="B797" s="211"/>
      <c r="C797" s="200" t="s">
        <v>520</v>
      </c>
      <c r="D797" s="199" t="str">
        <f>VLOOKUP(C797,'仕掛品名寄（貼付）'!B:C,2,FALSE)</f>
        <v>その他</v>
      </c>
      <c r="E797" s="199">
        <f>VLOOKUP(D797,'仕掛品標準単価一覧表（貼付）'!B:G,6,FALSE)</f>
        <v>1080</v>
      </c>
      <c r="F797" s="12" t="s">
        <v>246</v>
      </c>
      <c r="G797" s="13">
        <v>0</v>
      </c>
      <c r="H797" s="13">
        <f ca="1">SUMIF('1.3②原材料使用'!B:E,C797,'1.3②原材料使用'!E:E)</f>
        <v>0</v>
      </c>
      <c r="I797" s="13">
        <f ca="1">SUMIF('2.10原液別作業時間'!A:B,C797,'2.10原液別作業時間'!B:B)</f>
        <v>0</v>
      </c>
      <c r="J797" s="13">
        <f ca="1">SUM(G797:H797,K797)</f>
        <v>0</v>
      </c>
      <c r="K797" s="13">
        <f ca="1">SUMIF('2.2⑤純増減→前工程費'!B:E,C797,'2.2⑤純増減→前工程費'!E:E)</f>
        <v>0</v>
      </c>
      <c r="L797" s="13">
        <f ca="1">SUMIF('2.6完成品'!C:D,C797,'2.6完成品'!D:D)</f>
        <v>0</v>
      </c>
      <c r="M797" s="13">
        <f ca="1">SUMIF('2.3研究費'!D:E,C797,'2.3研究費'!E:E)</f>
        <v>0</v>
      </c>
      <c r="N797" s="13">
        <f ca="1">SUMIF('2.4販促費'!D:E,C797,'2.4販促費'!E:E)</f>
        <v>0</v>
      </c>
      <c r="O797" s="13">
        <f ca="1">SUMIF('2.5廃棄処分'!D:E,C797,'2.5廃棄処分'!E:E)</f>
        <v>0</v>
      </c>
      <c r="P797" s="13">
        <f ca="1">SUMIF('2.1④異種原液'!D:E,C797,'2.1④異種原液'!E:E)</f>
        <v>0</v>
      </c>
      <c r="Q797" s="14">
        <f ca="1">SUMIF('2.7製造部生産分'!D:I,C797,'2.7製造部生産分'!H:H)</f>
        <v>0</v>
      </c>
      <c r="R797" s="15">
        <f ca="1">-(G797+H797+K797-L797-M797-N797-O797-P797-Q797-S797)</f>
        <v>0</v>
      </c>
      <c r="S797" s="13">
        <f ca="1">SUMIF('2.9原液在庫'!B:H,C797,'2.9原液在庫'!H:H)</f>
        <v>0</v>
      </c>
      <c r="T797" s="16">
        <f ca="1">IFERROR(SUM(G798:K798)/(G797+H797+K797),0)</f>
        <v>0</v>
      </c>
      <c r="U797" s="17" t="str">
        <f>C797</f>
        <v>KN</v>
      </c>
      <c r="V797" s="18">
        <f ca="1">IF(ISERROR(SUM(G798:K798)/SUM(L797:Q797,S797)),0,SUM(G798:K798)/SUM(L797:Q797,S797))</f>
        <v>0</v>
      </c>
      <c r="W797" s="19">
        <f ca="1">V797</f>
        <v>0</v>
      </c>
      <c r="X797" s="20">
        <f ca="1">W797/1000</f>
        <v>0</v>
      </c>
    </row>
    <row r="798" spans="1:24">
      <c r="A798" s="201"/>
      <c r="B798" s="201"/>
      <c r="C798" s="201"/>
      <c r="D798" s="199"/>
      <c r="E798" s="199"/>
      <c r="F798" s="21" t="s">
        <v>247</v>
      </c>
      <c r="G798" s="22" t="s">
        <v>254</v>
      </c>
      <c r="H798" s="184"/>
      <c r="I798" s="23">
        <f ca="1">I797*労務費経費単価SC!D$7</f>
        <v>0</v>
      </c>
      <c r="J798" s="23">
        <f ca="1">J797*労務費経費単価SC!D$11</f>
        <v>0</v>
      </c>
      <c r="K798" s="22">
        <f ca="1">K797*$E797</f>
        <v>0</v>
      </c>
      <c r="L798" s="22">
        <f ca="1">L797*$E797</f>
        <v>0</v>
      </c>
      <c r="M798" s="22">
        <f t="shared" ref="M798" ca="1" si="2766">M797*$E797</f>
        <v>0</v>
      </c>
      <c r="N798" s="22">
        <f t="shared" ref="N798" ca="1" si="2767">N797*$E797</f>
        <v>0</v>
      </c>
      <c r="O798" s="22">
        <f t="shared" ref="O798" ca="1" si="2768">O797*$E797</f>
        <v>0</v>
      </c>
      <c r="P798" s="22">
        <f t="shared" ref="P798" ca="1" si="2769">P797*$E797</f>
        <v>0</v>
      </c>
      <c r="Q798" s="22">
        <f t="shared" ref="Q798" ca="1" si="2770">Q797*$E797</f>
        <v>0</v>
      </c>
      <c r="R798" s="22">
        <f t="shared" ref="R798" ca="1" si="2771">R797*$E797</f>
        <v>0</v>
      </c>
      <c r="S798" s="22">
        <f t="shared" ref="S798" ca="1" si="2772">S797*$E797</f>
        <v>0</v>
      </c>
      <c r="U798" s="17"/>
      <c r="V798" s="18"/>
      <c r="W798" s="19"/>
      <c r="X798" s="20"/>
    </row>
    <row r="799" spans="1:24">
      <c r="A799" s="200"/>
      <c r="B799" s="211"/>
      <c r="C799" s="200" t="s">
        <v>146</v>
      </c>
      <c r="D799" s="199" t="str">
        <f>VLOOKUP(C799,'仕掛品名寄（貼付）'!B:C,2,FALSE)</f>
        <v>その他</v>
      </c>
      <c r="E799" s="199">
        <f>VLOOKUP(D799,'仕掛品標準単価一覧表（貼付）'!B:G,6,FALSE)</f>
        <v>1080</v>
      </c>
      <c r="F799" s="12" t="s">
        <v>246</v>
      </c>
      <c r="G799" s="24">
        <v>0</v>
      </c>
      <c r="H799" s="13">
        <f ca="1">SUMIF('1.3②原材料使用'!B:E,C799,'1.3②原材料使用'!E:E)</f>
        <v>0</v>
      </c>
      <c r="I799" s="13">
        <f ca="1">SUMIF('2.10原液別作業時間'!A:B,C799,'2.10原液別作業時間'!B:B)</f>
        <v>0</v>
      </c>
      <c r="J799" s="13">
        <f ca="1">SUM(G799:H799,K799)</f>
        <v>0</v>
      </c>
      <c r="K799" s="13">
        <f ca="1">SUMIF('2.2⑤純増減→前工程費'!B:E,C799,'2.2⑤純増減→前工程費'!E:E)</f>
        <v>0</v>
      </c>
      <c r="L799" s="13">
        <f ca="1">SUMIF('2.6完成品'!C:D,C799,'2.6完成品'!D:D)</f>
        <v>0</v>
      </c>
      <c r="M799" s="13">
        <f ca="1">SUMIF('2.3研究費'!D:E,C799,'2.3研究費'!E:E)</f>
        <v>0</v>
      </c>
      <c r="N799" s="13">
        <f ca="1">SUMIF('2.4販促費'!D:E,C799,'2.4販促費'!E:E)</f>
        <v>0</v>
      </c>
      <c r="O799" s="13">
        <f ca="1">SUMIF('2.5廃棄処分'!D:E,C799,'2.5廃棄処分'!E:E)</f>
        <v>0</v>
      </c>
      <c r="P799" s="13">
        <f ca="1">SUMIF('2.1④異種原液'!D:E,C799,'2.1④異種原液'!E:E)</f>
        <v>0</v>
      </c>
      <c r="Q799" s="14">
        <f ca="1">SUMIF('2.7製造部生産分'!D:I,C799,'2.7製造部生産分'!H:H)</f>
        <v>0</v>
      </c>
      <c r="R799" s="15">
        <f ca="1">-(G799+H799+K799-L799-M799-N799-O799-P799-Q799-S799)</f>
        <v>0</v>
      </c>
      <c r="S799" s="13">
        <f ca="1">SUMIF('2.9原液在庫'!B:H,C799,'2.9原液在庫'!H:H)</f>
        <v>0</v>
      </c>
      <c r="T799" s="16">
        <f ca="1">IFERROR(SUM(G800:K800)/(G799+H799+K799),0)</f>
        <v>0</v>
      </c>
      <c r="U799" s="17" t="str">
        <f>C799</f>
        <v>KYA</v>
      </c>
      <c r="V799" s="18">
        <f ca="1">IF(ISERROR(SUM(G800:K800)/SUM(L799:Q799,S799)),0,SUM(G800:K800)/SUM(L799:Q799,S799))</f>
        <v>0</v>
      </c>
      <c r="W799" s="19">
        <f ca="1">V799</f>
        <v>0</v>
      </c>
      <c r="X799" s="20">
        <f ca="1">W799/1000</f>
        <v>0</v>
      </c>
    </row>
    <row r="800" spans="1:24">
      <c r="A800" s="201"/>
      <c r="B800" s="201"/>
      <c r="C800" s="201"/>
      <c r="D800" s="199"/>
      <c r="E800" s="199"/>
      <c r="F800" s="21" t="s">
        <v>247</v>
      </c>
      <c r="G800" s="22" t="s">
        <v>254</v>
      </c>
      <c r="H800" s="184"/>
      <c r="I800" s="23">
        <f ca="1">I799*労務費経費単価SC!D$7</f>
        <v>0</v>
      </c>
      <c r="J800" s="23">
        <f ca="1">J799*労務費経費単価SC!D$11</f>
        <v>0</v>
      </c>
      <c r="K800" s="22">
        <f ca="1">K799*$E799</f>
        <v>0</v>
      </c>
      <c r="L800" s="22">
        <f ca="1">L799*$E799</f>
        <v>0</v>
      </c>
      <c r="M800" s="22">
        <f t="shared" ref="M800" ca="1" si="2773">M799*$E799</f>
        <v>0</v>
      </c>
      <c r="N800" s="22">
        <f t="shared" ref="N800" ca="1" si="2774">N799*$E799</f>
        <v>0</v>
      </c>
      <c r="O800" s="22">
        <f t="shared" ref="O800" ca="1" si="2775">O799*$E799</f>
        <v>0</v>
      </c>
      <c r="P800" s="22">
        <f t="shared" ref="P800" ca="1" si="2776">P799*$E799</f>
        <v>0</v>
      </c>
      <c r="Q800" s="22">
        <f t="shared" ref="Q800" ca="1" si="2777">Q799*$E799</f>
        <v>0</v>
      </c>
      <c r="R800" s="22">
        <f t="shared" ref="R800" ca="1" si="2778">R799*$E799</f>
        <v>0</v>
      </c>
      <c r="S800" s="22">
        <f t="shared" ref="S800" ca="1" si="2779">S799*$E799</f>
        <v>0</v>
      </c>
      <c r="U800" s="17"/>
      <c r="V800" s="18"/>
      <c r="W800" s="19"/>
      <c r="X800" s="20"/>
    </row>
    <row r="801" spans="1:24">
      <c r="A801" s="200"/>
      <c r="B801" s="211"/>
      <c r="C801" s="200" t="s">
        <v>147</v>
      </c>
      <c r="D801" s="199" t="str">
        <f>VLOOKUP(C801,'仕掛品名寄（貼付）'!B:C,2,FALSE)</f>
        <v>その他</v>
      </c>
      <c r="E801" s="199">
        <f>VLOOKUP(D801,'仕掛品標準単価一覧表（貼付）'!B:G,6,FALSE)</f>
        <v>1080</v>
      </c>
      <c r="F801" s="12" t="s">
        <v>246</v>
      </c>
      <c r="G801" s="24">
        <v>0</v>
      </c>
      <c r="H801" s="13">
        <f ca="1">SUMIF('1.3②原材料使用'!B:E,C801,'1.3②原材料使用'!E:E)</f>
        <v>0</v>
      </c>
      <c r="I801" s="13">
        <f ca="1">SUMIF('2.10原液別作業時間'!A:B,C801,'2.10原液別作業時間'!B:B)</f>
        <v>0</v>
      </c>
      <c r="J801" s="13">
        <f ca="1">SUM(G801:H801,K801)</f>
        <v>0</v>
      </c>
      <c r="K801" s="13">
        <f ca="1">SUMIF('2.2⑤純増減→前工程費'!B:E,C801,'2.2⑤純増減→前工程費'!E:E)</f>
        <v>0</v>
      </c>
      <c r="L801" s="13">
        <f ca="1">SUMIF('2.6完成品'!C:D,C801,'2.6完成品'!D:D)</f>
        <v>0</v>
      </c>
      <c r="M801" s="13">
        <f ca="1">SUMIF('2.3研究費'!D:E,C801,'2.3研究費'!E:E)</f>
        <v>0</v>
      </c>
      <c r="N801" s="13">
        <f ca="1">SUMIF('2.4販促費'!D:E,C801,'2.4販促費'!E:E)</f>
        <v>0</v>
      </c>
      <c r="O801" s="13">
        <f ca="1">SUMIF('2.5廃棄処分'!D:E,C801,'2.5廃棄処分'!E:E)</f>
        <v>0</v>
      </c>
      <c r="P801" s="13">
        <f ca="1">SUMIF('2.1④異種原液'!D:E,C801,'2.1④異種原液'!E:E)</f>
        <v>0</v>
      </c>
      <c r="Q801" s="14">
        <f ca="1">SUMIF('2.7製造部生産分'!D:I,C801,'2.7製造部生産分'!H:H)</f>
        <v>0</v>
      </c>
      <c r="R801" s="15">
        <f ca="1">-(G801+H801+K801-L801-M801-N801-O801-P801-Q801-S801)</f>
        <v>0</v>
      </c>
      <c r="S801" s="13">
        <f ca="1">SUMIF('2.9原液在庫'!B:H,C801,'2.9原液在庫'!H:H)</f>
        <v>0</v>
      </c>
      <c r="T801" s="16">
        <f ca="1">IFERROR(SUM(G802:K802)/(G801+H801+K801),0)</f>
        <v>0</v>
      </c>
      <c r="U801" s="17" t="str">
        <f>C801</f>
        <v>KYB</v>
      </c>
      <c r="V801" s="18">
        <f ca="1">IF(ISERROR(SUM(G802:K802)/SUM(L801:Q801,S801)),0,SUM(G802:K802)/SUM(L801:Q801,S801))</f>
        <v>0</v>
      </c>
      <c r="W801" s="19">
        <f ca="1">V801</f>
        <v>0</v>
      </c>
      <c r="X801" s="20">
        <f ca="1">W801/1000</f>
        <v>0</v>
      </c>
    </row>
    <row r="802" spans="1:24">
      <c r="A802" s="201"/>
      <c r="B802" s="201"/>
      <c r="C802" s="201"/>
      <c r="D802" s="199"/>
      <c r="E802" s="199"/>
      <c r="F802" s="21" t="s">
        <v>247</v>
      </c>
      <c r="G802" s="22" t="s">
        <v>254</v>
      </c>
      <c r="H802" s="184"/>
      <c r="I802" s="23">
        <f ca="1">I801*労務費経費単価SC!D$7</f>
        <v>0</v>
      </c>
      <c r="J802" s="23">
        <f ca="1">J801*労務費経費単価SC!D$11</f>
        <v>0</v>
      </c>
      <c r="K802" s="22">
        <f ca="1">K801*$E801</f>
        <v>0</v>
      </c>
      <c r="L802" s="22">
        <f ca="1">L801*$E801</f>
        <v>0</v>
      </c>
      <c r="M802" s="22">
        <f t="shared" ref="M802" ca="1" si="2780">M801*$E801</f>
        <v>0</v>
      </c>
      <c r="N802" s="22">
        <f t="shared" ref="N802" ca="1" si="2781">N801*$E801</f>
        <v>0</v>
      </c>
      <c r="O802" s="22">
        <f t="shared" ref="O802" ca="1" si="2782">O801*$E801</f>
        <v>0</v>
      </c>
      <c r="P802" s="22">
        <f t="shared" ref="P802" ca="1" si="2783">P801*$E801</f>
        <v>0</v>
      </c>
      <c r="Q802" s="22">
        <f t="shared" ref="Q802" ca="1" si="2784">Q801*$E801</f>
        <v>0</v>
      </c>
      <c r="R802" s="22">
        <f t="shared" ref="R802" ca="1" si="2785">R801*$E801</f>
        <v>0</v>
      </c>
      <c r="S802" s="22">
        <f t="shared" ref="S802" ca="1" si="2786">S801*$E801</f>
        <v>0</v>
      </c>
      <c r="U802" s="17"/>
      <c r="V802" s="18"/>
      <c r="W802" s="19"/>
      <c r="X802" s="20"/>
    </row>
    <row r="803" spans="1:24">
      <c r="A803" s="200"/>
      <c r="B803" s="211"/>
      <c r="C803" s="200" t="s">
        <v>148</v>
      </c>
      <c r="D803" s="199" t="str">
        <f>VLOOKUP(C803,'仕掛品名寄（貼付）'!B:C,2,FALSE)</f>
        <v>その他</v>
      </c>
      <c r="E803" s="199">
        <f>VLOOKUP(D803,'仕掛品標準単価一覧表（貼付）'!B:G,6,FALSE)</f>
        <v>1080</v>
      </c>
      <c r="F803" s="12" t="s">
        <v>246</v>
      </c>
      <c r="G803" s="13">
        <v>0</v>
      </c>
      <c r="H803" s="13">
        <f ca="1">SUMIF('1.3②原材料使用'!B:E,C803,'1.3②原材料使用'!E:E)</f>
        <v>0</v>
      </c>
      <c r="I803" s="13">
        <f ca="1">SUMIF('2.10原液別作業時間'!A:B,C803,'2.10原液別作業時間'!B:B)</f>
        <v>0</v>
      </c>
      <c r="J803" s="13">
        <f ca="1">SUM(G803:H803,K803)</f>
        <v>0</v>
      </c>
      <c r="K803" s="13">
        <f ca="1">SUMIF('2.2⑤純増減→前工程費'!B:E,C803,'2.2⑤純増減→前工程費'!E:E)</f>
        <v>0</v>
      </c>
      <c r="L803" s="13">
        <f ca="1">SUMIF('2.6完成品'!C:D,C803,'2.6完成品'!D:D)</f>
        <v>0</v>
      </c>
      <c r="M803" s="13">
        <f ca="1">SUMIF('2.3研究費'!D:E,C803,'2.3研究費'!E:E)</f>
        <v>0</v>
      </c>
      <c r="N803" s="13">
        <f ca="1">SUMIF('2.4販促費'!D:E,C803,'2.4販促費'!E:E)</f>
        <v>0</v>
      </c>
      <c r="O803" s="13">
        <f ca="1">SUMIF('2.5廃棄処分'!D:E,C803,'2.5廃棄処分'!E:E)</f>
        <v>0</v>
      </c>
      <c r="P803" s="13">
        <f ca="1">SUMIF('2.1④異種原液'!D:E,C803,'2.1④異種原液'!E:E)</f>
        <v>0</v>
      </c>
      <c r="Q803" s="14">
        <f ca="1">SUMIF('2.7製造部生産分'!D:I,C803,'2.7製造部生産分'!H:H)</f>
        <v>0</v>
      </c>
      <c r="R803" s="15">
        <f ca="1">-(G803+H803+K803-L803-M803-N803-O803-P803-Q803-S803)</f>
        <v>0</v>
      </c>
      <c r="S803" s="13">
        <f ca="1">SUMIF('2.9原液在庫'!B:H,C803,'2.9原液在庫'!H:H)</f>
        <v>0</v>
      </c>
      <c r="T803" s="16">
        <f ca="1">IFERROR(SUM(G804:K804)/(G803+H803+K803),0)</f>
        <v>0</v>
      </c>
      <c r="U803" s="17" t="str">
        <f>C803</f>
        <v>KYC</v>
      </c>
      <c r="V803" s="18">
        <f ca="1">IF(ISERROR(SUM(G804:K804)/SUM(L803:Q803,S803)),0,SUM(G804:K804)/SUM(L803:Q803,S803))</f>
        <v>0</v>
      </c>
      <c r="W803" s="19">
        <f ca="1">V803</f>
        <v>0</v>
      </c>
      <c r="X803" s="20">
        <f ca="1">W803/1000</f>
        <v>0</v>
      </c>
    </row>
    <row r="804" spans="1:24">
      <c r="A804" s="201"/>
      <c r="B804" s="201"/>
      <c r="C804" s="201"/>
      <c r="D804" s="199"/>
      <c r="E804" s="199"/>
      <c r="F804" s="21" t="s">
        <v>247</v>
      </c>
      <c r="G804" s="22" t="s">
        <v>254</v>
      </c>
      <c r="H804" s="184"/>
      <c r="I804" s="23">
        <f ca="1">I803*労務費経費単価SC!D$7</f>
        <v>0</v>
      </c>
      <c r="J804" s="23">
        <f ca="1">J803*労務費経費単価SC!D$11</f>
        <v>0</v>
      </c>
      <c r="K804" s="22">
        <f ca="1">K803*$E803</f>
        <v>0</v>
      </c>
      <c r="L804" s="22">
        <f ca="1">L803*$E803</f>
        <v>0</v>
      </c>
      <c r="M804" s="22">
        <f t="shared" ref="M804" ca="1" si="2787">M803*$E803</f>
        <v>0</v>
      </c>
      <c r="N804" s="22">
        <f t="shared" ref="N804" ca="1" si="2788">N803*$E803</f>
        <v>0</v>
      </c>
      <c r="O804" s="22">
        <f t="shared" ref="O804" ca="1" si="2789">O803*$E803</f>
        <v>0</v>
      </c>
      <c r="P804" s="22">
        <f t="shared" ref="P804" ca="1" si="2790">P803*$E803</f>
        <v>0</v>
      </c>
      <c r="Q804" s="22">
        <f t="shared" ref="Q804" ca="1" si="2791">Q803*$E803</f>
        <v>0</v>
      </c>
      <c r="R804" s="22">
        <f t="shared" ref="R804" ca="1" si="2792">R803*$E803</f>
        <v>0</v>
      </c>
      <c r="S804" s="22">
        <f t="shared" ref="S804" ca="1" si="2793">S803*$E803</f>
        <v>0</v>
      </c>
      <c r="U804" s="17"/>
      <c r="V804" s="18"/>
      <c r="W804" s="19"/>
      <c r="X804" s="20"/>
    </row>
    <row r="805" spans="1:24">
      <c r="A805" s="200"/>
      <c r="B805" s="211"/>
      <c r="C805" s="200" t="s">
        <v>521</v>
      </c>
      <c r="D805" s="199" t="str">
        <f>VLOOKUP(C805,'仕掛品名寄（貼付）'!B:C,2,FALSE)</f>
        <v>その他</v>
      </c>
      <c r="E805" s="199">
        <f>VLOOKUP(D805,'仕掛品標準単価一覧表（貼付）'!B:G,6,FALSE)</f>
        <v>1080</v>
      </c>
      <c r="F805" s="12" t="s">
        <v>246</v>
      </c>
      <c r="G805" s="13">
        <v>0</v>
      </c>
      <c r="H805" s="13">
        <f ca="1">SUMIF('1.3②原材料使用'!B:E,C805,'1.3②原材料使用'!E:E)</f>
        <v>0</v>
      </c>
      <c r="I805" s="13">
        <f ca="1">SUMIF('2.10原液別作業時間'!A:B,C805,'2.10原液別作業時間'!B:B)</f>
        <v>0</v>
      </c>
      <c r="J805" s="13">
        <f ca="1">SUM(G805:H805,K805)</f>
        <v>0</v>
      </c>
      <c r="K805" s="13">
        <f ca="1">SUMIF('2.2⑤純増減→前工程費'!B:E,C805,'2.2⑤純増減→前工程費'!E:E)</f>
        <v>0</v>
      </c>
      <c r="L805" s="13">
        <f ca="1">SUMIF('2.6完成品'!C:D,C805,'2.6完成品'!D:D)</f>
        <v>0</v>
      </c>
      <c r="M805" s="13">
        <f ca="1">SUMIF('2.3研究費'!D:E,C805,'2.3研究費'!E:E)</f>
        <v>0</v>
      </c>
      <c r="N805" s="13">
        <f ca="1">SUMIF('2.4販促費'!D:E,C805,'2.4販促費'!E:E)</f>
        <v>0</v>
      </c>
      <c r="O805" s="13">
        <f ca="1">SUMIF('2.5廃棄処分'!D:E,C805,'2.5廃棄処分'!E:E)</f>
        <v>0</v>
      </c>
      <c r="P805" s="13">
        <f ca="1">SUMIF('2.1④異種原液'!D:E,C805,'2.1④異種原液'!E:E)</f>
        <v>0</v>
      </c>
      <c r="Q805" s="14">
        <f ca="1">SUMIF('2.7製造部生産分'!D:I,C805,'2.7製造部生産分'!H:H)</f>
        <v>0</v>
      </c>
      <c r="R805" s="15">
        <f ca="1">-(G805+H805+K805-L805-M805-N805-O805-P805-Q805-S805)</f>
        <v>0</v>
      </c>
      <c r="S805" s="13">
        <f ca="1">SUMIF('2.9原液在庫'!B:H,C805,'2.9原液在庫'!H:H)</f>
        <v>0</v>
      </c>
      <c r="T805" s="16">
        <f ca="1">IFERROR(SUM(G806:K806)/(G805+H805+K805),0)</f>
        <v>0</v>
      </c>
      <c r="U805" s="17" t="str">
        <f>C805</f>
        <v>XA</v>
      </c>
      <c r="V805" s="18">
        <f ca="1">IF(ISERROR(SUM(G806:K806)/SUM(L805:Q805,S805)),0,SUM(G806:K806)/SUM(L805:Q805,S805))</f>
        <v>0</v>
      </c>
      <c r="W805" s="19">
        <f ca="1">V805</f>
        <v>0</v>
      </c>
      <c r="X805" s="20">
        <f ca="1">W805/1000</f>
        <v>0</v>
      </c>
    </row>
    <row r="806" spans="1:24">
      <c r="A806" s="201"/>
      <c r="B806" s="201"/>
      <c r="C806" s="201"/>
      <c r="D806" s="199"/>
      <c r="E806" s="199"/>
      <c r="F806" s="21" t="s">
        <v>247</v>
      </c>
      <c r="G806" s="22" t="s">
        <v>254</v>
      </c>
      <c r="H806" s="184"/>
      <c r="I806" s="23">
        <f ca="1">I805*労務費経費単価SC!D$7</f>
        <v>0</v>
      </c>
      <c r="J806" s="23">
        <f ca="1">J805*労務費経費単価SC!D$11</f>
        <v>0</v>
      </c>
      <c r="K806" s="22">
        <f ca="1">K805*$E805</f>
        <v>0</v>
      </c>
      <c r="L806" s="22">
        <f ca="1">L805*$E805</f>
        <v>0</v>
      </c>
      <c r="M806" s="22">
        <f t="shared" ref="M806" ca="1" si="2794">M805*$E805</f>
        <v>0</v>
      </c>
      <c r="N806" s="22">
        <f t="shared" ref="N806" ca="1" si="2795">N805*$E805</f>
        <v>0</v>
      </c>
      <c r="O806" s="22">
        <f t="shared" ref="O806" ca="1" si="2796">O805*$E805</f>
        <v>0</v>
      </c>
      <c r="P806" s="22">
        <f t="shared" ref="P806" ca="1" si="2797">P805*$E805</f>
        <v>0</v>
      </c>
      <c r="Q806" s="22">
        <f t="shared" ref="Q806" ca="1" si="2798">Q805*$E805</f>
        <v>0</v>
      </c>
      <c r="R806" s="22">
        <f t="shared" ref="R806" ca="1" si="2799">R805*$E805</f>
        <v>0</v>
      </c>
      <c r="S806" s="22">
        <f t="shared" ref="S806" ca="1" si="2800">S805*$E805</f>
        <v>0</v>
      </c>
      <c r="U806" s="17"/>
      <c r="V806" s="18"/>
      <c r="W806" s="19"/>
      <c r="X806" s="20"/>
    </row>
    <row r="807" spans="1:24">
      <c r="A807" s="200"/>
      <c r="B807" s="211"/>
      <c r="C807" s="200" t="s">
        <v>182</v>
      </c>
      <c r="D807" s="199" t="str">
        <f>VLOOKUP(C807,'仕掛品名寄（貼付）'!B:C,2,FALSE)</f>
        <v>その他</v>
      </c>
      <c r="E807" s="199">
        <f>VLOOKUP(D807,'仕掛品標準単価一覧表（貼付）'!B:G,6,FALSE)</f>
        <v>1080</v>
      </c>
      <c r="F807" s="12" t="s">
        <v>246</v>
      </c>
      <c r="G807" s="24">
        <v>0</v>
      </c>
      <c r="H807" s="13">
        <f ca="1">SUMIF('1.3②原材料使用'!B:E,C807,'1.3②原材料使用'!E:E)</f>
        <v>0</v>
      </c>
      <c r="I807" s="13">
        <f ca="1">SUMIF('2.10原液別作業時間'!A:B,C807,'2.10原液別作業時間'!B:B)</f>
        <v>0</v>
      </c>
      <c r="J807" s="13">
        <f ca="1">SUM(G807:H807,K807)</f>
        <v>0</v>
      </c>
      <c r="K807" s="13">
        <f ca="1">SUMIF('2.2⑤純増減→前工程費'!B:E,C807,'2.2⑤純増減→前工程費'!E:E)</f>
        <v>0</v>
      </c>
      <c r="L807" s="13">
        <f ca="1">SUMIF('2.6完成品'!C:D,C807,'2.6完成品'!D:D)</f>
        <v>0</v>
      </c>
      <c r="M807" s="13">
        <f ca="1">SUMIF('2.3研究費'!D:E,C807,'2.3研究費'!E:E)</f>
        <v>0</v>
      </c>
      <c r="N807" s="13">
        <f ca="1">SUMIF('2.4販促費'!D:E,C807,'2.4販促費'!E:E)</f>
        <v>0</v>
      </c>
      <c r="O807" s="13">
        <f ca="1">SUMIF('2.5廃棄処分'!D:E,C807,'2.5廃棄処分'!E:E)</f>
        <v>0</v>
      </c>
      <c r="P807" s="13">
        <f ca="1">SUMIF('2.1④異種原液'!D:E,C807,'2.1④異種原液'!E:E)</f>
        <v>0</v>
      </c>
      <c r="Q807" s="14">
        <f ca="1">SUMIF('2.7製造部生産分'!D:I,C807,'2.7製造部生産分'!H:H)</f>
        <v>0</v>
      </c>
      <c r="R807" s="15">
        <f ca="1">-(G807+H807+K807-L807-M807-N807-O807-P807-Q807-S807)</f>
        <v>0</v>
      </c>
      <c r="S807" s="13">
        <f ca="1">SUMIF('2.9原液在庫'!B:H,C807,'2.9原液在庫'!H:H)</f>
        <v>0</v>
      </c>
      <c r="T807" s="16">
        <f ca="1">IFERROR(SUM(G808:K808)/(G807+H807+K807),0)</f>
        <v>0</v>
      </c>
      <c r="U807" s="17" t="str">
        <f>C807</f>
        <v>XB</v>
      </c>
      <c r="V807" s="18">
        <f ca="1">IF(ISERROR(SUM(G808:K808)/SUM(L807:Q807,S807)),0,SUM(G808:K808)/SUM(L807:Q807,S807))</f>
        <v>0</v>
      </c>
      <c r="W807" s="19">
        <f ca="1">V807</f>
        <v>0</v>
      </c>
      <c r="X807" s="20">
        <f ca="1">W807/1000</f>
        <v>0</v>
      </c>
    </row>
    <row r="808" spans="1:24">
      <c r="A808" s="201"/>
      <c r="B808" s="201"/>
      <c r="C808" s="201"/>
      <c r="D808" s="199"/>
      <c r="E808" s="199"/>
      <c r="F808" s="21" t="s">
        <v>247</v>
      </c>
      <c r="G808" s="22" t="s">
        <v>254</v>
      </c>
      <c r="H808" s="184"/>
      <c r="I808" s="23">
        <f ca="1">I807*労務費経費単価SC!D$7</f>
        <v>0</v>
      </c>
      <c r="J808" s="23">
        <f ca="1">J807*労務費経費単価SC!D$11</f>
        <v>0</v>
      </c>
      <c r="K808" s="22">
        <f ca="1">K807*$E807</f>
        <v>0</v>
      </c>
      <c r="L808" s="22">
        <f ca="1">L807*$E807</f>
        <v>0</v>
      </c>
      <c r="M808" s="22">
        <f t="shared" ref="M808" ca="1" si="2801">M807*$E807</f>
        <v>0</v>
      </c>
      <c r="N808" s="22">
        <f t="shared" ref="N808" ca="1" si="2802">N807*$E807</f>
        <v>0</v>
      </c>
      <c r="O808" s="22">
        <f t="shared" ref="O808" ca="1" si="2803">O807*$E807</f>
        <v>0</v>
      </c>
      <c r="P808" s="22">
        <f t="shared" ref="P808" ca="1" si="2804">P807*$E807</f>
        <v>0</v>
      </c>
      <c r="Q808" s="22">
        <f t="shared" ref="Q808" ca="1" si="2805">Q807*$E807</f>
        <v>0</v>
      </c>
      <c r="R808" s="22">
        <f t="shared" ref="R808" ca="1" si="2806">R807*$E807</f>
        <v>0</v>
      </c>
      <c r="S808" s="22">
        <f t="shared" ref="S808" ca="1" si="2807">S807*$E807</f>
        <v>0</v>
      </c>
      <c r="U808" s="17"/>
      <c r="V808" s="18"/>
      <c r="W808" s="19"/>
      <c r="X808" s="20"/>
    </row>
    <row r="809" spans="1:24">
      <c r="A809" s="200"/>
      <c r="B809" s="211"/>
      <c r="C809" s="200" t="s">
        <v>184</v>
      </c>
      <c r="D809" s="199" t="str">
        <f>VLOOKUP(C809,'仕掛品名寄（貼付）'!B:C,2,FALSE)</f>
        <v>その他</v>
      </c>
      <c r="E809" s="199">
        <f>VLOOKUP(D809,'仕掛品標準単価一覧表（貼付）'!B:G,6,FALSE)</f>
        <v>1080</v>
      </c>
      <c r="F809" s="12" t="s">
        <v>246</v>
      </c>
      <c r="G809" s="13">
        <v>0</v>
      </c>
      <c r="H809" s="13">
        <f ca="1">SUMIF('1.3②原材料使用'!B:E,C809,'1.3②原材料使用'!E:E)</f>
        <v>0</v>
      </c>
      <c r="I809" s="13">
        <f ca="1">SUMIF('2.10原液別作業時間'!A:B,C809,'2.10原液別作業時間'!B:B)</f>
        <v>0</v>
      </c>
      <c r="J809" s="13">
        <f ca="1">SUM(G809:H809,K809)</f>
        <v>0</v>
      </c>
      <c r="K809" s="13">
        <f ca="1">SUMIF('2.2⑤純増減→前工程費'!B:E,C809,'2.2⑤純増減→前工程費'!E:E)</f>
        <v>0</v>
      </c>
      <c r="L809" s="13">
        <f ca="1">SUMIF('2.6完成品'!C:D,C809,'2.6完成品'!D:D)</f>
        <v>0</v>
      </c>
      <c r="M809" s="13">
        <f ca="1">SUMIF('2.3研究費'!D:E,C809,'2.3研究費'!E:E)</f>
        <v>0</v>
      </c>
      <c r="N809" s="13">
        <f ca="1">SUMIF('2.4販促費'!D:E,C809,'2.4販促費'!E:E)</f>
        <v>0</v>
      </c>
      <c r="O809" s="13">
        <f ca="1">SUMIF('2.5廃棄処分'!D:E,C809,'2.5廃棄処分'!E:E)</f>
        <v>0</v>
      </c>
      <c r="P809" s="13">
        <f ca="1">SUMIF('2.1④異種原液'!D:E,C809,'2.1④異種原液'!E:E)</f>
        <v>0</v>
      </c>
      <c r="Q809" s="14">
        <f ca="1">SUMIF('2.7製造部生産分'!D:I,C809,'2.7製造部生産分'!H:H)</f>
        <v>0</v>
      </c>
      <c r="R809" s="15">
        <f ca="1">-(G809+H809+K809-L809-M809-N809-O809-P809-Q809-S809)</f>
        <v>0</v>
      </c>
      <c r="S809" s="13">
        <f ca="1">SUMIF('2.9原液在庫'!B:H,C809,'2.9原液在庫'!H:H)</f>
        <v>0</v>
      </c>
      <c r="T809" s="16">
        <f ca="1">IFERROR(SUM(G810:K810)/(G809+H809+K809),0)</f>
        <v>0</v>
      </c>
      <c r="U809" s="17" t="str">
        <f>C809</f>
        <v>KX</v>
      </c>
      <c r="V809" s="18">
        <f ca="1">IF(ISERROR(SUM(G810:K810)/SUM(L809:Q809,S809)),0,SUM(G810:K810)/SUM(L809:Q809,S809))</f>
        <v>0</v>
      </c>
      <c r="W809" s="19">
        <f ca="1">V809</f>
        <v>0</v>
      </c>
      <c r="X809" s="20">
        <f ca="1">W809/1000</f>
        <v>0</v>
      </c>
    </row>
    <row r="810" spans="1:24">
      <c r="A810" s="201"/>
      <c r="B810" s="201"/>
      <c r="C810" s="201"/>
      <c r="D810" s="199"/>
      <c r="E810" s="199"/>
      <c r="F810" s="21" t="s">
        <v>247</v>
      </c>
      <c r="G810" s="22" t="s">
        <v>254</v>
      </c>
      <c r="H810" s="184"/>
      <c r="I810" s="23">
        <f ca="1">I809*労務費経費単価SC!D$7</f>
        <v>0</v>
      </c>
      <c r="J810" s="23">
        <f ca="1">J809*労務費経費単価SC!D$11</f>
        <v>0</v>
      </c>
      <c r="K810" s="22">
        <f ca="1">K809*$E809</f>
        <v>0</v>
      </c>
      <c r="L810" s="22">
        <f ca="1">L809*$E809</f>
        <v>0</v>
      </c>
      <c r="M810" s="22">
        <f t="shared" ref="M810" ca="1" si="2808">M809*$E809</f>
        <v>0</v>
      </c>
      <c r="N810" s="22">
        <f t="shared" ref="N810" ca="1" si="2809">N809*$E809</f>
        <v>0</v>
      </c>
      <c r="O810" s="22">
        <f t="shared" ref="O810" ca="1" si="2810">O809*$E809</f>
        <v>0</v>
      </c>
      <c r="P810" s="22">
        <f t="shared" ref="P810" ca="1" si="2811">P809*$E809</f>
        <v>0</v>
      </c>
      <c r="Q810" s="22">
        <f t="shared" ref="Q810" ca="1" si="2812">Q809*$E809</f>
        <v>0</v>
      </c>
      <c r="R810" s="22">
        <f t="shared" ref="R810" ca="1" si="2813">R809*$E809</f>
        <v>0</v>
      </c>
      <c r="S810" s="22">
        <f t="shared" ref="S810" ca="1" si="2814">S809*$E809</f>
        <v>0</v>
      </c>
      <c r="U810" s="17"/>
      <c r="V810" s="18"/>
      <c r="W810" s="19"/>
      <c r="X810" s="20"/>
    </row>
    <row r="811" spans="1:24">
      <c r="A811" s="200"/>
      <c r="B811" s="211"/>
      <c r="C811" s="200" t="s">
        <v>185</v>
      </c>
      <c r="D811" s="199" t="str">
        <f>VLOOKUP(C811,'仕掛品名寄（貼付）'!B:C,2,FALSE)</f>
        <v>その他</v>
      </c>
      <c r="E811" s="199">
        <f>VLOOKUP(D811,'仕掛品標準単価一覧表（貼付）'!B:G,6,FALSE)</f>
        <v>1080</v>
      </c>
      <c r="F811" s="12" t="s">
        <v>246</v>
      </c>
      <c r="G811" s="13">
        <v>0</v>
      </c>
      <c r="H811" s="13">
        <f ca="1">SUMIF('1.3②原材料使用'!B:E,C811,'1.3②原材料使用'!E:E)</f>
        <v>0</v>
      </c>
      <c r="I811" s="13">
        <f ca="1">SUMIF('2.10原液別作業時間'!A:B,C811,'2.10原液別作業時間'!B:B)</f>
        <v>0</v>
      </c>
      <c r="J811" s="13">
        <f ca="1">SUM(G811:H811,K811)</f>
        <v>0</v>
      </c>
      <c r="K811" s="13">
        <f ca="1">SUMIF('2.2⑤純増減→前工程費'!B:E,C811,'2.2⑤純増減→前工程費'!E:E)</f>
        <v>0</v>
      </c>
      <c r="L811" s="13">
        <f ca="1">SUMIF('2.6完成品'!C:D,C811,'2.6完成品'!D:D)</f>
        <v>0</v>
      </c>
      <c r="M811" s="13">
        <f ca="1">SUMIF('2.3研究費'!D:E,C811,'2.3研究費'!E:E)</f>
        <v>0</v>
      </c>
      <c r="N811" s="13">
        <f ca="1">SUMIF('2.4販促費'!D:E,C811,'2.4販促費'!E:E)</f>
        <v>0</v>
      </c>
      <c r="O811" s="13">
        <f ca="1">SUMIF('2.5廃棄処分'!D:E,C811,'2.5廃棄処分'!E:E)</f>
        <v>0</v>
      </c>
      <c r="P811" s="13">
        <f ca="1">SUMIF('2.1④異種原液'!D:E,C811,'2.1④異種原液'!E:E)</f>
        <v>0</v>
      </c>
      <c r="Q811" s="14">
        <f ca="1">SUMIF('2.7製造部生産分'!D:I,C811,'2.7製造部生産分'!H:H)</f>
        <v>0</v>
      </c>
      <c r="R811" s="15">
        <f ca="1">-(G811+H811+K811-L811-M811-N811-O811-P811-Q811-S811)</f>
        <v>0</v>
      </c>
      <c r="S811" s="13">
        <f ca="1">SUMIF('2.9原液在庫'!B:H,C811,'2.9原液在庫'!H:H)</f>
        <v>0</v>
      </c>
      <c r="T811" s="16">
        <f ca="1">IFERROR(SUM(G812:K812)/(G811+H811+K811),0)</f>
        <v>0</v>
      </c>
      <c r="U811" s="17" t="str">
        <f>C811</f>
        <v>KK</v>
      </c>
      <c r="V811" s="18">
        <f ca="1">IF(ISERROR(SUM(G812:K812)/SUM(L811:Q811,S811)),0,SUM(G812:K812)/SUM(L811:Q811,S811))</f>
        <v>0</v>
      </c>
      <c r="W811" s="19">
        <f ca="1">V811</f>
        <v>0</v>
      </c>
      <c r="X811" s="20">
        <f ca="1">W811/1000</f>
        <v>0</v>
      </c>
    </row>
    <row r="812" spans="1:24">
      <c r="A812" s="201"/>
      <c r="B812" s="201"/>
      <c r="C812" s="201"/>
      <c r="D812" s="199"/>
      <c r="E812" s="199"/>
      <c r="F812" s="21" t="s">
        <v>247</v>
      </c>
      <c r="G812" s="22" t="s">
        <v>254</v>
      </c>
      <c r="H812" s="184"/>
      <c r="I812" s="23">
        <f ca="1">I811*労務費経費単価SC!D$7</f>
        <v>0</v>
      </c>
      <c r="J812" s="23">
        <f ca="1">J811*労務費経費単価SC!D$11</f>
        <v>0</v>
      </c>
      <c r="K812" s="22">
        <f ca="1">K811*$E811</f>
        <v>0</v>
      </c>
      <c r="L812" s="22">
        <f ca="1">L811*$E811</f>
        <v>0</v>
      </c>
      <c r="M812" s="22">
        <f t="shared" ref="M812" ca="1" si="2815">M811*$E811</f>
        <v>0</v>
      </c>
      <c r="N812" s="22">
        <f t="shared" ref="N812" ca="1" si="2816">N811*$E811</f>
        <v>0</v>
      </c>
      <c r="O812" s="22">
        <f t="shared" ref="O812" ca="1" si="2817">O811*$E811</f>
        <v>0</v>
      </c>
      <c r="P812" s="22">
        <f t="shared" ref="P812" ca="1" si="2818">P811*$E811</f>
        <v>0</v>
      </c>
      <c r="Q812" s="22">
        <f t="shared" ref="Q812" ca="1" si="2819">Q811*$E811</f>
        <v>0</v>
      </c>
      <c r="R812" s="22">
        <f t="shared" ref="R812" ca="1" si="2820">R811*$E811</f>
        <v>0</v>
      </c>
      <c r="S812" s="22">
        <f t="shared" ref="S812" ca="1" si="2821">S811*$E811</f>
        <v>0</v>
      </c>
      <c r="U812" s="17"/>
      <c r="V812" s="18"/>
      <c r="W812" s="19"/>
      <c r="X812" s="20"/>
    </row>
    <row r="813" spans="1:24">
      <c r="A813" s="200"/>
      <c r="B813" s="211"/>
      <c r="C813" s="200" t="s">
        <v>522</v>
      </c>
      <c r="D813" s="199" t="str">
        <f>VLOOKUP(C813,'仕掛品名寄（貼付）'!B:C,2,FALSE)</f>
        <v>その他</v>
      </c>
      <c r="E813" s="199">
        <f>VLOOKUP(D813,'仕掛品標準単価一覧表（貼付）'!B:G,6,FALSE)</f>
        <v>1080</v>
      </c>
      <c r="F813" s="12" t="s">
        <v>246</v>
      </c>
      <c r="G813" s="13">
        <v>0</v>
      </c>
      <c r="H813" s="13">
        <f ca="1">SUMIF('1.3②原材料使用'!B:E,C813,'1.3②原材料使用'!E:E)</f>
        <v>0</v>
      </c>
      <c r="I813" s="13">
        <f ca="1">SUMIF('2.10原液別作業時間'!A:B,C813,'2.10原液別作業時間'!B:B)</f>
        <v>0</v>
      </c>
      <c r="J813" s="13">
        <f ca="1">SUM(G813:H813,K813)</f>
        <v>0</v>
      </c>
      <c r="K813" s="13">
        <f ca="1">SUMIF('2.2⑤純増減→前工程費'!B:E,C813,'2.2⑤純増減→前工程費'!E:E)</f>
        <v>0</v>
      </c>
      <c r="L813" s="13">
        <f ca="1">SUMIF('2.6完成品'!C:D,C813,'2.6完成品'!D:D)</f>
        <v>0</v>
      </c>
      <c r="M813" s="13">
        <f ca="1">SUMIF('2.3研究費'!D:E,C813,'2.3研究費'!E:E)</f>
        <v>0</v>
      </c>
      <c r="N813" s="13">
        <f ca="1">SUMIF('2.4販促費'!D:E,C813,'2.4販促費'!E:E)</f>
        <v>0</v>
      </c>
      <c r="O813" s="13">
        <f ca="1">SUMIF('2.5廃棄処分'!D:E,C813,'2.5廃棄処分'!E:E)</f>
        <v>0</v>
      </c>
      <c r="P813" s="13">
        <f ca="1">SUMIF('2.1④異種原液'!D:E,C813,'2.1④異種原液'!E:E)</f>
        <v>0</v>
      </c>
      <c r="Q813" s="14">
        <f ca="1">SUMIF('2.7製造部生産分'!D:I,C813,'2.7製造部生産分'!H:H)</f>
        <v>0</v>
      </c>
      <c r="R813" s="15">
        <f ca="1">-(G813+H813+K813-L813-M813-N813-O813-P813-Q813-S813)</f>
        <v>0</v>
      </c>
      <c r="S813" s="13">
        <f ca="1">SUMIF('2.9原液在庫'!B:H,C813,'2.9原液在庫'!H:H)</f>
        <v>0</v>
      </c>
      <c r="T813" s="16">
        <f ca="1">IFERROR(SUM(G814:K814)/(G813+H813+K813),0)</f>
        <v>0</v>
      </c>
      <c r="U813" s="17" t="str">
        <f>C813</f>
        <v>L16B</v>
      </c>
      <c r="V813" s="18">
        <f ca="1">IF(ISERROR(SUM(G814:K814)/SUM(L813:Q813,S813)),0,SUM(G814:K814)/SUM(L813:Q813,S813))</f>
        <v>0</v>
      </c>
      <c r="W813" s="19">
        <f ca="1">V813</f>
        <v>0</v>
      </c>
      <c r="X813" s="20">
        <f ca="1">W813/1000</f>
        <v>0</v>
      </c>
    </row>
    <row r="814" spans="1:24">
      <c r="A814" s="201"/>
      <c r="B814" s="201"/>
      <c r="C814" s="201"/>
      <c r="D814" s="199"/>
      <c r="E814" s="199"/>
      <c r="F814" s="21" t="s">
        <v>247</v>
      </c>
      <c r="G814" s="22" t="s">
        <v>254</v>
      </c>
      <c r="H814" s="184"/>
      <c r="I814" s="23">
        <f ca="1">I813*労務費経費単価SC!D$7</f>
        <v>0</v>
      </c>
      <c r="J814" s="23">
        <f ca="1">J813*労務費経費単価SC!D$11</f>
        <v>0</v>
      </c>
      <c r="K814" s="22">
        <f ca="1">K813*$E813</f>
        <v>0</v>
      </c>
      <c r="L814" s="22">
        <f ca="1">L813*$E813</f>
        <v>0</v>
      </c>
      <c r="M814" s="22">
        <f t="shared" ref="M814" ca="1" si="2822">M813*$E813</f>
        <v>0</v>
      </c>
      <c r="N814" s="22">
        <f t="shared" ref="N814" ca="1" si="2823">N813*$E813</f>
        <v>0</v>
      </c>
      <c r="O814" s="22">
        <f t="shared" ref="O814" ca="1" si="2824">O813*$E813</f>
        <v>0</v>
      </c>
      <c r="P814" s="22">
        <f t="shared" ref="P814" ca="1" si="2825">P813*$E813</f>
        <v>0</v>
      </c>
      <c r="Q814" s="22">
        <f t="shared" ref="Q814" ca="1" si="2826">Q813*$E813</f>
        <v>0</v>
      </c>
      <c r="R814" s="22">
        <f t="shared" ref="R814" ca="1" si="2827">R813*$E813</f>
        <v>0</v>
      </c>
      <c r="S814" s="22">
        <f t="shared" ref="S814" ca="1" si="2828">S813*$E813</f>
        <v>0</v>
      </c>
      <c r="U814" s="17"/>
      <c r="V814" s="18"/>
      <c r="W814" s="19"/>
      <c r="X814" s="20"/>
    </row>
    <row r="815" spans="1:24">
      <c r="A815" s="200"/>
      <c r="B815" s="211"/>
      <c r="C815" s="200" t="s">
        <v>523</v>
      </c>
      <c r="D815" s="199" t="str">
        <f>VLOOKUP(C815,'仕掛品名寄（貼付）'!B:C,2,FALSE)</f>
        <v>その他</v>
      </c>
      <c r="E815" s="199">
        <f>VLOOKUP(D815,'仕掛品標準単価一覧表（貼付）'!B:G,6,FALSE)</f>
        <v>1080</v>
      </c>
      <c r="F815" s="12" t="s">
        <v>246</v>
      </c>
      <c r="G815" s="13">
        <v>0</v>
      </c>
      <c r="H815" s="13">
        <f ca="1">SUMIF('1.3②原材料使用'!B:E,C815,'1.3②原材料使用'!E:E)</f>
        <v>0</v>
      </c>
      <c r="I815" s="13">
        <f ca="1">SUMIF('2.10原液別作業時間'!A:B,C815,'2.10原液別作業時間'!B:B)</f>
        <v>0</v>
      </c>
      <c r="J815" s="13">
        <f ca="1">SUM(G815:H815,K815)</f>
        <v>0</v>
      </c>
      <c r="K815" s="13">
        <f ca="1">SUMIF('2.2⑤純増減→前工程費'!B:E,C815,'2.2⑤純増減→前工程費'!E:E)</f>
        <v>0</v>
      </c>
      <c r="L815" s="13">
        <f ca="1">SUMIF('2.6完成品'!C:D,C815,'2.6完成品'!D:D)</f>
        <v>0</v>
      </c>
      <c r="M815" s="13">
        <f ca="1">SUMIF('2.3研究費'!D:E,C815,'2.3研究費'!E:E)</f>
        <v>0</v>
      </c>
      <c r="N815" s="13">
        <f ca="1">SUMIF('2.4販促費'!D:E,C815,'2.4販促費'!E:E)</f>
        <v>0</v>
      </c>
      <c r="O815" s="13">
        <f ca="1">SUMIF('2.5廃棄処分'!D:E,C815,'2.5廃棄処分'!E:E)</f>
        <v>0</v>
      </c>
      <c r="P815" s="13">
        <f ca="1">SUMIF('2.1④異種原液'!D:E,C815,'2.1④異種原液'!E:E)</f>
        <v>0</v>
      </c>
      <c r="Q815" s="14">
        <f ca="1">SUMIF('2.7製造部生産分'!D:I,C815,'2.7製造部生産分'!H:H)</f>
        <v>0</v>
      </c>
      <c r="R815" s="15">
        <f ca="1">-(G815+H815+K815-L815-M815-N815-O815-P815-Q815-S815)</f>
        <v>0</v>
      </c>
      <c r="S815" s="13">
        <f ca="1">SUMIF('2.9原液在庫'!B:H,C815,'2.9原液在庫'!H:H)</f>
        <v>0</v>
      </c>
      <c r="T815" s="16">
        <f ca="1">IFERROR(SUM(G816:K816)/(G815+H815+K815),0)</f>
        <v>0</v>
      </c>
      <c r="U815" s="17" t="str">
        <f>C815</f>
        <v>L16BP</v>
      </c>
      <c r="V815" s="18">
        <f ca="1">IF(ISERROR(SUM(G816:K816)/SUM(L815:Q815,S815)),0,SUM(G816:K816)/SUM(L815:Q815,S815))</f>
        <v>0</v>
      </c>
      <c r="W815" s="19">
        <f ca="1">V815</f>
        <v>0</v>
      </c>
      <c r="X815" s="20">
        <f ca="1">W815/1000</f>
        <v>0</v>
      </c>
    </row>
    <row r="816" spans="1:24">
      <c r="A816" s="201"/>
      <c r="B816" s="201"/>
      <c r="C816" s="201"/>
      <c r="D816" s="199"/>
      <c r="E816" s="199"/>
      <c r="F816" s="21" t="s">
        <v>247</v>
      </c>
      <c r="G816" s="22" t="s">
        <v>254</v>
      </c>
      <c r="H816" s="184"/>
      <c r="I816" s="23">
        <f ca="1">I815*労務費経費単価SC!D$7</f>
        <v>0</v>
      </c>
      <c r="J816" s="23">
        <f ca="1">J815*労務費経費単価SC!D$11</f>
        <v>0</v>
      </c>
      <c r="K816" s="22">
        <f ca="1">K815*$E815</f>
        <v>0</v>
      </c>
      <c r="L816" s="22">
        <f ca="1">L815*$E815</f>
        <v>0</v>
      </c>
      <c r="M816" s="22">
        <f t="shared" ref="M816" ca="1" si="2829">M815*$E815</f>
        <v>0</v>
      </c>
      <c r="N816" s="22">
        <f t="shared" ref="N816" ca="1" si="2830">N815*$E815</f>
        <v>0</v>
      </c>
      <c r="O816" s="22">
        <f t="shared" ref="O816" ca="1" si="2831">O815*$E815</f>
        <v>0</v>
      </c>
      <c r="P816" s="22">
        <f t="shared" ref="P816" ca="1" si="2832">P815*$E815</f>
        <v>0</v>
      </c>
      <c r="Q816" s="22">
        <f t="shared" ref="Q816" ca="1" si="2833">Q815*$E815</f>
        <v>0</v>
      </c>
      <c r="R816" s="22">
        <f t="shared" ref="R816" ca="1" si="2834">R815*$E815</f>
        <v>0</v>
      </c>
      <c r="S816" s="22">
        <f t="shared" ref="S816" ca="1" si="2835">S815*$E815</f>
        <v>0</v>
      </c>
      <c r="U816" s="17"/>
      <c r="V816" s="18"/>
      <c r="W816" s="19"/>
      <c r="X816" s="20"/>
    </row>
    <row r="817" spans="1:25">
      <c r="A817" s="200"/>
      <c r="B817" s="211"/>
      <c r="C817" s="200" t="s">
        <v>524</v>
      </c>
      <c r="D817" s="199" t="str">
        <f>VLOOKUP(C817,'仕掛品名寄（貼付）'!B:C,2,FALSE)</f>
        <v>その他</v>
      </c>
      <c r="E817" s="199">
        <f>VLOOKUP(D817,'仕掛品標準単価一覧表（貼付）'!B:G,6,FALSE)</f>
        <v>1080</v>
      </c>
      <c r="F817" s="12" t="s">
        <v>246</v>
      </c>
      <c r="G817" s="13">
        <v>243</v>
      </c>
      <c r="H817" s="13">
        <f ca="1">SUMIF('1.3②原材料使用'!B:E,C817,'1.3②原材料使用'!E:E)</f>
        <v>0</v>
      </c>
      <c r="I817" s="13">
        <f ca="1">SUMIF('2.10原液別作業時間'!A:B,C817,'2.10原液別作業時間'!B:B)</f>
        <v>0</v>
      </c>
      <c r="J817" s="13">
        <f ca="1">SUM(G817:H817,K817)</f>
        <v>243</v>
      </c>
      <c r="K817" s="13">
        <f ca="1">SUMIF('2.2⑤純増減→前工程費'!B:E,C817,'2.2⑤純増減→前工程費'!E:E)</f>
        <v>0</v>
      </c>
      <c r="L817" s="13">
        <f ca="1">SUMIF('2.6完成品'!C:D,C817,'2.6完成品'!D:D)</f>
        <v>0</v>
      </c>
      <c r="M817" s="13">
        <f ca="1">SUMIF('2.3研究費'!D:E,C817,'2.3研究費'!E:E)</f>
        <v>0</v>
      </c>
      <c r="N817" s="13">
        <f ca="1">SUMIF('2.4販促費'!D:E,C817,'2.4販促費'!E:E)</f>
        <v>0</v>
      </c>
      <c r="O817" s="13">
        <f ca="1">SUMIF('2.5廃棄処分'!D:E,C817,'2.5廃棄処分'!E:E)</f>
        <v>0</v>
      </c>
      <c r="P817" s="13">
        <f ca="1">SUMIF('2.1④異種原液'!D:E,C817,'2.1④異種原液'!E:E)</f>
        <v>0</v>
      </c>
      <c r="Q817" s="14">
        <f ca="1">SUMIF('2.7製造部生産分'!D:I,C817,'2.7製造部生産分'!H:H)</f>
        <v>0</v>
      </c>
      <c r="R817" s="15">
        <f ca="1">-(G817+H817+K817-L817-M817-N817-O817-P817-Q817-S817)</f>
        <v>0</v>
      </c>
      <c r="S817" s="13">
        <f ca="1">SUMIF('2.9原液在庫'!B:H,C817,'2.9原液在庫'!H:H)</f>
        <v>243</v>
      </c>
      <c r="T817" s="16">
        <f ca="1">IFERROR(SUM(G818:K818)/(G817+H817+K817),0)</f>
        <v>1080.6869413680095</v>
      </c>
      <c r="U817" s="17" t="str">
        <f>C817</f>
        <v>L17P</v>
      </c>
      <c r="V817" s="18">
        <f ca="1">IF(ISERROR(SUM(G818:K818)/SUM(L817:Q817,S817)),0,SUM(G818:K818)/SUM(L817:Q817,S817))</f>
        <v>1080.6869413680095</v>
      </c>
      <c r="W817" s="19">
        <f ca="1">V817</f>
        <v>1080.6869413680095</v>
      </c>
      <c r="X817" s="20">
        <f ca="1">W817/1000</f>
        <v>1.0806869413680094</v>
      </c>
    </row>
    <row r="818" spans="1:25">
      <c r="A818" s="201"/>
      <c r="B818" s="201"/>
      <c r="C818" s="201"/>
      <c r="D818" s="199"/>
      <c r="E818" s="199"/>
      <c r="F818" s="21" t="s">
        <v>247</v>
      </c>
      <c r="G818" s="22">
        <v>255316.92675242628</v>
      </c>
      <c r="H818" s="184"/>
      <c r="I818" s="23">
        <f ca="1">I817*労務費経費単価SC!D$7</f>
        <v>0</v>
      </c>
      <c r="J818" s="23">
        <f ca="1">J817*労務費経費単価SC!D$11</f>
        <v>7290</v>
      </c>
      <c r="K818" s="22">
        <f ca="1">K817*$E817</f>
        <v>0</v>
      </c>
      <c r="L818" s="22">
        <f ca="1">L817*$E817</f>
        <v>0</v>
      </c>
      <c r="M818" s="22">
        <f t="shared" ref="M818" ca="1" si="2836">M817*$E817</f>
        <v>0</v>
      </c>
      <c r="N818" s="22">
        <f t="shared" ref="N818" ca="1" si="2837">N817*$E817</f>
        <v>0</v>
      </c>
      <c r="O818" s="22">
        <f t="shared" ref="O818" ca="1" si="2838">O817*$E817</f>
        <v>0</v>
      </c>
      <c r="P818" s="22">
        <f t="shared" ref="P818" ca="1" si="2839">P817*$E817</f>
        <v>0</v>
      </c>
      <c r="Q818" s="22">
        <f t="shared" ref="Q818" ca="1" si="2840">Q817*$E817</f>
        <v>0</v>
      </c>
      <c r="R818" s="22">
        <f t="shared" ref="R818" ca="1" si="2841">R817*$E817</f>
        <v>0</v>
      </c>
      <c r="S818" s="22">
        <f t="shared" ref="S818" ca="1" si="2842">S817*$E817</f>
        <v>262440</v>
      </c>
      <c r="U818" s="17"/>
      <c r="V818" s="18"/>
      <c r="W818" s="19"/>
      <c r="X818" s="20"/>
    </row>
    <row r="819" spans="1:25">
      <c r="A819" s="200"/>
      <c r="B819" s="211"/>
      <c r="C819" s="200" t="s">
        <v>186</v>
      </c>
      <c r="D819" s="199" t="str">
        <f>VLOOKUP(C819,'仕掛品名寄（貼付）'!B:C,2,FALSE)</f>
        <v>その他</v>
      </c>
      <c r="E819" s="199">
        <f>VLOOKUP(D819,'仕掛品標準単価一覧表（貼付）'!B:G,6,FALSE)</f>
        <v>1080</v>
      </c>
      <c r="F819" s="12" t="s">
        <v>246</v>
      </c>
      <c r="G819" s="13">
        <v>2122</v>
      </c>
      <c r="H819" s="13">
        <f ca="1">SUMIF('1.3②原材料使用'!B:E,C819,'1.3②原材料使用'!E:E)</f>
        <v>0</v>
      </c>
      <c r="I819" s="13">
        <f ca="1">SUMIF('2.10原液別作業時間'!A:B,C819,'2.10原液別作業時間'!B:B)</f>
        <v>0</v>
      </c>
      <c r="J819" s="13">
        <f ca="1">SUM(G819:H819,K819)</f>
        <v>2122</v>
      </c>
      <c r="K819" s="13">
        <f ca="1">SUMIF('2.2⑤純増減→前工程費'!B:E,C819,'2.2⑤純増減→前工程費'!E:E)</f>
        <v>0</v>
      </c>
      <c r="L819" s="13">
        <f ca="1">SUMIF('2.6完成品'!C:D,C819,'2.6完成品'!D:D)</f>
        <v>0</v>
      </c>
      <c r="M819" s="13">
        <f ca="1">SUMIF('2.3研究費'!D:E,C819,'2.3研究費'!E:E)</f>
        <v>0</v>
      </c>
      <c r="N819" s="13">
        <f ca="1">SUMIF('2.4販促費'!D:E,C819,'2.4販促費'!E:E)</f>
        <v>0</v>
      </c>
      <c r="O819" s="13">
        <f ca="1">SUMIF('2.5廃棄処分'!D:E,C819,'2.5廃棄処分'!E:E)</f>
        <v>0</v>
      </c>
      <c r="P819" s="13">
        <f ca="1">SUMIF('2.1④異種原液'!D:E,C819,'2.1④異種原液'!E:E)</f>
        <v>202</v>
      </c>
      <c r="Q819" s="14">
        <f ca="1">SUMIF('2.7製造部生産分'!D:I,C819,'2.7製造部生産分'!H:H)</f>
        <v>0</v>
      </c>
      <c r="R819" s="15">
        <f ca="1">-(G819+H819+K819-L819-M819-N819-O819-P819-Q819-S819)</f>
        <v>-2</v>
      </c>
      <c r="S819" s="13">
        <f ca="1">SUMIF('2.9原液在庫'!B:H,C819,'2.9原液在庫'!H:H)</f>
        <v>1918</v>
      </c>
      <c r="T819" s="16">
        <f ca="1">IFERROR(SUM(G820:K820)/(G819+H819+K819),0)</f>
        <v>1975.9026649499806</v>
      </c>
      <c r="U819" s="17" t="str">
        <f>C819</f>
        <v>LBA</v>
      </c>
      <c r="V819" s="18">
        <f ca="1">IF(ISERROR(SUM(G820:K820)/SUM(L819:Q819,S819)),0,SUM(G820:K820)/SUM(L819:Q819,S819))</f>
        <v>1977.7667240678579</v>
      </c>
      <c r="W819" s="19">
        <f ca="1">V819</f>
        <v>1977.7667240678579</v>
      </c>
      <c r="X819" s="20">
        <f ca="1">W819/1000</f>
        <v>1.977766724067858</v>
      </c>
    </row>
    <row r="820" spans="1:25">
      <c r="A820" s="201"/>
      <c r="B820" s="201"/>
      <c r="C820" s="201"/>
      <c r="D820" s="199"/>
      <c r="E820" s="199"/>
      <c r="F820" s="21" t="s">
        <v>247</v>
      </c>
      <c r="G820" s="22">
        <v>4129205.4550238587</v>
      </c>
      <c r="H820" s="184"/>
      <c r="I820" s="23">
        <f ca="1">I819*労務費経費単価SC!D$7</f>
        <v>0</v>
      </c>
      <c r="J820" s="23">
        <f ca="1">J819*労務費経費単価SC!D$11</f>
        <v>63660</v>
      </c>
      <c r="K820" s="22">
        <f ca="1">K819*$E819</f>
        <v>0</v>
      </c>
      <c r="L820" s="22">
        <f ca="1">L819*$E819</f>
        <v>0</v>
      </c>
      <c r="M820" s="22">
        <f t="shared" ref="M820" ca="1" si="2843">M819*$E819</f>
        <v>0</v>
      </c>
      <c r="N820" s="22">
        <f t="shared" ref="N820" ca="1" si="2844">N819*$E819</f>
        <v>0</v>
      </c>
      <c r="O820" s="22">
        <f t="shared" ref="O820" ca="1" si="2845">O819*$E819</f>
        <v>0</v>
      </c>
      <c r="P820" s="22">
        <f t="shared" ref="P820" ca="1" si="2846">P819*$E819</f>
        <v>218160</v>
      </c>
      <c r="Q820" s="22">
        <f t="shared" ref="Q820" ca="1" si="2847">Q819*$E819</f>
        <v>0</v>
      </c>
      <c r="R820" s="22">
        <f t="shared" ref="R820" ca="1" si="2848">R819*$E819</f>
        <v>-2160</v>
      </c>
      <c r="S820" s="22">
        <f t="shared" ref="S820" ca="1" si="2849">S819*$E819</f>
        <v>2071440</v>
      </c>
      <c r="U820" s="17"/>
      <c r="V820" s="18"/>
      <c r="W820" s="19"/>
      <c r="X820" s="20"/>
    </row>
    <row r="821" spans="1:25">
      <c r="A821" s="200"/>
      <c r="B821" s="211"/>
      <c r="C821" s="200" t="s">
        <v>188</v>
      </c>
      <c r="D821" s="199" t="str">
        <f>VLOOKUP(C821,'仕掛品名寄（貼付）'!B:C,2,FALSE)</f>
        <v>その他</v>
      </c>
      <c r="E821" s="199">
        <f>VLOOKUP(D821,'仕掛品標準単価一覧表（貼付）'!B:G,6,FALSE)</f>
        <v>1080</v>
      </c>
      <c r="F821" s="12" t="s">
        <v>246</v>
      </c>
      <c r="G821" s="24">
        <v>251.5</v>
      </c>
      <c r="H821" s="13">
        <f ca="1">SUMIF('1.3②原材料使用'!B:E,C821,'1.3②原材料使用'!E:E)</f>
        <v>0</v>
      </c>
      <c r="I821" s="13">
        <f ca="1">SUMIF('2.10原液別作業時間'!A:B,C821,'2.10原液別作業時間'!B:B)</f>
        <v>0</v>
      </c>
      <c r="J821" s="13">
        <f ca="1">SUM(G821:H821,K821)</f>
        <v>251.5</v>
      </c>
      <c r="K821" s="13">
        <f ca="1">SUMIF('2.2⑤純増減→前工程費'!B:E,C821,'2.2⑤純増減→前工程費'!E:E)</f>
        <v>0</v>
      </c>
      <c r="L821" s="13">
        <f ca="1">SUMIF('2.6完成品'!C:D,C821,'2.6完成品'!D:D)</f>
        <v>0</v>
      </c>
      <c r="M821" s="13">
        <f ca="1">SUMIF('2.3研究費'!D:E,C821,'2.3研究費'!E:E)</f>
        <v>0</v>
      </c>
      <c r="N821" s="13">
        <f ca="1">SUMIF('2.4販促費'!D:E,C821,'2.4販促費'!E:E)</f>
        <v>0</v>
      </c>
      <c r="O821" s="13">
        <f ca="1">SUMIF('2.5廃棄処分'!D:E,C821,'2.5廃棄処分'!E:E)</f>
        <v>0</v>
      </c>
      <c r="P821" s="13">
        <f ca="1">SUMIF('2.1④異種原液'!D:E,C821,'2.1④異種原液'!E:E)</f>
        <v>0</v>
      </c>
      <c r="Q821" s="14">
        <f ca="1">SUMIF('2.7製造部生産分'!D:I,C821,'2.7製造部生産分'!H:H)</f>
        <v>0</v>
      </c>
      <c r="R821" s="15">
        <f ca="1">-(G821+H821+K821-L821-M821-N821-O821-P821-Q821-S821)</f>
        <v>0</v>
      </c>
      <c r="S821" s="13">
        <f ca="1">SUMIF('2.9原液在庫'!B:H,C821,'2.9原液在庫'!H:H)</f>
        <v>251.5</v>
      </c>
      <c r="T821" s="16">
        <f ca="1">IFERROR(SUM(G822:K822)/(G821+H821+K821),0)</f>
        <v>1524.5322173684881</v>
      </c>
      <c r="U821" s="17" t="str">
        <f>C821</f>
        <v>LYA</v>
      </c>
      <c r="V821" s="18">
        <f ca="1">IF(ISERROR(SUM(G822:K822)/SUM(L821:Q821,S821)),0,SUM(G822:K822)/SUM(L821:Q821,S821))</f>
        <v>1524.5322173684881</v>
      </c>
      <c r="W821" s="19">
        <f ca="1">V821</f>
        <v>1524.5322173684881</v>
      </c>
      <c r="X821" s="20">
        <f ca="1">W821/1000</f>
        <v>1.5245322173684881</v>
      </c>
    </row>
    <row r="822" spans="1:25">
      <c r="A822" s="201"/>
      <c r="B822" s="201"/>
      <c r="C822" s="201"/>
      <c r="D822" s="199"/>
      <c r="E822" s="199"/>
      <c r="F822" s="21" t="s">
        <v>247</v>
      </c>
      <c r="G822" s="22">
        <v>375874.85266817478</v>
      </c>
      <c r="H822" s="184"/>
      <c r="I822" s="23">
        <f ca="1">I821*労務費経費単価SC!D$7</f>
        <v>0</v>
      </c>
      <c r="J822" s="23">
        <f ca="1">J821*労務費経費単価SC!D$11</f>
        <v>7545</v>
      </c>
      <c r="K822" s="22">
        <f ca="1">K821*$E821</f>
        <v>0</v>
      </c>
      <c r="L822" s="22">
        <f ca="1">L821*$E821</f>
        <v>0</v>
      </c>
      <c r="M822" s="22">
        <f t="shared" ref="M822" ca="1" si="2850">M821*$E821</f>
        <v>0</v>
      </c>
      <c r="N822" s="22">
        <f t="shared" ref="N822" ca="1" si="2851">N821*$E821</f>
        <v>0</v>
      </c>
      <c r="O822" s="22">
        <f t="shared" ref="O822" ca="1" si="2852">O821*$E821</f>
        <v>0</v>
      </c>
      <c r="P822" s="22">
        <f t="shared" ref="P822" ca="1" si="2853">P821*$E821</f>
        <v>0</v>
      </c>
      <c r="Q822" s="22">
        <f t="shared" ref="Q822" ca="1" si="2854">Q821*$E821</f>
        <v>0</v>
      </c>
      <c r="R822" s="22">
        <f t="shared" ref="R822" ca="1" si="2855">R821*$E821</f>
        <v>0</v>
      </c>
      <c r="S822" s="22">
        <f t="shared" ref="S822" ca="1" si="2856">S821*$E821</f>
        <v>271620</v>
      </c>
      <c r="U822" s="17"/>
      <c r="V822" s="18"/>
      <c r="W822" s="19"/>
      <c r="X822" s="20"/>
    </row>
    <row r="823" spans="1:25">
      <c r="A823" s="200"/>
      <c r="B823" s="211"/>
      <c r="C823" s="200" t="s">
        <v>525</v>
      </c>
      <c r="D823" s="199" t="str">
        <f>VLOOKUP(C823,'仕掛品名寄（貼付）'!B:C,2,FALSE)</f>
        <v>その他</v>
      </c>
      <c r="E823" s="199">
        <f>VLOOKUP(D823,'仕掛品標準単価一覧表（貼付）'!B:G,6,FALSE)</f>
        <v>1080</v>
      </c>
      <c r="F823" s="12" t="s">
        <v>246</v>
      </c>
      <c r="G823" s="13">
        <v>0</v>
      </c>
      <c r="H823" s="13">
        <f ca="1">SUMIF('1.3②原材料使用'!B:E,C823,'1.3②原材料使用'!E:E)</f>
        <v>0</v>
      </c>
      <c r="I823" s="13">
        <f ca="1">SUMIF('2.10原液別作業時間'!A:B,C823,'2.10原液別作業時間'!B:B)</f>
        <v>0</v>
      </c>
      <c r="J823" s="13">
        <f ca="1">SUM(G823:H823,K823)</f>
        <v>0</v>
      </c>
      <c r="K823" s="13">
        <f ca="1">SUMIF('2.2⑤純増減→前工程費'!B:E,C823,'2.2⑤純増減→前工程費'!E:E)</f>
        <v>0</v>
      </c>
      <c r="L823" s="13">
        <f ca="1">SUMIF('2.6完成品'!C:D,C823,'2.6完成品'!D:D)</f>
        <v>0</v>
      </c>
      <c r="M823" s="13">
        <f ca="1">SUMIF('2.3研究費'!D:E,C823,'2.3研究費'!E:E)</f>
        <v>0</v>
      </c>
      <c r="N823" s="13">
        <f ca="1">SUMIF('2.4販促費'!D:E,C823,'2.4販促費'!E:E)</f>
        <v>0</v>
      </c>
      <c r="O823" s="13">
        <f ca="1">SUMIF('2.5廃棄処分'!D:E,C823,'2.5廃棄処分'!E:E)</f>
        <v>0</v>
      </c>
      <c r="P823" s="13">
        <f ca="1">SUMIF('2.1④異種原液'!D:E,C823,'2.1④異種原液'!E:E)</f>
        <v>0</v>
      </c>
      <c r="Q823" s="14">
        <f ca="1">SUMIF('2.7製造部生産分'!D:I,C823,'2.7製造部生産分'!H:H)</f>
        <v>0</v>
      </c>
      <c r="R823" s="15">
        <f ca="1">-(G823+H823+K823-L823-M823-N823-O823-P823-Q823-S823)</f>
        <v>0</v>
      </c>
      <c r="S823" s="13">
        <f ca="1">SUMIF('2.9原液在庫'!B:H,C823,'2.9原液在庫'!H:H)</f>
        <v>0</v>
      </c>
      <c r="T823" s="16">
        <f ca="1">IFERROR(SUM(G824:K824)/(G823+H823+K823),0)</f>
        <v>0</v>
      </c>
      <c r="U823" s="17" t="str">
        <f>C823</f>
        <v>L18P</v>
      </c>
      <c r="V823" s="18">
        <f ca="1">IF(ISERROR(SUM(G824:K824)/SUM(L823:Q823,S823)),0,SUM(G824:K824)/SUM(L823:Q823,S823))</f>
        <v>0</v>
      </c>
      <c r="W823" s="19">
        <f ca="1">V823</f>
        <v>0</v>
      </c>
      <c r="X823" s="20">
        <f ca="1">W823/1000</f>
        <v>0</v>
      </c>
    </row>
    <row r="824" spans="1:25">
      <c r="A824" s="201"/>
      <c r="B824" s="201"/>
      <c r="C824" s="201"/>
      <c r="D824" s="199"/>
      <c r="E824" s="199"/>
      <c r="F824" s="21" t="s">
        <v>247</v>
      </c>
      <c r="G824" s="22" t="s">
        <v>254</v>
      </c>
      <c r="H824" s="184"/>
      <c r="I824" s="23">
        <f ca="1">I823*労務費経費単価SC!D$7</f>
        <v>0</v>
      </c>
      <c r="J824" s="23">
        <f ca="1">J823*労務費経費単価SC!D$11</f>
        <v>0</v>
      </c>
      <c r="K824" s="22">
        <f ca="1">K823*$E823</f>
        <v>0</v>
      </c>
      <c r="L824" s="22">
        <f ca="1">L823*$E823</f>
        <v>0</v>
      </c>
      <c r="M824" s="22">
        <f t="shared" ref="M824" ca="1" si="2857">M823*$E823</f>
        <v>0</v>
      </c>
      <c r="N824" s="22">
        <f t="shared" ref="N824" ca="1" si="2858">N823*$E823</f>
        <v>0</v>
      </c>
      <c r="O824" s="22">
        <f t="shared" ref="O824" ca="1" si="2859">O823*$E823</f>
        <v>0</v>
      </c>
      <c r="P824" s="22">
        <f t="shared" ref="P824" ca="1" si="2860">P823*$E823</f>
        <v>0</v>
      </c>
      <c r="Q824" s="22">
        <f t="shared" ref="Q824" ca="1" si="2861">Q823*$E823</f>
        <v>0</v>
      </c>
      <c r="R824" s="22">
        <f t="shared" ref="R824" ca="1" si="2862">R823*$E823</f>
        <v>0</v>
      </c>
      <c r="S824" s="22">
        <f t="shared" ref="S824" ca="1" si="2863">S823*$E823</f>
        <v>0</v>
      </c>
      <c r="U824" s="17"/>
      <c r="V824" s="18"/>
      <c r="W824" s="19"/>
      <c r="X824" s="20"/>
    </row>
    <row r="825" spans="1:25">
      <c r="A825" s="200"/>
      <c r="B825" s="211"/>
      <c r="C825" s="200" t="s">
        <v>189</v>
      </c>
      <c r="D825" s="199" t="str">
        <f>VLOOKUP(C825,'仕掛品名寄（貼付）'!B:C,2,FALSE)</f>
        <v>LP</v>
      </c>
      <c r="E825" s="199">
        <f>VLOOKUP(D825,'仕掛品標準単価一覧表（貼付）'!B:G,6,FALSE)</f>
        <v>2002.0805494321223</v>
      </c>
      <c r="F825" s="12" t="s">
        <v>246</v>
      </c>
      <c r="G825" s="13">
        <v>10072.5</v>
      </c>
      <c r="H825" s="13">
        <f ca="1">SUMIF('1.3②原材料使用'!B:E,C825,'1.3②原材料使用'!E:E)</f>
        <v>0</v>
      </c>
      <c r="I825" s="13">
        <f ca="1">SUMIF('2.10原液別作業時間'!A:B,C825,'2.10原液別作業時間'!B:B)</f>
        <v>0</v>
      </c>
      <c r="J825" s="13">
        <f ca="1">SUM(G825:H825,K825)</f>
        <v>10072.5</v>
      </c>
      <c r="K825" s="13">
        <f ca="1">SUMIF('2.2⑤純増減→前工程費'!B:E,C825,'2.2⑤純増減→前工程費'!E:E)</f>
        <v>0</v>
      </c>
      <c r="L825" s="13">
        <f ca="1">SUMIF('2.6完成品'!C:D,C825,'2.6完成品'!D:D)</f>
        <v>0</v>
      </c>
      <c r="M825" s="13">
        <f ca="1">SUMIF('2.3研究費'!D:E,C825,'2.3研究費'!E:E)</f>
        <v>0</v>
      </c>
      <c r="N825" s="13">
        <f ca="1">SUMIF('2.4販促費'!D:E,C825,'2.4販促費'!E:E)</f>
        <v>5</v>
      </c>
      <c r="O825" s="13">
        <f ca="1">SUMIF('2.5廃棄処分'!D:E,C825,'2.5廃棄処分'!E:E)</f>
        <v>0</v>
      </c>
      <c r="P825" s="13">
        <f ca="1">SUMIF('2.1④異種原液'!D:E,C825,'2.1④異種原液'!E:E)</f>
        <v>0</v>
      </c>
      <c r="Q825" s="14">
        <f ca="1">SUMIF('2.7製造部生産分'!D:I,C825,'2.7製造部生産分'!H:H)</f>
        <v>0</v>
      </c>
      <c r="R825" s="15">
        <f ca="1">-(G825+H825+K825-L825-M825-N825-O825-P825-Q825-S825)</f>
        <v>0</v>
      </c>
      <c r="S825" s="13">
        <f ca="1">SUMIF('2.9原液在庫'!B:H,C825,'2.9原液在庫'!H:H)</f>
        <v>10067.5</v>
      </c>
      <c r="T825" s="16">
        <f ca="1">IFERROR(SUM(G826:K826)/(G825+H825+K825),0)</f>
        <v>2002.0805494321223</v>
      </c>
      <c r="U825" s="17" t="str">
        <f>C825</f>
        <v>LP</v>
      </c>
      <c r="V825" s="18">
        <f ca="1">IF(ISERROR(SUM(G826:K826)/SUM(L825:Q825,S825)),0,SUM(G826:K826)/SUM(L825:Q825,S825))</f>
        <v>2002.0805494321223</v>
      </c>
      <c r="W825" s="19">
        <f ca="1">V825</f>
        <v>2002.0805494321223</v>
      </c>
      <c r="X825" s="20">
        <f ca="1">W825/1000</f>
        <v>2.0020805494321223</v>
      </c>
    </row>
    <row r="826" spans="1:25">
      <c r="A826" s="201"/>
      <c r="B826" s="201"/>
      <c r="C826" s="201"/>
      <c r="D826" s="199"/>
      <c r="E826" s="199"/>
      <c r="F826" s="21" t="s">
        <v>247</v>
      </c>
      <c r="G826" s="22">
        <v>19863781.334155053</v>
      </c>
      <c r="H826" s="184"/>
      <c r="I826" s="23">
        <f ca="1">I825*労務費経費単価SC!D$7</f>
        <v>0</v>
      </c>
      <c r="J826" s="23">
        <f ca="1">J825*労務費経費単価SC!D$11</f>
        <v>302175</v>
      </c>
      <c r="K826" s="22">
        <f ca="1">K825*$E825</f>
        <v>0</v>
      </c>
      <c r="L826" s="22">
        <f ca="1">L825*$E825</f>
        <v>0</v>
      </c>
      <c r="M826" s="22">
        <f t="shared" ref="M826" ca="1" si="2864">M825*$E825</f>
        <v>0</v>
      </c>
      <c r="N826" s="22">
        <f t="shared" ref="N826" ca="1" si="2865">N825*$E825</f>
        <v>10010.402747160611</v>
      </c>
      <c r="O826" s="22">
        <f t="shared" ref="O826" ca="1" si="2866">O825*$E825</f>
        <v>0</v>
      </c>
      <c r="P826" s="22">
        <f t="shared" ref="P826" ca="1" si="2867">P825*$E825</f>
        <v>0</v>
      </c>
      <c r="Q826" s="22">
        <f t="shared" ref="Q826" ca="1" si="2868">Q825*$E825</f>
        <v>0</v>
      </c>
      <c r="R826" s="22">
        <f t="shared" ref="R826" ca="1" si="2869">R825*$E825</f>
        <v>0</v>
      </c>
      <c r="S826" s="22">
        <f t="shared" ref="S826" ca="1" si="2870">S825*$E825</f>
        <v>20155945.931407891</v>
      </c>
      <c r="U826" s="17"/>
      <c r="V826" s="18"/>
      <c r="W826" s="19"/>
      <c r="X826" s="20"/>
    </row>
    <row r="827" spans="1:25" ht="18">
      <c r="A827" s="200"/>
      <c r="B827" s="211"/>
      <c r="C827" s="200" t="s">
        <v>190</v>
      </c>
      <c r="D827" s="199" t="str">
        <f>VLOOKUP(C827,'仕掛品名寄（貼付）'!B:C,2,FALSE)</f>
        <v>LPA</v>
      </c>
      <c r="E827" s="199">
        <f>VLOOKUP(D827,'仕掛品標準単価一覧表（貼付）'!B:G,6,FALSE)</f>
        <v>1495.6183999999998</v>
      </c>
      <c r="F827" s="12" t="s">
        <v>246</v>
      </c>
      <c r="G827" s="13">
        <v>4979.5</v>
      </c>
      <c r="H827" s="13">
        <f ca="1">SUMIF('1.3②原材料使用'!B:E,C827,'1.3②原材料使用'!E:E)</f>
        <v>0</v>
      </c>
      <c r="I827" s="13">
        <f ca="1">SUMIF('2.10原液別作業時間'!A:B,C827,'2.10原液別作業時間'!B:B)</f>
        <v>25295</v>
      </c>
      <c r="J827" s="13">
        <f ca="1">SUM(G827:H827,K827)</f>
        <v>24899.5</v>
      </c>
      <c r="K827" s="13">
        <f ca="1">SUMIF('2.2⑤純増減→前工程費'!B:E,C827,'2.2⑤純増減→前工程費'!E:E)</f>
        <v>19920</v>
      </c>
      <c r="L827" s="13">
        <f ca="1">SUMIF('2.6完成品'!C:D,C827,'2.6完成品'!D:D)</f>
        <v>6.1</v>
      </c>
      <c r="M827" s="13">
        <f ca="1">SUMIF('2.3研究費'!D:E,C827,'2.3研究費'!E:E)</f>
        <v>0</v>
      </c>
      <c r="N827" s="13">
        <f ca="1">SUMIF('2.4販促費'!D:E,C827,'2.4販促費'!E:E)</f>
        <v>0</v>
      </c>
      <c r="O827" s="13">
        <f ca="1">SUMIF('2.5廃棄処分'!D:E,C827,'2.5廃棄処分'!E:E)</f>
        <v>0</v>
      </c>
      <c r="P827" s="13">
        <f ca="1">SUMIF('2.1④異種原液'!D:E,C827,'2.1④異種原液'!E:E)</f>
        <v>69</v>
      </c>
      <c r="Q827" s="14">
        <f ca="1">SUMIF('2.7製造部生産分'!D:I,C827,'2.7製造部生産分'!H:H)</f>
        <v>19550</v>
      </c>
      <c r="R827" s="15">
        <f ca="1">-(G827+H827+K827-L827-M827-N827-O827-P827-Q827-S827)</f>
        <v>-58.900000000001455</v>
      </c>
      <c r="S827" s="13">
        <f ca="1">SUMIF('2.9原液在庫'!B:H,C827,'2.9原液在庫'!H:H)</f>
        <v>5215.5</v>
      </c>
      <c r="T827" s="16">
        <f ca="1">IFERROR(SUM(G828:K828)/(G827+H827+K827),0)</f>
        <v>1981.7105893117512</v>
      </c>
      <c r="U827" s="17" t="str">
        <f>C827</f>
        <v>LPA</v>
      </c>
      <c r="V827" s="18">
        <f ca="1">IF(ISERROR(SUM(G828:K828)/SUM(L827:Q827,S827)),0,SUM(G828:K828)/SUM(L827:Q827,S827))</f>
        <v>1986.4094594562107</v>
      </c>
      <c r="W827" s="19">
        <f ca="1">V827</f>
        <v>1986.4094594562107</v>
      </c>
      <c r="X827" s="20">
        <f ca="1">W827/1000</f>
        <v>1.9864094594562107</v>
      </c>
      <c r="Y827" s="26" t="s">
        <v>451</v>
      </c>
    </row>
    <row r="828" spans="1:25">
      <c r="A828" s="201"/>
      <c r="B828" s="201"/>
      <c r="C828" s="201"/>
      <c r="D828" s="199"/>
      <c r="E828" s="199"/>
      <c r="F828" s="21" t="s">
        <v>247</v>
      </c>
      <c r="G828" s="22">
        <v>7168199.2905679485</v>
      </c>
      <c r="H828" s="184"/>
      <c r="I828" s="23">
        <f ca="1">I827*労務費経費単価SC!D$7</f>
        <v>11635700</v>
      </c>
      <c r="J828" s="23">
        <f ca="1">J827*労務費経費単価SC!D$11</f>
        <v>746985</v>
      </c>
      <c r="K828" s="22">
        <f ca="1">K827*$E827</f>
        <v>29792718.527999997</v>
      </c>
      <c r="L828" s="22">
        <f ca="1">L827*$E827</f>
        <v>9123.2722399999984</v>
      </c>
      <c r="M828" s="22">
        <f t="shared" ref="M828" ca="1" si="2871">M827*$E827</f>
        <v>0</v>
      </c>
      <c r="N828" s="22">
        <f t="shared" ref="N828" ca="1" si="2872">N827*$E827</f>
        <v>0</v>
      </c>
      <c r="O828" s="22">
        <f t="shared" ref="O828" ca="1" si="2873">O827*$E827</f>
        <v>0</v>
      </c>
      <c r="P828" s="22">
        <f t="shared" ref="P828" ca="1" si="2874">P827*$E827</f>
        <v>103197.66959999999</v>
      </c>
      <c r="Q828" s="22">
        <f t="shared" ref="Q828" ca="1" si="2875">Q827*$E827</f>
        <v>29239339.719999995</v>
      </c>
      <c r="R828" s="22">
        <f t="shared" ref="R828" ca="1" si="2876">R827*$E827</f>
        <v>-88091.923760002173</v>
      </c>
      <c r="S828" s="22">
        <f t="shared" ref="S828" ca="1" si="2877">S827*$E827</f>
        <v>7800397.7651999993</v>
      </c>
      <c r="U828" s="17"/>
      <c r="V828" s="18"/>
      <c r="W828" s="19"/>
      <c r="X828" s="20"/>
    </row>
    <row r="829" spans="1:25">
      <c r="A829" s="200"/>
      <c r="B829" s="211"/>
      <c r="C829" s="200" t="s">
        <v>163</v>
      </c>
      <c r="D829" s="199" t="str">
        <f>VLOOKUP(C829,'仕掛品名寄（貼付）'!B:C,2,FALSE)</f>
        <v>その他</v>
      </c>
      <c r="E829" s="199">
        <f>VLOOKUP(D829,'仕掛品標準単価一覧表（貼付）'!B:G,6,FALSE)</f>
        <v>1080</v>
      </c>
      <c r="F829" s="12" t="s">
        <v>246</v>
      </c>
      <c r="G829" s="24">
        <v>679.5</v>
      </c>
      <c r="H829" s="13">
        <f ca="1">SUMIF('1.3②原材料使用'!B:E,C829,'1.3②原材料使用'!E:E)</f>
        <v>0</v>
      </c>
      <c r="I829" s="13">
        <f ca="1">SUMIF('2.10原液別作業時間'!A:B,C829,'2.10原液別作業時間'!B:B)</f>
        <v>0</v>
      </c>
      <c r="J829" s="13">
        <f ca="1">SUM(G829:H829,K829)</f>
        <v>679.5</v>
      </c>
      <c r="K829" s="13">
        <f ca="1">SUMIF('2.2⑤純増減→前工程費'!B:E,C829,'2.2⑤純増減→前工程費'!E:E)</f>
        <v>0</v>
      </c>
      <c r="L829" s="13">
        <f ca="1">SUMIF('2.6完成品'!C:D,C829,'2.6完成品'!D:D)</f>
        <v>50.5</v>
      </c>
      <c r="M829" s="13">
        <f ca="1">SUMIF('2.3研究費'!D:E,C829,'2.3研究費'!E:E)</f>
        <v>0</v>
      </c>
      <c r="N829" s="13">
        <f ca="1">SUMIF('2.4販促費'!D:E,C829,'2.4販促費'!E:E)</f>
        <v>0</v>
      </c>
      <c r="O829" s="13">
        <f ca="1">SUMIF('2.5廃棄処分'!D:E,C829,'2.5廃棄処分'!E:E)</f>
        <v>0</v>
      </c>
      <c r="P829" s="13">
        <f ca="1">SUMIF('2.1④異種原液'!D:E,C829,'2.1④異種原液'!E:E)</f>
        <v>0</v>
      </c>
      <c r="Q829" s="14">
        <f ca="1">SUMIF('2.7製造部生産分'!D:I,C829,'2.7製造部生産分'!H:H)</f>
        <v>50</v>
      </c>
      <c r="R829" s="15">
        <f ca="1">-(G829+H829+K829-L829-M829-N829-O829-P829-Q829-S829)</f>
        <v>50.5</v>
      </c>
      <c r="S829" s="13">
        <f ca="1">SUMIF('2.9原液在庫'!B:H,C829,'2.9原液在庫'!H:H)</f>
        <v>629.5</v>
      </c>
      <c r="T829" s="16">
        <f ca="1">IFERROR(SUM(G830:K830)/(G829+H829+K829),0)</f>
        <v>817.2288188666098</v>
      </c>
      <c r="U829" s="17" t="str">
        <f>C829</f>
        <v>LPZ</v>
      </c>
      <c r="V829" s="18">
        <f ca="1">IF(ISERROR(SUM(G830:K830)/SUM(L829:Q829,S829)),0,SUM(G830:K830)/SUM(L829:Q829,S829))</f>
        <v>760.69449646556347</v>
      </c>
      <c r="W829" s="19">
        <f ca="1">V829</f>
        <v>760.69449646556347</v>
      </c>
      <c r="X829" s="20">
        <f ca="1">W829/1000</f>
        <v>0.76069449646556353</v>
      </c>
    </row>
    <row r="830" spans="1:25">
      <c r="A830" s="212"/>
      <c r="B830" s="212"/>
      <c r="C830" s="201"/>
      <c r="D830" s="199"/>
      <c r="E830" s="199"/>
      <c r="F830" s="21" t="s">
        <v>247</v>
      </c>
      <c r="G830" s="22">
        <v>534921.98241986136</v>
      </c>
      <c r="H830" s="184"/>
      <c r="I830" s="23">
        <f ca="1">I829*労務費経費単価SC!D$7</f>
        <v>0</v>
      </c>
      <c r="J830" s="23">
        <f ca="1">J829*労務費経費単価SC!D$11</f>
        <v>20385</v>
      </c>
      <c r="K830" s="22">
        <f ca="1">K829*$E829</f>
        <v>0</v>
      </c>
      <c r="L830" s="22">
        <f ca="1">L829*$E829</f>
        <v>54540</v>
      </c>
      <c r="M830" s="22">
        <f t="shared" ref="M830" ca="1" si="2878">M829*$E829</f>
        <v>0</v>
      </c>
      <c r="N830" s="22">
        <f t="shared" ref="N830" ca="1" si="2879">N829*$E829</f>
        <v>0</v>
      </c>
      <c r="O830" s="22">
        <f t="shared" ref="O830" ca="1" si="2880">O829*$E829</f>
        <v>0</v>
      </c>
      <c r="P830" s="22">
        <f t="shared" ref="P830" ca="1" si="2881">P829*$E829</f>
        <v>0</v>
      </c>
      <c r="Q830" s="22">
        <f t="shared" ref="Q830" ca="1" si="2882">Q829*$E829</f>
        <v>54000</v>
      </c>
      <c r="R830" s="22">
        <f t="shared" ref="R830" ca="1" si="2883">R829*$E829</f>
        <v>54540</v>
      </c>
      <c r="S830" s="22">
        <f t="shared" ref="S830" ca="1" si="2884">S829*$E829</f>
        <v>679860</v>
      </c>
      <c r="U830" s="17"/>
      <c r="V830" s="18"/>
      <c r="W830" s="19"/>
      <c r="X830" s="20"/>
    </row>
    <row r="831" spans="1:25">
      <c r="A831" s="200"/>
      <c r="B831" s="211"/>
      <c r="C831" s="200" t="s">
        <v>526</v>
      </c>
      <c r="D831" s="199" t="str">
        <f>VLOOKUP(C831,'仕掛品名寄（貼付）'!B:C,2,FALSE)</f>
        <v>LPA</v>
      </c>
      <c r="E831" s="199">
        <f>VLOOKUP(D831,'仕掛品標準単価一覧表（貼付）'!B:G,6,FALSE)</f>
        <v>1495.6183999999998</v>
      </c>
      <c r="F831" s="12" t="s">
        <v>246</v>
      </c>
      <c r="G831" s="13">
        <v>234</v>
      </c>
      <c r="H831" s="13">
        <f ca="1">SUMIF('1.3②原材料使用'!B:E,C831,'1.3②原材料使用'!E:E)</f>
        <v>0</v>
      </c>
      <c r="I831" s="13">
        <f ca="1">SUMIF('2.10原液別作業時間'!A:B,C831,'2.10原液別作業時間'!B:B)</f>
        <v>0</v>
      </c>
      <c r="J831" s="13">
        <f ca="1">SUM(G831:H831,K831)</f>
        <v>234</v>
      </c>
      <c r="K831" s="13">
        <f ca="1">SUMIF('2.2⑤純増減→前工程費'!B:E,C831,'2.2⑤純増減→前工程費'!E:E)</f>
        <v>0</v>
      </c>
      <c r="L831" s="13">
        <f ca="1">SUMIF('2.6完成品'!C:D,C831,'2.6完成品'!D:D)</f>
        <v>0</v>
      </c>
      <c r="M831" s="13">
        <f ca="1">SUMIF('2.3研究費'!D:E,C831,'2.3研究費'!E:E)</f>
        <v>0</v>
      </c>
      <c r="N831" s="13">
        <f ca="1">SUMIF('2.4販促費'!D:E,C831,'2.4販促費'!E:E)</f>
        <v>0</v>
      </c>
      <c r="O831" s="13">
        <f ca="1">SUMIF('2.5廃棄処分'!D:E,C831,'2.5廃棄処分'!E:E)</f>
        <v>0</v>
      </c>
      <c r="P831" s="13">
        <f ca="1">SUMIF('2.1④異種原液'!D:E,C831,'2.1④異種原液'!E:E)</f>
        <v>0</v>
      </c>
      <c r="Q831" s="14">
        <f ca="1">SUMIF('2.7製造部生産分'!D:I,C831,'2.7製造部生産分'!H:H)</f>
        <v>0</v>
      </c>
      <c r="R831" s="15">
        <f ca="1">-(G831+H831+K831-L831-M831-N831-O831-P831-Q831-S831)</f>
        <v>0</v>
      </c>
      <c r="S831" s="13">
        <f ca="1">SUMIF('2.9原液在庫'!B:H,C831,'2.9原液在庫'!H:H)</f>
        <v>234</v>
      </c>
      <c r="T831" s="16">
        <f ca="1">IFERROR(SUM(G832:K832)/(G831+H831+K831),0)</f>
        <v>1426.5340238179629</v>
      </c>
      <c r="U831" s="17" t="str">
        <f>C831</f>
        <v>31LPA</v>
      </c>
      <c r="V831" s="18">
        <f ca="1">IF(ISERROR(SUM(G832:K832)/SUM(L831:Q831,S831)),0,SUM(G832:K832)/SUM(L831:Q831,S831))</f>
        <v>1426.5340238179629</v>
      </c>
      <c r="W831" s="19">
        <f ca="1">V831</f>
        <v>1426.5340238179629</v>
      </c>
      <c r="X831" s="20">
        <f ca="1">W831/1000</f>
        <v>1.4265340238179629</v>
      </c>
    </row>
    <row r="832" spans="1:25">
      <c r="A832" s="201"/>
      <c r="B832" s="201"/>
      <c r="C832" s="201"/>
      <c r="D832" s="199"/>
      <c r="E832" s="199"/>
      <c r="F832" s="21" t="s">
        <v>247</v>
      </c>
      <c r="G832" s="22">
        <v>326788.96157340333</v>
      </c>
      <c r="H832" s="184"/>
      <c r="I832" s="23">
        <f ca="1">I831*労務費経費単価SC!D$7</f>
        <v>0</v>
      </c>
      <c r="J832" s="23">
        <f ca="1">J831*労務費経費単価SC!D$11</f>
        <v>7020</v>
      </c>
      <c r="K832" s="22">
        <f ca="1">K831*$E831</f>
        <v>0</v>
      </c>
      <c r="L832" s="22">
        <f ca="1">L831*$E831</f>
        <v>0</v>
      </c>
      <c r="M832" s="22">
        <f t="shared" ref="M832" ca="1" si="2885">M831*$E831</f>
        <v>0</v>
      </c>
      <c r="N832" s="22">
        <f t="shared" ref="N832" ca="1" si="2886">N831*$E831</f>
        <v>0</v>
      </c>
      <c r="O832" s="22">
        <f t="shared" ref="O832" ca="1" si="2887">O831*$E831</f>
        <v>0</v>
      </c>
      <c r="P832" s="22">
        <f t="shared" ref="P832" ca="1" si="2888">P831*$E831</f>
        <v>0</v>
      </c>
      <c r="Q832" s="22">
        <f t="shared" ref="Q832" ca="1" si="2889">Q831*$E831</f>
        <v>0</v>
      </c>
      <c r="R832" s="22">
        <f t="shared" ref="R832" ca="1" si="2890">R831*$E831</f>
        <v>0</v>
      </c>
      <c r="S832" s="22">
        <f t="shared" ref="S832" ca="1" si="2891">S831*$E831</f>
        <v>349974.70559999999</v>
      </c>
      <c r="U832" s="17"/>
      <c r="V832" s="18"/>
      <c r="W832" s="19"/>
      <c r="X832" s="20"/>
    </row>
    <row r="833" spans="1:24">
      <c r="A833" s="200"/>
      <c r="B833" s="211"/>
      <c r="C833" s="200" t="s">
        <v>527</v>
      </c>
      <c r="D833" s="199" t="str">
        <f>VLOOKUP(C833,'仕掛品名寄（貼付）'!B:C,2,FALSE)</f>
        <v>その他</v>
      </c>
      <c r="E833" s="199">
        <f>VLOOKUP(D833,'仕掛品標準単価一覧表（貼付）'!B:G,6,FALSE)</f>
        <v>1080</v>
      </c>
      <c r="F833" s="12" t="s">
        <v>246</v>
      </c>
      <c r="G833" s="13">
        <v>0</v>
      </c>
      <c r="H833" s="13">
        <f ca="1">SUMIF('1.3②原材料使用'!B:E,C833,'1.3②原材料使用'!E:E)</f>
        <v>0</v>
      </c>
      <c r="I833" s="13">
        <f ca="1">SUMIF('2.10原液別作業時間'!A:B,C833,'2.10原液別作業時間'!B:B)</f>
        <v>0</v>
      </c>
      <c r="J833" s="13">
        <f ca="1">SUM(G833:H833,K833)</f>
        <v>0</v>
      </c>
      <c r="K833" s="13">
        <f ca="1">SUMIF('2.2⑤純増減→前工程費'!B:E,C833,'2.2⑤純増減→前工程費'!E:E)</f>
        <v>0</v>
      </c>
      <c r="L833" s="13">
        <f ca="1">SUMIF('2.6完成品'!C:D,C833,'2.6完成品'!D:D)</f>
        <v>0</v>
      </c>
      <c r="M833" s="13">
        <f ca="1">SUMIF('2.3研究費'!D:E,C833,'2.3研究費'!E:E)</f>
        <v>0</v>
      </c>
      <c r="N833" s="13">
        <f ca="1">SUMIF('2.4販促費'!D:E,C833,'2.4販促費'!E:E)</f>
        <v>0</v>
      </c>
      <c r="O833" s="13">
        <f ca="1">SUMIF('2.5廃棄処分'!D:E,C833,'2.5廃棄処分'!E:E)</f>
        <v>0</v>
      </c>
      <c r="P833" s="13">
        <f ca="1">SUMIF('2.1④異種原液'!D:E,C833,'2.1④異種原液'!E:E)</f>
        <v>0</v>
      </c>
      <c r="Q833" s="14">
        <f ca="1">SUMIF('2.7製造部生産分'!D:I,C833,'2.7製造部生産分'!H:H)</f>
        <v>0</v>
      </c>
      <c r="R833" s="15">
        <f ca="1">-(G833+H833+K833-L833-M833-N833-O833-P833-Q833-S833)</f>
        <v>0</v>
      </c>
      <c r="S833" s="13">
        <f ca="1">SUMIF('2.9原液在庫'!B:H,C833,'2.9原液在庫'!H:H)</f>
        <v>0</v>
      </c>
      <c r="T833" s="16">
        <f ca="1">IFERROR(SUM(G834:K834)/(G833+H833+K833),0)</f>
        <v>0</v>
      </c>
      <c r="U833" s="17" t="str">
        <f>C833</f>
        <v>RC</v>
      </c>
      <c r="V833" s="18">
        <f ca="1">IF(ISERROR(SUM(G834:K834)/SUM(L833:Q833,S833)),0,SUM(G834:K834)/SUM(L833:Q833,S833))</f>
        <v>0</v>
      </c>
      <c r="W833" s="19">
        <f ca="1">V833</f>
        <v>0</v>
      </c>
      <c r="X833" s="20">
        <f ca="1">W833/1000</f>
        <v>0</v>
      </c>
    </row>
    <row r="834" spans="1:24">
      <c r="A834" s="201"/>
      <c r="B834" s="201"/>
      <c r="C834" s="201"/>
      <c r="D834" s="199"/>
      <c r="E834" s="199"/>
      <c r="F834" s="21" t="s">
        <v>247</v>
      </c>
      <c r="G834" s="22" t="s">
        <v>254</v>
      </c>
      <c r="H834" s="184"/>
      <c r="I834" s="23">
        <f ca="1">I833*労務費経費単価SC!D$7</f>
        <v>0</v>
      </c>
      <c r="J834" s="23">
        <f ca="1">J833*労務費経費単価SC!D$11</f>
        <v>0</v>
      </c>
      <c r="K834" s="22">
        <f ca="1">K833*$E833</f>
        <v>0</v>
      </c>
      <c r="L834" s="22">
        <f ca="1">L833*$E833</f>
        <v>0</v>
      </c>
      <c r="M834" s="22">
        <f t="shared" ref="M834" ca="1" si="2892">M833*$E833</f>
        <v>0</v>
      </c>
      <c r="N834" s="22">
        <f t="shared" ref="N834" ca="1" si="2893">N833*$E833</f>
        <v>0</v>
      </c>
      <c r="O834" s="22">
        <f t="shared" ref="O834" ca="1" si="2894">O833*$E833</f>
        <v>0</v>
      </c>
      <c r="P834" s="22">
        <f t="shared" ref="P834" ca="1" si="2895">P833*$E833</f>
        <v>0</v>
      </c>
      <c r="Q834" s="22">
        <f t="shared" ref="Q834" ca="1" si="2896">Q833*$E833</f>
        <v>0</v>
      </c>
      <c r="R834" s="22">
        <f t="shared" ref="R834" ca="1" si="2897">R833*$E833</f>
        <v>0</v>
      </c>
      <c r="S834" s="22">
        <f t="shared" ref="S834" ca="1" si="2898">S833*$E833</f>
        <v>0</v>
      </c>
      <c r="U834" s="17"/>
      <c r="V834" s="18"/>
      <c r="W834" s="19"/>
      <c r="X834" s="20"/>
    </row>
    <row r="835" spans="1:24">
      <c r="A835" s="200"/>
      <c r="B835" s="211"/>
      <c r="C835" s="200" t="s">
        <v>528</v>
      </c>
      <c r="D835" s="199" t="str">
        <f>VLOOKUP(C835,'仕掛品名寄（貼付）'!B:C,2,FALSE)</f>
        <v>その他</v>
      </c>
      <c r="E835" s="199">
        <f>VLOOKUP(D835,'仕掛品標準単価一覧表（貼付）'!B:G,6,FALSE)</f>
        <v>1080</v>
      </c>
      <c r="F835" s="12" t="s">
        <v>246</v>
      </c>
      <c r="G835" s="13">
        <v>0</v>
      </c>
      <c r="H835" s="13">
        <f ca="1">SUMIF('1.3②原材料使用'!B:E,C835,'1.3②原材料使用'!E:E)</f>
        <v>0</v>
      </c>
      <c r="I835" s="13">
        <f ca="1">SUMIF('2.10原液別作業時間'!A:B,C835,'2.10原液別作業時間'!B:B)</f>
        <v>0</v>
      </c>
      <c r="J835" s="13">
        <f ca="1">SUM(G835:H835,K835)</f>
        <v>0</v>
      </c>
      <c r="K835" s="13">
        <f ca="1">SUMIF('2.2⑤純増減→前工程費'!B:E,C835,'2.2⑤純増減→前工程費'!E:E)</f>
        <v>0</v>
      </c>
      <c r="L835" s="13">
        <f ca="1">SUMIF('2.6完成品'!C:D,C835,'2.6完成品'!D:D)</f>
        <v>0</v>
      </c>
      <c r="M835" s="13">
        <f ca="1">SUMIF('2.3研究費'!D:E,C835,'2.3研究費'!E:E)</f>
        <v>0</v>
      </c>
      <c r="N835" s="13">
        <f ca="1">SUMIF('2.4販促費'!D:E,C835,'2.4販促費'!E:E)</f>
        <v>0</v>
      </c>
      <c r="O835" s="13">
        <f ca="1">SUMIF('2.5廃棄処分'!D:E,C835,'2.5廃棄処分'!E:E)</f>
        <v>0</v>
      </c>
      <c r="P835" s="13">
        <f ca="1">SUMIF('2.1④異種原液'!D:E,C835,'2.1④異種原液'!E:E)</f>
        <v>0</v>
      </c>
      <c r="Q835" s="14">
        <f ca="1">SUMIF('2.7製造部生産分'!D:I,C835,'2.7製造部生産分'!H:H)</f>
        <v>0</v>
      </c>
      <c r="R835" s="15">
        <f ca="1">-(G835+H835+K835-L835-M835-N835-O835-P835-Q835-S835)</f>
        <v>0</v>
      </c>
      <c r="S835" s="13">
        <f ca="1">SUMIF('2.9原液在庫'!B:H,C835,'2.9原液在庫'!H:H)</f>
        <v>0</v>
      </c>
      <c r="T835" s="16">
        <f ca="1">IFERROR(SUM(G836:K836)/(G835+H835+K835),0)</f>
        <v>0</v>
      </c>
      <c r="U835" s="17" t="str">
        <f>C835</f>
        <v>RE</v>
      </c>
      <c r="V835" s="18">
        <f ca="1">IF(ISERROR(SUM(G836:K836)/SUM(L835:Q835,S835)),0,SUM(G836:K836)/SUM(L835:Q835,S835))</f>
        <v>0</v>
      </c>
      <c r="W835" s="19">
        <f ca="1">V835</f>
        <v>0</v>
      </c>
      <c r="X835" s="20">
        <f ca="1">W835/1000</f>
        <v>0</v>
      </c>
    </row>
    <row r="836" spans="1:24">
      <c r="A836" s="201"/>
      <c r="B836" s="201"/>
      <c r="C836" s="201"/>
      <c r="D836" s="199"/>
      <c r="E836" s="199"/>
      <c r="F836" s="21" t="s">
        <v>247</v>
      </c>
      <c r="G836" s="22" t="s">
        <v>254</v>
      </c>
      <c r="H836" s="184"/>
      <c r="I836" s="23">
        <f ca="1">I835*労務費経費単価SC!D$7</f>
        <v>0</v>
      </c>
      <c r="J836" s="23">
        <f ca="1">J835*労務費経費単価SC!D$11</f>
        <v>0</v>
      </c>
      <c r="K836" s="22">
        <f ca="1">K835*$E835</f>
        <v>0</v>
      </c>
      <c r="L836" s="22">
        <f ca="1">L835*$E835</f>
        <v>0</v>
      </c>
      <c r="M836" s="22">
        <f t="shared" ref="M836" ca="1" si="2899">M835*$E835</f>
        <v>0</v>
      </c>
      <c r="N836" s="22">
        <f t="shared" ref="N836" ca="1" si="2900">N835*$E835</f>
        <v>0</v>
      </c>
      <c r="O836" s="22">
        <f t="shared" ref="O836" ca="1" si="2901">O835*$E835</f>
        <v>0</v>
      </c>
      <c r="P836" s="22">
        <f t="shared" ref="P836" ca="1" si="2902">P835*$E835</f>
        <v>0</v>
      </c>
      <c r="Q836" s="22">
        <f t="shared" ref="Q836" ca="1" si="2903">Q835*$E835</f>
        <v>0</v>
      </c>
      <c r="R836" s="22">
        <f t="shared" ref="R836" ca="1" si="2904">R835*$E835</f>
        <v>0</v>
      </c>
      <c r="S836" s="22">
        <f t="shared" ref="S836" ca="1" si="2905">S835*$E835</f>
        <v>0</v>
      </c>
      <c r="U836" s="17"/>
      <c r="V836" s="18"/>
      <c r="W836" s="19"/>
      <c r="X836" s="20"/>
    </row>
    <row r="837" spans="1:24">
      <c r="A837" s="200"/>
      <c r="B837" s="211"/>
      <c r="C837" s="200" t="s">
        <v>529</v>
      </c>
      <c r="D837" s="199" t="str">
        <f>VLOOKUP(C837,'仕掛品名寄（貼付）'!B:C,2,FALSE)</f>
        <v>その他</v>
      </c>
      <c r="E837" s="199">
        <f>VLOOKUP(D837,'仕掛品標準単価一覧表（貼付）'!B:G,6,FALSE)</f>
        <v>1080</v>
      </c>
      <c r="F837" s="12" t="s">
        <v>246</v>
      </c>
      <c r="G837" s="13">
        <v>0</v>
      </c>
      <c r="H837" s="13">
        <f ca="1">SUMIF('1.3②原材料使用'!B:E,C837,'1.3②原材料使用'!E:E)</f>
        <v>0</v>
      </c>
      <c r="I837" s="13">
        <f ca="1">SUMIF('2.10原液別作業時間'!A:B,C837,'2.10原液別作業時間'!B:B)</f>
        <v>0</v>
      </c>
      <c r="J837" s="13">
        <f ca="1">SUM(G837:H837,K837)</f>
        <v>0</v>
      </c>
      <c r="K837" s="13">
        <f ca="1">SUMIF('2.2⑤純増減→前工程費'!B:E,C837,'2.2⑤純増減→前工程費'!E:E)</f>
        <v>0</v>
      </c>
      <c r="L837" s="13">
        <f ca="1">SUMIF('2.6完成品'!C:D,C837,'2.6完成品'!D:D)</f>
        <v>0</v>
      </c>
      <c r="M837" s="13">
        <f ca="1">SUMIF('2.3研究費'!D:E,C837,'2.3研究費'!E:E)</f>
        <v>0</v>
      </c>
      <c r="N837" s="13">
        <f ca="1">SUMIF('2.4販促費'!D:E,C837,'2.4販促費'!E:E)</f>
        <v>0</v>
      </c>
      <c r="O837" s="13">
        <f ca="1">SUMIF('2.5廃棄処分'!D:E,C837,'2.5廃棄処分'!E:E)</f>
        <v>0</v>
      </c>
      <c r="P837" s="13">
        <f ca="1">SUMIF('2.1④異種原液'!D:E,C837,'2.1④異種原液'!E:E)</f>
        <v>0</v>
      </c>
      <c r="Q837" s="14">
        <f ca="1">SUMIF('2.7製造部生産分'!D:I,C837,'2.7製造部生産分'!H:H)</f>
        <v>0</v>
      </c>
      <c r="R837" s="15">
        <f ca="1">-(G837+H837+K837-L837-M837-N837-O837-P837-Q837-S837)</f>
        <v>0</v>
      </c>
      <c r="S837" s="13">
        <f ca="1">SUMIF('2.9原液在庫'!B:H,C837,'2.9原液在庫'!H:H)</f>
        <v>0</v>
      </c>
      <c r="T837" s="16">
        <f ca="1">IFERROR(SUM(G838:K838)/(G837+H837+K837),0)</f>
        <v>0</v>
      </c>
      <c r="U837" s="17" t="str">
        <f>C837</f>
        <v>RR</v>
      </c>
      <c r="V837" s="18">
        <f ca="1">IF(ISERROR(SUM(G838:K838)/SUM(L837:Q837,S837)),0,SUM(G838:K838)/SUM(L837:Q837,S837))</f>
        <v>0</v>
      </c>
      <c r="W837" s="19">
        <f ca="1">V837</f>
        <v>0</v>
      </c>
      <c r="X837" s="20">
        <f ca="1">W837/1000</f>
        <v>0</v>
      </c>
    </row>
    <row r="838" spans="1:24">
      <c r="A838" s="201"/>
      <c r="B838" s="201"/>
      <c r="C838" s="201"/>
      <c r="D838" s="199"/>
      <c r="E838" s="199"/>
      <c r="F838" s="21" t="s">
        <v>247</v>
      </c>
      <c r="G838" s="22" t="s">
        <v>254</v>
      </c>
      <c r="H838" s="184"/>
      <c r="I838" s="23">
        <f ca="1">I837*労務費経費単価SC!D$7</f>
        <v>0</v>
      </c>
      <c r="J838" s="23">
        <f ca="1">J837*労務費経費単価SC!D$11</f>
        <v>0</v>
      </c>
      <c r="K838" s="22">
        <f ca="1">K837*$E837</f>
        <v>0</v>
      </c>
      <c r="L838" s="22">
        <f ca="1">L837*$E837</f>
        <v>0</v>
      </c>
      <c r="M838" s="22">
        <f t="shared" ref="M838" ca="1" si="2906">M837*$E837</f>
        <v>0</v>
      </c>
      <c r="N838" s="22">
        <f t="shared" ref="N838" ca="1" si="2907">N837*$E837</f>
        <v>0</v>
      </c>
      <c r="O838" s="22">
        <f t="shared" ref="O838" ca="1" si="2908">O837*$E837</f>
        <v>0</v>
      </c>
      <c r="P838" s="22">
        <f t="shared" ref="P838" ca="1" si="2909">P837*$E837</f>
        <v>0</v>
      </c>
      <c r="Q838" s="22">
        <f t="shared" ref="Q838" ca="1" si="2910">Q837*$E837</f>
        <v>0</v>
      </c>
      <c r="R838" s="22">
        <f t="shared" ref="R838" ca="1" si="2911">R837*$E837</f>
        <v>0</v>
      </c>
      <c r="S838" s="22">
        <f t="shared" ref="S838" ca="1" si="2912">S837*$E837</f>
        <v>0</v>
      </c>
      <c r="U838" s="17"/>
      <c r="V838" s="18"/>
      <c r="W838" s="19"/>
      <c r="X838" s="20"/>
    </row>
    <row r="839" spans="1:24">
      <c r="A839" s="200"/>
      <c r="B839" s="211"/>
      <c r="C839" s="200" t="s">
        <v>530</v>
      </c>
      <c r="D839" s="199" t="str">
        <f>VLOOKUP(C839,'仕掛品名寄（貼付）'!B:C,2,FALSE)</f>
        <v>その他</v>
      </c>
      <c r="E839" s="199">
        <f>VLOOKUP(D839,'仕掛品標準単価一覧表（貼付）'!B:G,6,FALSE)</f>
        <v>1080</v>
      </c>
      <c r="F839" s="12" t="s">
        <v>246</v>
      </c>
      <c r="G839" s="13">
        <v>0</v>
      </c>
      <c r="H839" s="13">
        <f ca="1">SUMIF('1.3②原材料使用'!B:E,C839,'1.3②原材料使用'!E:E)</f>
        <v>0</v>
      </c>
      <c r="I839" s="13">
        <f ca="1">SUMIF('2.10原液別作業時間'!A:B,C839,'2.10原液別作業時間'!B:B)</f>
        <v>0</v>
      </c>
      <c r="J839" s="13">
        <f ca="1">SUM(G839:H839,K839)</f>
        <v>0</v>
      </c>
      <c r="K839" s="13">
        <f ca="1">SUMIF('2.2⑤純増減→前工程費'!B:E,C839,'2.2⑤純増減→前工程費'!E:E)</f>
        <v>0</v>
      </c>
      <c r="L839" s="13">
        <f ca="1">SUMIF('2.6完成品'!C:D,C839,'2.6完成品'!D:D)</f>
        <v>0</v>
      </c>
      <c r="M839" s="13">
        <f ca="1">SUMIF('2.3研究費'!D:E,C839,'2.3研究費'!E:E)</f>
        <v>0</v>
      </c>
      <c r="N839" s="13">
        <f ca="1">SUMIF('2.4販促費'!D:E,C839,'2.4販促費'!E:E)</f>
        <v>0</v>
      </c>
      <c r="O839" s="13">
        <f ca="1">SUMIF('2.5廃棄処分'!D:E,C839,'2.5廃棄処分'!E:E)</f>
        <v>0</v>
      </c>
      <c r="P839" s="13">
        <f ca="1">SUMIF('2.1④異種原液'!D:E,C839,'2.1④異種原液'!E:E)</f>
        <v>0</v>
      </c>
      <c r="Q839" s="14">
        <f ca="1">SUMIF('2.7製造部生産分'!D:I,C839,'2.7製造部生産分'!H:H)</f>
        <v>0</v>
      </c>
      <c r="R839" s="15">
        <f ca="1">-(G839+H839+K839-L839-M839-N839-O839-P839-Q839-S839)</f>
        <v>0</v>
      </c>
      <c r="S839" s="13">
        <f ca="1">SUMIF('2.9原液在庫'!B:H,C839,'2.9原液在庫'!H:H)</f>
        <v>0</v>
      </c>
      <c r="T839" s="16">
        <f ca="1">IFERROR(SUM(G840:K840)/(G839+H839+K839),0)</f>
        <v>0</v>
      </c>
      <c r="U839" s="17" t="str">
        <f>C839</f>
        <v>RTA</v>
      </c>
      <c r="V839" s="18">
        <f ca="1">IF(ISERROR(SUM(G840:K840)/SUM(L839:Q839,S839)),0,SUM(G840:K840)/SUM(L839:Q839,S839))</f>
        <v>0</v>
      </c>
      <c r="W839" s="19">
        <f ca="1">V839</f>
        <v>0</v>
      </c>
      <c r="X839" s="20">
        <f ca="1">W839/1000</f>
        <v>0</v>
      </c>
    </row>
    <row r="840" spans="1:24">
      <c r="A840" s="201"/>
      <c r="B840" s="201"/>
      <c r="C840" s="201"/>
      <c r="D840" s="199"/>
      <c r="E840" s="199"/>
      <c r="F840" s="21" t="s">
        <v>247</v>
      </c>
      <c r="G840" s="22" t="s">
        <v>254</v>
      </c>
      <c r="H840" s="184"/>
      <c r="I840" s="23">
        <f ca="1">I839*労務費経費単価SC!D$7</f>
        <v>0</v>
      </c>
      <c r="J840" s="23">
        <f ca="1">J839*労務費経費単価SC!D$11</f>
        <v>0</v>
      </c>
      <c r="K840" s="22">
        <f ca="1">K839*$E839</f>
        <v>0</v>
      </c>
      <c r="L840" s="22">
        <f ca="1">L839*$E839</f>
        <v>0</v>
      </c>
      <c r="M840" s="22">
        <f t="shared" ref="M840" ca="1" si="2913">M839*$E839</f>
        <v>0</v>
      </c>
      <c r="N840" s="22">
        <f t="shared" ref="N840" ca="1" si="2914">N839*$E839</f>
        <v>0</v>
      </c>
      <c r="O840" s="22">
        <f t="shared" ref="O840" ca="1" si="2915">O839*$E839</f>
        <v>0</v>
      </c>
      <c r="P840" s="22">
        <f t="shared" ref="P840" ca="1" si="2916">P839*$E839</f>
        <v>0</v>
      </c>
      <c r="Q840" s="22">
        <f t="shared" ref="Q840" ca="1" si="2917">Q839*$E839</f>
        <v>0</v>
      </c>
      <c r="R840" s="22">
        <f t="shared" ref="R840" ca="1" si="2918">R839*$E839</f>
        <v>0</v>
      </c>
      <c r="S840" s="22">
        <f t="shared" ref="S840" ca="1" si="2919">S839*$E839</f>
        <v>0</v>
      </c>
      <c r="U840" s="17"/>
      <c r="V840" s="18"/>
      <c r="W840" s="19"/>
      <c r="X840" s="20"/>
    </row>
    <row r="841" spans="1:24">
      <c r="A841" s="200"/>
      <c r="B841" s="211"/>
      <c r="C841" s="200" t="s">
        <v>531</v>
      </c>
      <c r="D841" s="199" t="str">
        <f>VLOOKUP(C841,'仕掛品名寄（貼付）'!B:C,2,FALSE)</f>
        <v>その他</v>
      </c>
      <c r="E841" s="199">
        <f>VLOOKUP(D841,'仕掛品標準単価一覧表（貼付）'!B:G,6,FALSE)</f>
        <v>1080</v>
      </c>
      <c r="F841" s="12" t="s">
        <v>246</v>
      </c>
      <c r="G841" s="13">
        <v>0</v>
      </c>
      <c r="H841" s="13">
        <f ca="1">SUMIF('1.3②原材料使用'!B:E,C841,'1.3②原材料使用'!E:E)</f>
        <v>0</v>
      </c>
      <c r="I841" s="13">
        <f ca="1">SUMIF('2.10原液別作業時間'!A:B,C841,'2.10原液別作業時間'!B:B)</f>
        <v>0</v>
      </c>
      <c r="J841" s="13">
        <f ca="1">SUM(G841:H841,K841)</f>
        <v>0</v>
      </c>
      <c r="K841" s="13">
        <f ca="1">SUMIF('2.2⑤純増減→前工程費'!B:E,C841,'2.2⑤純増減→前工程費'!E:E)</f>
        <v>0</v>
      </c>
      <c r="L841" s="13">
        <f ca="1">SUMIF('2.6完成品'!C:D,C841,'2.6完成品'!D:D)</f>
        <v>0</v>
      </c>
      <c r="M841" s="13">
        <f ca="1">SUMIF('2.3研究費'!D:E,C841,'2.3研究費'!E:E)</f>
        <v>0</v>
      </c>
      <c r="N841" s="13">
        <f ca="1">SUMIF('2.4販促費'!D:E,C841,'2.4販促費'!E:E)</f>
        <v>0</v>
      </c>
      <c r="O841" s="13">
        <f ca="1">SUMIF('2.5廃棄処分'!D:E,C841,'2.5廃棄処分'!E:E)</f>
        <v>0</v>
      </c>
      <c r="P841" s="13">
        <f ca="1">SUMIF('2.1④異種原液'!D:E,C841,'2.1④異種原液'!E:E)</f>
        <v>0</v>
      </c>
      <c r="Q841" s="14">
        <f ca="1">SUMIF('2.7製造部生産分'!D:I,C841,'2.7製造部生産分'!H:H)</f>
        <v>0</v>
      </c>
      <c r="R841" s="15">
        <f ca="1">-(G841+H841+K841-L841-M841-N841-O841-P841-Q841-S841)</f>
        <v>0</v>
      </c>
      <c r="S841" s="13">
        <f ca="1">SUMIF('2.9原液在庫'!B:H,C841,'2.9原液在庫'!H:H)</f>
        <v>0</v>
      </c>
      <c r="T841" s="16">
        <f ca="1">IFERROR(SUM(G842:K842)/(G841+H841+K841),0)</f>
        <v>0</v>
      </c>
      <c r="U841" s="17" t="str">
        <f>C841</f>
        <v>RTR</v>
      </c>
      <c r="V841" s="18">
        <f ca="1">IF(ISERROR(SUM(G842:K842)/SUM(L841:Q841,S841)),0,SUM(G842:K842)/SUM(L841:Q841,S841))</f>
        <v>0</v>
      </c>
      <c r="W841" s="19">
        <f ca="1">V841</f>
        <v>0</v>
      </c>
      <c r="X841" s="20">
        <f ca="1">W841/1000</f>
        <v>0</v>
      </c>
    </row>
    <row r="842" spans="1:24">
      <c r="A842" s="201"/>
      <c r="B842" s="201"/>
      <c r="C842" s="201"/>
      <c r="D842" s="199"/>
      <c r="E842" s="199"/>
      <c r="F842" s="21" t="s">
        <v>247</v>
      </c>
      <c r="G842" s="22" t="s">
        <v>254</v>
      </c>
      <c r="H842" s="184"/>
      <c r="I842" s="23">
        <f ca="1">I841*労務費経費単価SC!D$7</f>
        <v>0</v>
      </c>
      <c r="J842" s="23">
        <f ca="1">J841*労務費経費単価SC!D$11</f>
        <v>0</v>
      </c>
      <c r="K842" s="22">
        <f ca="1">K841*$E841</f>
        <v>0</v>
      </c>
      <c r="L842" s="22">
        <f ca="1">L841*$E841</f>
        <v>0</v>
      </c>
      <c r="M842" s="22">
        <f t="shared" ref="M842" ca="1" si="2920">M841*$E841</f>
        <v>0</v>
      </c>
      <c r="N842" s="22">
        <f t="shared" ref="N842" ca="1" si="2921">N841*$E841</f>
        <v>0</v>
      </c>
      <c r="O842" s="22">
        <f t="shared" ref="O842" ca="1" si="2922">O841*$E841</f>
        <v>0</v>
      </c>
      <c r="P842" s="22">
        <f t="shared" ref="P842" ca="1" si="2923">P841*$E841</f>
        <v>0</v>
      </c>
      <c r="Q842" s="22">
        <f t="shared" ref="Q842" ca="1" si="2924">Q841*$E841</f>
        <v>0</v>
      </c>
      <c r="R842" s="22">
        <f t="shared" ref="R842" ca="1" si="2925">R841*$E841</f>
        <v>0</v>
      </c>
      <c r="S842" s="22">
        <f t="shared" ref="S842" ca="1" si="2926">S841*$E841</f>
        <v>0</v>
      </c>
      <c r="U842" s="17"/>
      <c r="V842" s="18"/>
      <c r="W842" s="19"/>
      <c r="X842" s="20"/>
    </row>
    <row r="843" spans="1:24">
      <c r="A843" s="200"/>
      <c r="B843" s="211"/>
      <c r="C843" s="200" t="s">
        <v>532</v>
      </c>
      <c r="D843" s="199" t="str">
        <f>VLOOKUP(C843,'仕掛品名寄（貼付）'!B:C,2,FALSE)</f>
        <v>植物用</v>
      </c>
      <c r="E843" s="199">
        <f>VLOOKUP(D843,'仕掛品標準単価一覧表（貼付）'!B:G,6,FALSE)</f>
        <v>1247</v>
      </c>
      <c r="F843" s="12" t="s">
        <v>246</v>
      </c>
      <c r="G843" s="13">
        <v>101521.19999999995</v>
      </c>
      <c r="H843" s="13">
        <f ca="1">SUMIF('1.3②原材料使用'!B:E,C843,'1.3②原材料使用'!E:E)</f>
        <v>0</v>
      </c>
      <c r="I843" s="13">
        <f ca="1">SUMIF('2.10原液別作業時間'!A:B,C843,'2.10原液別作業時間'!B:B)</f>
        <v>0</v>
      </c>
      <c r="J843" s="13">
        <f ca="1">SUM(G843:H843,K843)</f>
        <v>101521.19999999995</v>
      </c>
      <c r="K843" s="13">
        <f ca="1">SUMIF('2.2⑤純増減→前工程費'!B:E,C843,'2.2⑤純増減→前工程費'!E:E)</f>
        <v>0</v>
      </c>
      <c r="L843" s="13">
        <f ca="1">SUMIF('2.6完成品'!C:D,C843,'2.6完成品'!D:D)</f>
        <v>0</v>
      </c>
      <c r="M843" s="13">
        <f ca="1">SUMIF('2.3研究費'!D:E,C843,'2.3研究費'!E:E)</f>
        <v>0</v>
      </c>
      <c r="N843" s="13">
        <f ca="1">SUMIF('2.4販促費'!D:E,C843,'2.4販促費'!E:E)</f>
        <v>0</v>
      </c>
      <c r="O843" s="13">
        <f ca="1">SUMIF('2.5廃棄処分'!D:E,C843,'2.5廃棄処分'!E:E)</f>
        <v>0</v>
      </c>
      <c r="P843" s="13">
        <f ca="1">SUMIF('2.1④異種原液'!D:E,C843,'2.1④異種原液'!E:E)</f>
        <v>0</v>
      </c>
      <c r="Q843" s="14">
        <f ca="1">SUMIF('2.7製造部生産分'!D:I,C843,'2.7製造部生産分'!H:H)</f>
        <v>0</v>
      </c>
      <c r="R843" s="15">
        <f ca="1">-(G843+H843+K843-L843-M843-N843-O843-P843-Q843-S843)</f>
        <v>0</v>
      </c>
      <c r="S843" s="13">
        <f ca="1">SUMIF('2.9原液在庫'!B:H,C843,'2.9原液在庫'!H:H)</f>
        <v>101521.19999999995</v>
      </c>
      <c r="T843" s="16">
        <f ca="1">IFERROR(SUM(G844:K844)/(G843+H843+K843),0)</f>
        <v>1217.2764125693191</v>
      </c>
      <c r="U843" s="17" t="str">
        <f>C843</f>
        <v>植物用ブレンド</v>
      </c>
      <c r="V843" s="18">
        <f ca="1">IF(ISERROR(SUM(G844:K844)/SUM(L843:Q843,S843)),0,SUM(G844:K844)/SUM(L843:Q843,S843))</f>
        <v>1217.2764125693191</v>
      </c>
      <c r="W843" s="19">
        <f ca="1">V843</f>
        <v>1217.2764125693191</v>
      </c>
      <c r="X843" s="20">
        <f ca="1">W843/1000</f>
        <v>1.217276412569319</v>
      </c>
    </row>
    <row r="844" spans="1:24">
      <c r="A844" s="201"/>
      <c r="B844" s="201"/>
      <c r="C844" s="201"/>
      <c r="D844" s="199"/>
      <c r="E844" s="199"/>
      <c r="F844" s="21" t="s">
        <v>247</v>
      </c>
      <c r="G844" s="22">
        <v>120533726.13573229</v>
      </c>
      <c r="H844" s="184"/>
      <c r="I844" s="23">
        <f ca="1">I843*労務費経費単価SC!D$7</f>
        <v>0</v>
      </c>
      <c r="J844" s="23">
        <f ca="1">J843*労務費経費単価SC!D$11</f>
        <v>3045635.9999999986</v>
      </c>
      <c r="K844" s="22">
        <f ca="1">K843*$E843</f>
        <v>0</v>
      </c>
      <c r="L844" s="22">
        <f ca="1">L843*$E843</f>
        <v>0</v>
      </c>
      <c r="M844" s="22">
        <f t="shared" ref="M844" ca="1" si="2927">M843*$E843</f>
        <v>0</v>
      </c>
      <c r="N844" s="22">
        <f t="shared" ref="N844" ca="1" si="2928">N843*$E843</f>
        <v>0</v>
      </c>
      <c r="O844" s="22">
        <f t="shared" ref="O844" ca="1" si="2929">O843*$E843</f>
        <v>0</v>
      </c>
      <c r="P844" s="22">
        <f t="shared" ref="P844" ca="1" si="2930">P843*$E843</f>
        <v>0</v>
      </c>
      <c r="Q844" s="22">
        <f t="shared" ref="Q844" ca="1" si="2931">Q843*$E843</f>
        <v>0</v>
      </c>
      <c r="R844" s="22">
        <f t="shared" ref="R844" ca="1" si="2932">R843*$E843</f>
        <v>0</v>
      </c>
      <c r="S844" s="22">
        <f t="shared" ref="S844" ca="1" si="2933">S843*$E843</f>
        <v>126596936.39999995</v>
      </c>
      <c r="U844" s="17"/>
      <c r="V844" s="18"/>
      <c r="W844" s="19"/>
      <c r="X844" s="20"/>
    </row>
    <row r="845" spans="1:24">
      <c r="A845" s="200"/>
      <c r="B845" s="211"/>
      <c r="C845" s="200" t="s">
        <v>533</v>
      </c>
      <c r="D845" s="199" t="str">
        <f>VLOOKUP(C845,'仕掛品名寄（貼付）'!B:C,2,FALSE)</f>
        <v>その他</v>
      </c>
      <c r="E845" s="199">
        <f>VLOOKUP(D845,'仕掛品標準単価一覧表（貼付）'!B:G,6,FALSE)</f>
        <v>1080</v>
      </c>
      <c r="F845" s="12" t="s">
        <v>246</v>
      </c>
      <c r="G845" s="13">
        <v>1820.9999999999927</v>
      </c>
      <c r="H845" s="13">
        <f ca="1">SUMIF('1.3②原材料使用'!B:E,C845,'1.3②原材料使用'!E:E)</f>
        <v>0</v>
      </c>
      <c r="I845" s="13">
        <f ca="1">SUMIF('2.10原液別作業時間'!A:B,C845,'2.10原液別作業時間'!B:B)</f>
        <v>0</v>
      </c>
      <c r="J845" s="13">
        <f ca="1">SUM(G845:H845,K845)</f>
        <v>1820.9999999999927</v>
      </c>
      <c r="K845" s="13">
        <f ca="1">SUMIF('2.2⑤純増減→前工程費'!B:E,C845,'2.2⑤純増減→前工程費'!E:E)</f>
        <v>0</v>
      </c>
      <c r="L845" s="13">
        <f ca="1">SUMIF('2.6完成品'!C:D,C845,'2.6完成品'!D:D)</f>
        <v>0</v>
      </c>
      <c r="M845" s="13">
        <f ca="1">SUMIF('2.3研究費'!D:E,C845,'2.3研究費'!E:E)</f>
        <v>0</v>
      </c>
      <c r="N845" s="13">
        <f ca="1">SUMIF('2.4販促費'!D:E,C845,'2.4販促費'!E:E)</f>
        <v>0</v>
      </c>
      <c r="O845" s="13">
        <f ca="1">SUMIF('2.5廃棄処分'!D:E,C845,'2.5廃棄処分'!E:E)</f>
        <v>0</v>
      </c>
      <c r="P845" s="13">
        <f ca="1">SUMIF('2.1④異種原液'!D:E,C845,'2.1④異種原液'!E:E)</f>
        <v>0</v>
      </c>
      <c r="Q845" s="14">
        <f ca="1">SUMIF('2.7製造部生産分'!D:I,C845,'2.7製造部生産分'!H:H)</f>
        <v>0</v>
      </c>
      <c r="R845" s="15">
        <f ca="1">-(G845+H845+K845-L845-M845-N845-O845-P845-Q845-S845)</f>
        <v>0</v>
      </c>
      <c r="S845" s="13">
        <f ca="1">SUMIF('2.9原液在庫'!B:H,C845,'2.9原液在庫'!H:H)</f>
        <v>1820.9999999999927</v>
      </c>
      <c r="T845" s="16">
        <f ca="1">IFERROR(SUM(G846:K846)/(G845+H845+K845),0)</f>
        <v>1223.6874328856366</v>
      </c>
      <c r="U845" s="17" t="str">
        <f>C845</f>
        <v>植物用ﾌﾞﾚﾝﾄﾞ(海)</v>
      </c>
      <c r="V845" s="18">
        <f ca="1">IF(ISERROR(SUM(G846:K846)/SUM(L845:Q845,S845)),0,SUM(G846:K846)/SUM(L845:Q845,S845))</f>
        <v>1223.6874328856366</v>
      </c>
      <c r="W845" s="19">
        <f ca="1">V845</f>
        <v>1223.6874328856366</v>
      </c>
      <c r="X845" s="20">
        <f ca="1">W845/1000</f>
        <v>1.2236874328856366</v>
      </c>
    </row>
    <row r="846" spans="1:24">
      <c r="A846" s="201"/>
      <c r="B846" s="201"/>
      <c r="C846" s="201"/>
      <c r="D846" s="199"/>
      <c r="E846" s="199"/>
      <c r="F846" s="21" t="s">
        <v>247</v>
      </c>
      <c r="G846" s="22">
        <v>2173704.8152847351</v>
      </c>
      <c r="H846" s="184"/>
      <c r="I846" s="23">
        <f ca="1">I845*労務費経費単価SC!D$7</f>
        <v>0</v>
      </c>
      <c r="J846" s="23">
        <f ca="1">J845*労務費経費単価SC!D$11</f>
        <v>54629.999999999782</v>
      </c>
      <c r="K846" s="22">
        <f ca="1">K845*$E845</f>
        <v>0</v>
      </c>
      <c r="L846" s="22">
        <f ca="1">L845*$E845</f>
        <v>0</v>
      </c>
      <c r="M846" s="22">
        <f t="shared" ref="M846" ca="1" si="2934">M845*$E845</f>
        <v>0</v>
      </c>
      <c r="N846" s="22">
        <f t="shared" ref="N846" ca="1" si="2935">N845*$E845</f>
        <v>0</v>
      </c>
      <c r="O846" s="22">
        <f t="shared" ref="O846" ca="1" si="2936">O845*$E845</f>
        <v>0</v>
      </c>
      <c r="P846" s="22">
        <f t="shared" ref="P846" ca="1" si="2937">P845*$E845</f>
        <v>0</v>
      </c>
      <c r="Q846" s="22">
        <f t="shared" ref="Q846" ca="1" si="2938">Q845*$E845</f>
        <v>0</v>
      </c>
      <c r="R846" s="22">
        <f t="shared" ref="R846" ca="1" si="2939">R845*$E845</f>
        <v>0</v>
      </c>
      <c r="S846" s="22">
        <f t="shared" ref="S846" ca="1" si="2940">S845*$E845</f>
        <v>1966679.9999999921</v>
      </c>
      <c r="U846" s="17"/>
      <c r="V846" s="18"/>
      <c r="W846" s="19"/>
      <c r="X846" s="20"/>
    </row>
    <row r="847" spans="1:24">
      <c r="A847" s="200"/>
      <c r="B847" s="211"/>
      <c r="C847" s="200" t="s">
        <v>233</v>
      </c>
      <c r="D847" s="199" t="str">
        <f>VLOOKUP(C847,'仕掛品名寄（貼付）'!B:C,2,FALSE)</f>
        <v>その他</v>
      </c>
      <c r="E847" s="199">
        <f>VLOOKUP(D847,'仕掛品標準単価一覧表（貼付）'!B:G,6,FALSE)</f>
        <v>1080</v>
      </c>
      <c r="F847" s="12" t="s">
        <v>246</v>
      </c>
      <c r="G847" s="13">
        <v>0</v>
      </c>
      <c r="H847" s="13">
        <f ca="1">SUMIF('1.3②原材料使用'!B:E,C847,'1.3②原材料使用'!E:E)</f>
        <v>0</v>
      </c>
      <c r="I847" s="13">
        <f ca="1">SUMIF('2.10原液別作業時間'!A:B,C847,'2.10原液別作業時間'!B:B)</f>
        <v>0</v>
      </c>
      <c r="J847" s="13">
        <f ca="1">SUM(G847:H847,K847)</f>
        <v>0</v>
      </c>
      <c r="K847" s="13">
        <f ca="1">SUMIF('2.2⑤純増減→前工程費'!B:E,C847,'2.2⑤純増減→前工程費'!E:E)</f>
        <v>0</v>
      </c>
      <c r="L847" s="13">
        <f ca="1">SUMIF('2.6完成品'!C:D,C847,'2.6完成品'!D:D)</f>
        <v>0</v>
      </c>
      <c r="M847" s="13">
        <f ca="1">SUMIF('2.3研究費'!D:E,C847,'2.3研究費'!E:E)</f>
        <v>0</v>
      </c>
      <c r="N847" s="13">
        <f ca="1">SUMIF('2.4販促費'!D:E,C847,'2.4販促費'!E:E)</f>
        <v>0</v>
      </c>
      <c r="O847" s="13">
        <f ca="1">SUMIF('2.5廃棄処分'!D:E,C847,'2.5廃棄処分'!E:E)</f>
        <v>0</v>
      </c>
      <c r="P847" s="13">
        <f ca="1">SUMIF('2.1④異種原液'!D:E,C847,'2.1④異種原液'!E:E)</f>
        <v>0</v>
      </c>
      <c r="Q847" s="14">
        <f ca="1">SUMIF('2.7製造部生産分'!D:I,C847,'2.7製造部生産分'!H:H)</f>
        <v>0</v>
      </c>
      <c r="R847" s="15">
        <f ca="1">-(G847+H847+K847-L847-M847-N847-O847-P847-Q847-S847)</f>
        <v>0</v>
      </c>
      <c r="S847" s="13">
        <f ca="1">SUMIF('2.9原液在庫'!B:H,C847,'2.9原液在庫'!H:H)</f>
        <v>0</v>
      </c>
      <c r="T847" s="16">
        <f ca="1">IFERROR(SUM(G848:K848)/(G847+H847+K847),0)</f>
        <v>0</v>
      </c>
      <c r="U847" s="17" t="str">
        <f>C847</f>
        <v>植物用ﾌﾞﾚﾝﾄﾞB(海)</v>
      </c>
      <c r="V847" s="18">
        <f ca="1">IF(ISERROR(SUM(G848:K848)/SUM(L847:Q847,S847)),0,SUM(G848:K848)/SUM(L847:Q847,S847))</f>
        <v>0</v>
      </c>
      <c r="W847" s="19">
        <f ca="1">V847</f>
        <v>0</v>
      </c>
      <c r="X847" s="20">
        <f ca="1">W847/1000</f>
        <v>0</v>
      </c>
    </row>
    <row r="848" spans="1:24">
      <c r="A848" s="201"/>
      <c r="B848" s="201"/>
      <c r="C848" s="201"/>
      <c r="D848" s="199"/>
      <c r="E848" s="199"/>
      <c r="F848" s="21" t="s">
        <v>247</v>
      </c>
      <c r="G848" s="22" t="s">
        <v>254</v>
      </c>
      <c r="H848" s="184"/>
      <c r="I848" s="23">
        <f ca="1">I847*労務費経費単価SC!D$7</f>
        <v>0</v>
      </c>
      <c r="J848" s="23">
        <f ca="1">J847*労務費経費単価SC!D$11</f>
        <v>0</v>
      </c>
      <c r="K848" s="22">
        <f ca="1">K847*$E847</f>
        <v>0</v>
      </c>
      <c r="L848" s="22">
        <f ca="1">L847*$E847</f>
        <v>0</v>
      </c>
      <c r="M848" s="22">
        <f t="shared" ref="M848" ca="1" si="2941">M847*$E847</f>
        <v>0</v>
      </c>
      <c r="N848" s="22">
        <f t="shared" ref="N848" ca="1" si="2942">N847*$E847</f>
        <v>0</v>
      </c>
      <c r="O848" s="22">
        <f t="shared" ref="O848" ca="1" si="2943">O847*$E847</f>
        <v>0</v>
      </c>
      <c r="P848" s="22">
        <f t="shared" ref="P848" ca="1" si="2944">P847*$E847</f>
        <v>0</v>
      </c>
      <c r="Q848" s="22">
        <f t="shared" ref="Q848" ca="1" si="2945">Q847*$E847</f>
        <v>0</v>
      </c>
      <c r="R848" s="22">
        <f t="shared" ref="R848" ca="1" si="2946">R847*$E847</f>
        <v>0</v>
      </c>
      <c r="S848" s="22">
        <f t="shared" ref="S848" ca="1" si="2947">S847*$E847</f>
        <v>0</v>
      </c>
      <c r="U848" s="17"/>
      <c r="V848" s="18"/>
      <c r="W848" s="19"/>
      <c r="X848" s="20"/>
    </row>
    <row r="849" spans="1:24">
      <c r="A849" s="200"/>
      <c r="B849" s="211"/>
      <c r="C849" s="200" t="s">
        <v>534</v>
      </c>
      <c r="D849" s="199" t="str">
        <f>VLOOKUP(C849,'仕掛品名寄（貼付）'!B:C,2,FALSE)</f>
        <v>その他</v>
      </c>
      <c r="E849" s="199">
        <f>VLOOKUP(D849,'仕掛品標準単価一覧表（貼付）'!B:G,6,FALSE)</f>
        <v>1080</v>
      </c>
      <c r="F849" s="12" t="s">
        <v>246</v>
      </c>
      <c r="G849" s="13">
        <v>0</v>
      </c>
      <c r="H849" s="13">
        <f ca="1">SUMIF('1.3②原材料使用'!B:E,C849,'1.3②原材料使用'!E:E)</f>
        <v>0</v>
      </c>
      <c r="I849" s="13">
        <f ca="1">SUMIF('2.10原液別作業時間'!A:B,C849,'2.10原液別作業時間'!B:B)</f>
        <v>0</v>
      </c>
      <c r="J849" s="13">
        <f ca="1">SUM(G849:H849,K849)</f>
        <v>0</v>
      </c>
      <c r="K849" s="13">
        <f ca="1">SUMIF('2.2⑤純増減→前工程費'!B:E,C849,'2.2⑤純増減→前工程費'!E:E)</f>
        <v>0</v>
      </c>
      <c r="L849" s="13">
        <f ca="1">SUMIF('2.6完成品'!C:D,C849,'2.6完成品'!D:D)</f>
        <v>0</v>
      </c>
      <c r="M849" s="13">
        <f ca="1">SUMIF('2.3研究費'!D:E,C849,'2.3研究費'!E:E)</f>
        <v>0</v>
      </c>
      <c r="N849" s="13">
        <f ca="1">SUMIF('2.4販促費'!D:E,C849,'2.4販促費'!E:E)</f>
        <v>0</v>
      </c>
      <c r="O849" s="13">
        <f ca="1">SUMIF('2.5廃棄処分'!D:E,C849,'2.5廃棄処分'!E:E)</f>
        <v>0</v>
      </c>
      <c r="P849" s="13">
        <f ca="1">SUMIF('2.1④異種原液'!D:E,C849,'2.1④異種原液'!E:E)</f>
        <v>0</v>
      </c>
      <c r="Q849" s="14">
        <f ca="1">SUMIF('2.7製造部生産分'!D:I,C849,'2.7製造部生産分'!H:H)</f>
        <v>0</v>
      </c>
      <c r="R849" s="15">
        <f ca="1">-(G849+H849+K849-L849-M849-N849-O849-P849-Q849-S849)</f>
        <v>0</v>
      </c>
      <c r="S849" s="13">
        <f ca="1">SUMIF('2.9原液在庫'!B:H,C849,'2.9原液在庫'!H:H)</f>
        <v>0</v>
      </c>
      <c r="T849" s="16">
        <f ca="1">IFERROR(SUM(G850:K850)/(G849+H849+K849),0)</f>
        <v>0</v>
      </c>
      <c r="U849" s="17" t="str">
        <f>C849</f>
        <v>一途B</v>
      </c>
      <c r="V849" s="18">
        <f ca="1">IF(ISERROR(SUM(G850:K850)/SUM(L849:Q849,S849)),0,SUM(G850:K850)/SUM(L849:Q849,S849))</f>
        <v>0</v>
      </c>
      <c r="W849" s="19">
        <f ca="1">V849</f>
        <v>0</v>
      </c>
      <c r="X849" s="20">
        <f ca="1">W849/1000</f>
        <v>0</v>
      </c>
    </row>
    <row r="850" spans="1:24">
      <c r="A850" s="201"/>
      <c r="B850" s="201"/>
      <c r="C850" s="201"/>
      <c r="D850" s="199"/>
      <c r="E850" s="199"/>
      <c r="F850" s="21" t="s">
        <v>247</v>
      </c>
      <c r="G850" s="22" t="s">
        <v>254</v>
      </c>
      <c r="H850" s="184"/>
      <c r="I850" s="23">
        <f ca="1">I849*労務費経費単価SC!D$7</f>
        <v>0</v>
      </c>
      <c r="J850" s="23">
        <f ca="1">J849*労務費経費単価SC!D$11</f>
        <v>0</v>
      </c>
      <c r="K850" s="22">
        <f ca="1">K849*$E849</f>
        <v>0</v>
      </c>
      <c r="L850" s="22">
        <f ca="1">L849*$E849</f>
        <v>0</v>
      </c>
      <c r="M850" s="22">
        <f t="shared" ref="M850" ca="1" si="2948">M849*$E849</f>
        <v>0</v>
      </c>
      <c r="N850" s="22">
        <f t="shared" ref="N850" ca="1" si="2949">N849*$E849</f>
        <v>0</v>
      </c>
      <c r="O850" s="22">
        <f t="shared" ref="O850" ca="1" si="2950">O849*$E849</f>
        <v>0</v>
      </c>
      <c r="P850" s="22">
        <f t="shared" ref="P850" ca="1" si="2951">P849*$E849</f>
        <v>0</v>
      </c>
      <c r="Q850" s="22">
        <f t="shared" ref="Q850" ca="1" si="2952">Q849*$E849</f>
        <v>0</v>
      </c>
      <c r="R850" s="22">
        <f t="shared" ref="R850" ca="1" si="2953">R849*$E849</f>
        <v>0</v>
      </c>
      <c r="S850" s="22">
        <f t="shared" ref="S850" ca="1" si="2954">S849*$E849</f>
        <v>0</v>
      </c>
      <c r="U850" s="17"/>
      <c r="V850" s="18"/>
      <c r="W850" s="19"/>
      <c r="X850" s="20"/>
    </row>
    <row r="851" spans="1:24">
      <c r="A851" s="200"/>
      <c r="B851" s="211"/>
      <c r="C851" s="200" t="s">
        <v>535</v>
      </c>
      <c r="D851" s="199" t="str">
        <f>VLOOKUP(C851,'仕掛品名寄（貼付）'!B:C,2,FALSE)</f>
        <v>その他</v>
      </c>
      <c r="E851" s="199">
        <f>VLOOKUP(D851,'仕掛品標準単価一覧表（貼付）'!B:G,6,FALSE)</f>
        <v>1080</v>
      </c>
      <c r="F851" s="12" t="s">
        <v>246</v>
      </c>
      <c r="G851" s="13">
        <v>0</v>
      </c>
      <c r="H851" s="13">
        <f ca="1">SUMIF('1.3②原材料使用'!B:E,C851,'1.3②原材料使用'!E:E)</f>
        <v>0</v>
      </c>
      <c r="I851" s="13">
        <f ca="1">SUMIF('2.10原液別作業時間'!A:B,C851,'2.10原液別作業時間'!B:B)</f>
        <v>0</v>
      </c>
      <c r="J851" s="13">
        <f ca="1">SUM(G851:H851,K851)</f>
        <v>0</v>
      </c>
      <c r="K851" s="13">
        <f ca="1">SUMIF('2.2⑤純増減→前工程費'!B:E,C851,'2.2⑤純増減→前工程費'!E:E)</f>
        <v>0</v>
      </c>
      <c r="L851" s="13">
        <f ca="1">SUMIF('2.6完成品'!C:D,C851,'2.6完成品'!D:D)</f>
        <v>0</v>
      </c>
      <c r="M851" s="13">
        <f ca="1">SUMIF('2.3研究費'!D:E,C851,'2.3研究費'!E:E)</f>
        <v>0</v>
      </c>
      <c r="N851" s="13">
        <f ca="1">SUMIF('2.4販促費'!D:E,C851,'2.4販促費'!E:E)</f>
        <v>0</v>
      </c>
      <c r="O851" s="13">
        <f ca="1">SUMIF('2.5廃棄処分'!D:E,C851,'2.5廃棄処分'!E:E)</f>
        <v>0</v>
      </c>
      <c r="P851" s="13">
        <f ca="1">SUMIF('2.1④異種原液'!D:E,C851,'2.1④異種原液'!E:E)</f>
        <v>0</v>
      </c>
      <c r="Q851" s="14">
        <f ca="1">SUMIF('2.7製造部生産分'!D:I,C851,'2.7製造部生産分'!H:H)</f>
        <v>0</v>
      </c>
      <c r="R851" s="15">
        <f ca="1">-(G851+H851+K851-L851-M851-N851-O851-P851-Q851-S851)</f>
        <v>0</v>
      </c>
      <c r="S851" s="13">
        <f ca="1">SUMIF('2.9原液在庫'!B:H,C851,'2.9原液在庫'!H:H)</f>
        <v>0</v>
      </c>
      <c r="T851" s="16">
        <f ca="1">IFERROR(SUM(G852:K852)/(G851+H851+K851),0)</f>
        <v>0</v>
      </c>
      <c r="U851" s="17" t="str">
        <f>C851</f>
        <v>ｶﾘﾝ黒糖漬け</v>
      </c>
      <c r="V851" s="18">
        <f ca="1">IF(ISERROR(SUM(G852:K852)/SUM(L851:Q851,S851)),0,SUM(G852:K852)/SUM(L851:Q851,S851))</f>
        <v>0</v>
      </c>
      <c r="W851" s="19">
        <f ca="1">V851</f>
        <v>0</v>
      </c>
      <c r="X851" s="20">
        <f ca="1">W851/1000</f>
        <v>0</v>
      </c>
    </row>
    <row r="852" spans="1:24">
      <c r="A852" s="201"/>
      <c r="B852" s="201"/>
      <c r="C852" s="201"/>
      <c r="D852" s="199"/>
      <c r="E852" s="199"/>
      <c r="F852" s="21" t="s">
        <v>247</v>
      </c>
      <c r="G852" s="22" t="s">
        <v>254</v>
      </c>
      <c r="H852" s="184"/>
      <c r="I852" s="23">
        <f ca="1">I851*労務費経費単価SC!D$7</f>
        <v>0</v>
      </c>
      <c r="J852" s="23">
        <f ca="1">J851*労務費経費単価SC!D$11</f>
        <v>0</v>
      </c>
      <c r="K852" s="22">
        <f ca="1">K851*$E851</f>
        <v>0</v>
      </c>
      <c r="L852" s="22">
        <f ca="1">L851*$E851</f>
        <v>0</v>
      </c>
      <c r="M852" s="22">
        <f t="shared" ref="M852" ca="1" si="2955">M851*$E851</f>
        <v>0</v>
      </c>
      <c r="N852" s="22">
        <f t="shared" ref="N852" ca="1" si="2956">N851*$E851</f>
        <v>0</v>
      </c>
      <c r="O852" s="22">
        <f t="shared" ref="O852" ca="1" si="2957">O851*$E851</f>
        <v>0</v>
      </c>
      <c r="P852" s="22">
        <f t="shared" ref="P852" ca="1" si="2958">P851*$E851</f>
        <v>0</v>
      </c>
      <c r="Q852" s="22">
        <f t="shared" ref="Q852" ca="1" si="2959">Q851*$E851</f>
        <v>0</v>
      </c>
      <c r="R852" s="22">
        <f t="shared" ref="R852" ca="1" si="2960">R851*$E851</f>
        <v>0</v>
      </c>
      <c r="S852" s="22">
        <f t="shared" ref="S852" ca="1" si="2961">S851*$E851</f>
        <v>0</v>
      </c>
      <c r="U852" s="17"/>
      <c r="V852" s="18"/>
      <c r="W852" s="19"/>
      <c r="X852" s="20"/>
    </row>
    <row r="853" spans="1:24">
      <c r="A853" s="200"/>
      <c r="B853" s="211"/>
      <c r="C853" s="200" t="s">
        <v>536</v>
      </c>
      <c r="D853" s="199" t="str">
        <f>VLOOKUP(C853,'仕掛品名寄（貼付）'!B:C,2,FALSE)</f>
        <v>その他</v>
      </c>
      <c r="E853" s="199">
        <f>VLOOKUP(D853,'仕掛品標準単価一覧表（貼付）'!B:G,6,FALSE)</f>
        <v>1080</v>
      </c>
      <c r="F853" s="12" t="s">
        <v>246</v>
      </c>
      <c r="G853" s="13">
        <v>0</v>
      </c>
      <c r="H853" s="13">
        <f ca="1">SUMIF('1.3②原材料使用'!B:E,C853,'1.3②原材料使用'!E:E)</f>
        <v>0</v>
      </c>
      <c r="I853" s="13">
        <f ca="1">SUMIF('2.10原液別作業時間'!A:B,C853,'2.10原液別作業時間'!B:B)</f>
        <v>0</v>
      </c>
      <c r="J853" s="13">
        <f ca="1">SUM(G853:H853,K853)</f>
        <v>0</v>
      </c>
      <c r="K853" s="13">
        <f ca="1">SUMIF('2.2⑤純増減→前工程費'!B:E,C853,'2.2⑤純増減→前工程費'!E:E)</f>
        <v>0</v>
      </c>
      <c r="L853" s="13">
        <f ca="1">SUMIF('2.6完成品'!C:D,C853,'2.6完成品'!D:D)</f>
        <v>0</v>
      </c>
      <c r="M853" s="13">
        <f ca="1">SUMIF('2.3研究費'!D:E,C853,'2.3研究費'!E:E)</f>
        <v>0</v>
      </c>
      <c r="N853" s="13">
        <f ca="1">SUMIF('2.4販促費'!D:E,C853,'2.4販促費'!E:E)</f>
        <v>0</v>
      </c>
      <c r="O853" s="13">
        <f ca="1">SUMIF('2.5廃棄処分'!D:E,C853,'2.5廃棄処分'!E:E)</f>
        <v>0</v>
      </c>
      <c r="P853" s="13">
        <f ca="1">SUMIF('2.1④異種原液'!D:E,C853,'2.1④異種原液'!E:E)</f>
        <v>0</v>
      </c>
      <c r="Q853" s="14">
        <f ca="1">SUMIF('2.7製造部生産分'!D:I,C853,'2.7製造部生産分'!H:H)</f>
        <v>0</v>
      </c>
      <c r="R853" s="15">
        <f ca="1">-(G853+H853+K853-L853-M853-N853-O853-P853-Q853-S853)</f>
        <v>0</v>
      </c>
      <c r="S853" s="13">
        <f ca="1">SUMIF('2.9原液在庫'!B:H,C853,'2.9原液在庫'!H:H)</f>
        <v>0</v>
      </c>
      <c r="T853" s="16">
        <f ca="1">IFERROR(SUM(G854:K854)/(G853+H853+K853),0)</f>
        <v>0</v>
      </c>
      <c r="U853" s="17" t="str">
        <f>C853</f>
        <v>ﾋﾞﾜ黒糖漬け</v>
      </c>
      <c r="V853" s="18">
        <f ca="1">IF(ISERROR(SUM(G854:K854)/SUM(L853:Q853,S853)),0,SUM(G854:K854)/SUM(L853:Q853,S853))</f>
        <v>0</v>
      </c>
      <c r="W853" s="19">
        <f ca="1">V853</f>
        <v>0</v>
      </c>
      <c r="X853" s="20">
        <f ca="1">W853/1000</f>
        <v>0</v>
      </c>
    </row>
    <row r="854" spans="1:24">
      <c r="A854" s="201"/>
      <c r="B854" s="201"/>
      <c r="C854" s="201"/>
      <c r="D854" s="199"/>
      <c r="E854" s="199"/>
      <c r="F854" s="21" t="s">
        <v>247</v>
      </c>
      <c r="G854" s="22" t="s">
        <v>254</v>
      </c>
      <c r="H854" s="184"/>
      <c r="I854" s="23">
        <f ca="1">I853*労務費経費単価SC!D$7</f>
        <v>0</v>
      </c>
      <c r="J854" s="23">
        <f ca="1">J853*労務費経費単価SC!D$11</f>
        <v>0</v>
      </c>
      <c r="K854" s="22">
        <f ca="1">K853*$E853</f>
        <v>0</v>
      </c>
      <c r="L854" s="22">
        <f ca="1">L853*$E853</f>
        <v>0</v>
      </c>
      <c r="M854" s="22">
        <f t="shared" ref="M854" ca="1" si="2962">M853*$E853</f>
        <v>0</v>
      </c>
      <c r="N854" s="22">
        <f t="shared" ref="N854" ca="1" si="2963">N853*$E853</f>
        <v>0</v>
      </c>
      <c r="O854" s="22">
        <f t="shared" ref="O854" ca="1" si="2964">O853*$E853</f>
        <v>0</v>
      </c>
      <c r="P854" s="22">
        <f t="shared" ref="P854" ca="1" si="2965">P853*$E853</f>
        <v>0</v>
      </c>
      <c r="Q854" s="22">
        <f t="shared" ref="Q854" ca="1" si="2966">Q853*$E853</f>
        <v>0</v>
      </c>
      <c r="R854" s="22">
        <f t="shared" ref="R854" ca="1" si="2967">R853*$E853</f>
        <v>0</v>
      </c>
      <c r="S854" s="22">
        <f t="shared" ref="S854" ca="1" si="2968">S853*$E853</f>
        <v>0</v>
      </c>
      <c r="U854" s="17"/>
      <c r="V854" s="18"/>
      <c r="W854" s="19"/>
      <c r="X854" s="20"/>
    </row>
    <row r="855" spans="1:24">
      <c r="A855" s="200"/>
      <c r="B855" s="211"/>
      <c r="C855" s="200" t="s">
        <v>537</v>
      </c>
      <c r="D855" s="199" t="str">
        <f>VLOOKUP(C855,'仕掛品名寄（貼付）'!B:C,2,FALSE)</f>
        <v>その他</v>
      </c>
      <c r="E855" s="199">
        <f>VLOOKUP(D855,'仕掛品標準単価一覧表（貼付）'!B:G,6,FALSE)</f>
        <v>1080</v>
      </c>
      <c r="F855" s="12" t="s">
        <v>246</v>
      </c>
      <c r="G855" s="13">
        <v>0</v>
      </c>
      <c r="H855" s="13">
        <f ca="1">SUMIF('1.3②原材料使用'!B:E,C855,'1.3②原材料使用'!E:E)</f>
        <v>0</v>
      </c>
      <c r="I855" s="13">
        <f ca="1">SUMIF('2.10原液別作業時間'!A:B,C855,'2.10原液別作業時間'!B:B)</f>
        <v>0</v>
      </c>
      <c r="J855" s="13">
        <f ca="1">SUM(G855:H855,K855)</f>
        <v>0</v>
      </c>
      <c r="K855" s="13">
        <f ca="1">SUMIF('2.2⑤純増減→前工程費'!B:E,C855,'2.2⑤純増減→前工程費'!E:E)</f>
        <v>0</v>
      </c>
      <c r="L855" s="13">
        <f ca="1">SUMIF('2.6完成品'!C:D,C855,'2.6完成品'!D:D)</f>
        <v>0</v>
      </c>
      <c r="M855" s="13">
        <f ca="1">SUMIF('2.3研究費'!D:E,C855,'2.3研究費'!E:E)</f>
        <v>0</v>
      </c>
      <c r="N855" s="13">
        <f ca="1">SUMIF('2.4販促費'!D:E,C855,'2.4販促費'!E:E)</f>
        <v>0</v>
      </c>
      <c r="O855" s="13">
        <f ca="1">SUMIF('2.5廃棄処分'!D:E,C855,'2.5廃棄処分'!E:E)</f>
        <v>0</v>
      </c>
      <c r="P855" s="13">
        <f ca="1">SUMIF('2.1④異種原液'!D:E,C855,'2.1④異種原液'!E:E)</f>
        <v>0</v>
      </c>
      <c r="Q855" s="14">
        <f ca="1">SUMIF('2.7製造部生産分'!D:I,C855,'2.7製造部生産分'!H:H)</f>
        <v>0</v>
      </c>
      <c r="R855" s="15">
        <f ca="1">-(G855+H855+K855-L855-M855-N855-O855-P855-Q855-S855)</f>
        <v>0</v>
      </c>
      <c r="S855" s="13">
        <f ca="1">SUMIF('2.9原液在庫'!B:H,C855,'2.9原液在庫'!H:H)</f>
        <v>0</v>
      </c>
      <c r="T855" s="16">
        <f ca="1">IFERROR(SUM(G856:K856)/(G855+H855+K855),0)</f>
        <v>0</v>
      </c>
      <c r="U855" s="17" t="str">
        <f>C855</f>
        <v>山ﾌﾞﾄﾞｳ黒糖漬け</v>
      </c>
      <c r="V855" s="18">
        <f ca="1">IF(ISERROR(SUM(G856:K856)/SUM(L855:Q855,S855)),0,SUM(G856:K856)/SUM(L855:Q855,S855))</f>
        <v>0</v>
      </c>
      <c r="W855" s="19">
        <f ca="1">V855</f>
        <v>0</v>
      </c>
      <c r="X855" s="20">
        <f ca="1">W855/1000</f>
        <v>0</v>
      </c>
    </row>
    <row r="856" spans="1:24">
      <c r="A856" s="201"/>
      <c r="B856" s="201"/>
      <c r="C856" s="201"/>
      <c r="D856" s="199"/>
      <c r="E856" s="199"/>
      <c r="F856" s="21" t="s">
        <v>247</v>
      </c>
      <c r="G856" s="22" t="s">
        <v>254</v>
      </c>
      <c r="H856" s="184"/>
      <c r="I856" s="23">
        <f ca="1">I855*労務費経費単価SC!D$7</f>
        <v>0</v>
      </c>
      <c r="J856" s="23">
        <f ca="1">J855*労務費経費単価SC!D$11</f>
        <v>0</v>
      </c>
      <c r="K856" s="22">
        <f ca="1">K855*$E855</f>
        <v>0</v>
      </c>
      <c r="L856" s="22">
        <f ca="1">L855*$E855</f>
        <v>0</v>
      </c>
      <c r="M856" s="22">
        <f t="shared" ref="M856" ca="1" si="2969">M855*$E855</f>
        <v>0</v>
      </c>
      <c r="N856" s="22">
        <f t="shared" ref="N856" ca="1" si="2970">N855*$E855</f>
        <v>0</v>
      </c>
      <c r="O856" s="22">
        <f t="shared" ref="O856" ca="1" si="2971">O855*$E855</f>
        <v>0</v>
      </c>
      <c r="P856" s="22">
        <f t="shared" ref="P856" ca="1" si="2972">P855*$E855</f>
        <v>0</v>
      </c>
      <c r="Q856" s="22">
        <f t="shared" ref="Q856" ca="1" si="2973">Q855*$E855</f>
        <v>0</v>
      </c>
      <c r="R856" s="22">
        <f t="shared" ref="R856" ca="1" si="2974">R855*$E855</f>
        <v>0</v>
      </c>
      <c r="S856" s="22">
        <f t="shared" ref="S856" ca="1" si="2975">S855*$E855</f>
        <v>0</v>
      </c>
      <c r="U856" s="17"/>
      <c r="V856" s="18"/>
      <c r="W856" s="19"/>
      <c r="X856" s="20"/>
    </row>
    <row r="857" spans="1:24">
      <c r="A857" s="200"/>
      <c r="B857" s="211"/>
      <c r="C857" s="200" t="s">
        <v>538</v>
      </c>
      <c r="D857" s="199" t="str">
        <f>VLOOKUP(C857,'仕掛品名寄（貼付）'!B:C,2,FALSE)</f>
        <v>その他</v>
      </c>
      <c r="E857" s="199">
        <f>VLOOKUP(D857,'仕掛品標準単価一覧表（貼付）'!B:G,6,FALSE)</f>
        <v>1080</v>
      </c>
      <c r="F857" s="12" t="s">
        <v>246</v>
      </c>
      <c r="G857" s="13">
        <v>0</v>
      </c>
      <c r="H857" s="13">
        <f ca="1">SUMIF('1.3②原材料使用'!B:E,C857,'1.3②原材料使用'!E:E)</f>
        <v>0</v>
      </c>
      <c r="I857" s="13">
        <f ca="1">SUMIF('2.10原液別作業時間'!A:B,C857,'2.10原液別作業時間'!B:B)</f>
        <v>0</v>
      </c>
      <c r="J857" s="13">
        <f ca="1">SUM(G857:H857,K857)</f>
        <v>0</v>
      </c>
      <c r="K857" s="13">
        <f ca="1">SUMIF('2.2⑤純増減→前工程費'!B:E,C857,'2.2⑤純増減→前工程費'!E:E)</f>
        <v>0</v>
      </c>
      <c r="L857" s="13">
        <f ca="1">SUMIF('2.6完成品'!C:D,C857,'2.6完成品'!D:D)</f>
        <v>0</v>
      </c>
      <c r="M857" s="13">
        <f ca="1">SUMIF('2.3研究費'!D:E,C857,'2.3研究費'!E:E)</f>
        <v>0</v>
      </c>
      <c r="N857" s="13">
        <f ca="1">SUMIF('2.4販促費'!D:E,C857,'2.4販促費'!E:E)</f>
        <v>0</v>
      </c>
      <c r="O857" s="13">
        <f ca="1">SUMIF('2.5廃棄処分'!D:E,C857,'2.5廃棄処分'!E:E)</f>
        <v>0</v>
      </c>
      <c r="P857" s="13">
        <f ca="1">SUMIF('2.1④異種原液'!D:E,C857,'2.1④異種原液'!E:E)</f>
        <v>0</v>
      </c>
      <c r="Q857" s="14">
        <f ca="1">SUMIF('2.7製造部生産分'!D:I,C857,'2.7製造部生産分'!H:H)</f>
        <v>0</v>
      </c>
      <c r="R857" s="15">
        <f ca="1">-(G857+H857+K857-L857-M857-N857-O857-P857-Q857-S857)</f>
        <v>0</v>
      </c>
      <c r="S857" s="13">
        <f ca="1">SUMIF('2.9原液在庫'!B:H,C857,'2.9原液在庫'!H:H)</f>
        <v>0</v>
      </c>
      <c r="T857" s="16">
        <f ca="1">IFERROR(SUM(G858:K858)/(G857+H857+K857),0)</f>
        <v>0</v>
      </c>
      <c r="U857" s="17" t="str">
        <f>C857</f>
        <v>ｱｹﾋﾞ黒糖漬け</v>
      </c>
      <c r="V857" s="18">
        <f ca="1">IF(ISERROR(SUM(G858:K858)/SUM(L857:Q857,S857)),0,SUM(G858:K858)/SUM(L857:Q857,S857))</f>
        <v>0</v>
      </c>
      <c r="W857" s="19">
        <f ca="1">V857</f>
        <v>0</v>
      </c>
      <c r="X857" s="20">
        <f ca="1">W857/1000</f>
        <v>0</v>
      </c>
    </row>
    <row r="858" spans="1:24">
      <c r="A858" s="201"/>
      <c r="B858" s="201"/>
      <c r="C858" s="201"/>
      <c r="D858" s="199"/>
      <c r="E858" s="199"/>
      <c r="F858" s="21" t="s">
        <v>247</v>
      </c>
      <c r="G858" s="22" t="s">
        <v>254</v>
      </c>
      <c r="H858" s="184"/>
      <c r="I858" s="23">
        <f ca="1">I857*労務費経費単価SC!D$7</f>
        <v>0</v>
      </c>
      <c r="J858" s="23">
        <f ca="1">J857*労務費経費単価SC!D$11</f>
        <v>0</v>
      </c>
      <c r="K858" s="22">
        <f ca="1">K857*$E857</f>
        <v>0</v>
      </c>
      <c r="L858" s="22">
        <f ca="1">L857*$E857</f>
        <v>0</v>
      </c>
      <c r="M858" s="22">
        <f t="shared" ref="M858" ca="1" si="2976">M857*$E857</f>
        <v>0</v>
      </c>
      <c r="N858" s="22">
        <f t="shared" ref="N858" ca="1" si="2977">N857*$E857</f>
        <v>0</v>
      </c>
      <c r="O858" s="22">
        <f t="shared" ref="O858" ca="1" si="2978">O857*$E857</f>
        <v>0</v>
      </c>
      <c r="P858" s="22">
        <f t="shared" ref="P858" ca="1" si="2979">P857*$E857</f>
        <v>0</v>
      </c>
      <c r="Q858" s="22">
        <f t="shared" ref="Q858" ca="1" si="2980">Q857*$E857</f>
        <v>0</v>
      </c>
      <c r="R858" s="22">
        <f t="shared" ref="R858" ca="1" si="2981">R857*$E857</f>
        <v>0</v>
      </c>
      <c r="S858" s="22">
        <f t="shared" ref="S858" ca="1" si="2982">S857*$E857</f>
        <v>0</v>
      </c>
      <c r="U858" s="17"/>
      <c r="V858" s="18"/>
      <c r="W858" s="19"/>
      <c r="X858" s="20"/>
    </row>
    <row r="859" spans="1:24">
      <c r="A859" s="200"/>
      <c r="B859" s="211"/>
      <c r="C859" s="200" t="s">
        <v>539</v>
      </c>
      <c r="D859" s="199" t="str">
        <f>VLOOKUP(C859,'仕掛品名寄（貼付）'!B:C,2,FALSE)</f>
        <v>その他</v>
      </c>
      <c r="E859" s="199">
        <f>VLOOKUP(D859,'仕掛品標準単価一覧表（貼付）'!B:G,6,FALSE)</f>
        <v>1080</v>
      </c>
      <c r="F859" s="12" t="s">
        <v>246</v>
      </c>
      <c r="G859" s="13">
        <v>0</v>
      </c>
      <c r="H859" s="13">
        <f ca="1">SUMIF('1.3②原材料使用'!B:E,C859,'1.3②原材料使用'!E:E)</f>
        <v>0</v>
      </c>
      <c r="I859" s="13">
        <f ca="1">SUMIF('2.10原液別作業時間'!A:B,C859,'2.10原液別作業時間'!B:B)</f>
        <v>0</v>
      </c>
      <c r="J859" s="13">
        <f ca="1">SUM(G859:H859,K859)</f>
        <v>0</v>
      </c>
      <c r="K859" s="13">
        <f ca="1">SUMIF('2.2⑤純増減→前工程費'!B:E,C859,'2.2⑤純増減→前工程費'!E:E)</f>
        <v>0</v>
      </c>
      <c r="L859" s="13">
        <f ca="1">SUMIF('2.6完成品'!C:D,C859,'2.6完成品'!D:D)</f>
        <v>0</v>
      </c>
      <c r="M859" s="13">
        <f ca="1">SUMIF('2.3研究費'!D:E,C859,'2.3研究費'!E:E)</f>
        <v>0</v>
      </c>
      <c r="N859" s="13">
        <f ca="1">SUMIF('2.4販促費'!D:E,C859,'2.4販促費'!E:E)</f>
        <v>0</v>
      </c>
      <c r="O859" s="13">
        <f ca="1">SUMIF('2.5廃棄処分'!D:E,C859,'2.5廃棄処分'!E:E)</f>
        <v>0</v>
      </c>
      <c r="P859" s="13">
        <f ca="1">SUMIF('2.1④異種原液'!D:E,C859,'2.1④異種原液'!E:E)</f>
        <v>0</v>
      </c>
      <c r="Q859" s="14">
        <f ca="1">SUMIF('2.7製造部生産分'!D:I,C859,'2.7製造部生産分'!H:H)</f>
        <v>0</v>
      </c>
      <c r="R859" s="15">
        <f ca="1">-(G859+H859+K859-L859-M859-N859-O859-P859-Q859-S859)</f>
        <v>0</v>
      </c>
      <c r="S859" s="13">
        <f ca="1">SUMIF('2.9原液在庫'!B:H,C859,'2.9原液在庫'!H:H)</f>
        <v>0</v>
      </c>
      <c r="T859" s="16">
        <f ca="1">IFERROR(SUM(G860:K860)/(G859+H859+K859),0)</f>
        <v>0</v>
      </c>
      <c r="U859" s="17" t="str">
        <f>C859</f>
        <v>ﾕﾘ根黒糖漬け</v>
      </c>
      <c r="V859" s="18">
        <f ca="1">IF(ISERROR(SUM(G860:K860)/SUM(L859:Q859,S859)),0,SUM(G860:K860)/SUM(L859:Q859,S859))</f>
        <v>0</v>
      </c>
      <c r="W859" s="19">
        <f ca="1">V859</f>
        <v>0</v>
      </c>
      <c r="X859" s="20">
        <f ca="1">W859/1000</f>
        <v>0</v>
      </c>
    </row>
    <row r="860" spans="1:24">
      <c r="A860" s="201"/>
      <c r="B860" s="201"/>
      <c r="C860" s="201"/>
      <c r="D860" s="199"/>
      <c r="E860" s="199"/>
      <c r="F860" s="21" t="s">
        <v>247</v>
      </c>
      <c r="G860" s="22" t="s">
        <v>254</v>
      </c>
      <c r="H860" s="184"/>
      <c r="I860" s="23">
        <f ca="1">I859*労務費経費単価SC!D$7</f>
        <v>0</v>
      </c>
      <c r="J860" s="23">
        <f ca="1">J859*労務費経費単価SC!D$11</f>
        <v>0</v>
      </c>
      <c r="K860" s="22">
        <f ca="1">K859*$E859</f>
        <v>0</v>
      </c>
      <c r="L860" s="22">
        <f ca="1">L859*$E859</f>
        <v>0</v>
      </c>
      <c r="M860" s="22">
        <f t="shared" ref="M860" ca="1" si="2983">M859*$E859</f>
        <v>0</v>
      </c>
      <c r="N860" s="22">
        <f t="shared" ref="N860" ca="1" si="2984">N859*$E859</f>
        <v>0</v>
      </c>
      <c r="O860" s="22">
        <f t="shared" ref="O860" ca="1" si="2985">O859*$E859</f>
        <v>0</v>
      </c>
      <c r="P860" s="22">
        <f t="shared" ref="P860" ca="1" si="2986">P859*$E859</f>
        <v>0</v>
      </c>
      <c r="Q860" s="22">
        <f t="shared" ref="Q860" ca="1" si="2987">Q859*$E859</f>
        <v>0</v>
      </c>
      <c r="R860" s="22">
        <f t="shared" ref="R860" ca="1" si="2988">R859*$E859</f>
        <v>0</v>
      </c>
      <c r="S860" s="22">
        <f t="shared" ref="S860" ca="1" si="2989">S859*$E859</f>
        <v>0</v>
      </c>
      <c r="U860" s="17"/>
      <c r="V860" s="18"/>
      <c r="W860" s="19"/>
      <c r="X860" s="20"/>
    </row>
    <row r="861" spans="1:24">
      <c r="A861" s="200"/>
      <c r="B861" s="211"/>
      <c r="C861" s="200" t="s">
        <v>540</v>
      </c>
      <c r="D861" s="199" t="str">
        <f>VLOOKUP(C861,'仕掛品名寄（貼付）'!B:C,2,FALSE)</f>
        <v>その他</v>
      </c>
      <c r="E861" s="199">
        <f>VLOOKUP(D861,'仕掛品標準単価一覧表（貼付）'!B:G,6,FALSE)</f>
        <v>1080</v>
      </c>
      <c r="F861" s="12" t="s">
        <v>246</v>
      </c>
      <c r="G861" s="13">
        <v>0</v>
      </c>
      <c r="H861" s="13">
        <f ca="1">SUMIF('1.3②原材料使用'!B:E,C861,'1.3②原材料使用'!E:E)</f>
        <v>0</v>
      </c>
      <c r="I861" s="13">
        <f ca="1">SUMIF('2.10原液別作業時間'!A:B,C861,'2.10原液別作業時間'!B:B)</f>
        <v>0</v>
      </c>
      <c r="J861" s="13">
        <f ca="1">SUM(G861:H861,K861)</f>
        <v>0</v>
      </c>
      <c r="K861" s="13">
        <f ca="1">SUMIF('2.2⑤純増減→前工程費'!B:E,C861,'2.2⑤純増減→前工程費'!E:E)</f>
        <v>0</v>
      </c>
      <c r="L861" s="13">
        <f ca="1">SUMIF('2.6完成品'!C:D,C861,'2.6完成品'!D:D)</f>
        <v>0</v>
      </c>
      <c r="M861" s="13">
        <f ca="1">SUMIF('2.3研究費'!D:E,C861,'2.3研究費'!E:E)</f>
        <v>0</v>
      </c>
      <c r="N861" s="13">
        <f ca="1">SUMIF('2.4販促費'!D:E,C861,'2.4販促費'!E:E)</f>
        <v>0</v>
      </c>
      <c r="O861" s="13">
        <f ca="1">SUMIF('2.5廃棄処分'!D:E,C861,'2.5廃棄処分'!E:E)</f>
        <v>0</v>
      </c>
      <c r="P861" s="13">
        <f ca="1">SUMIF('2.1④異種原液'!D:E,C861,'2.1④異種原液'!E:E)</f>
        <v>0</v>
      </c>
      <c r="Q861" s="14">
        <f ca="1">SUMIF('2.7製造部生産分'!D:I,C861,'2.7製造部生産分'!H:H)</f>
        <v>0</v>
      </c>
      <c r="R861" s="15">
        <f ca="1">-(G861+H861+K861-L861-M861-N861-O861-P861-Q861-S861)</f>
        <v>0</v>
      </c>
      <c r="S861" s="13">
        <f ca="1">SUMIF('2.9原液在庫'!B:H,C861,'2.9原液在庫'!H:H)</f>
        <v>0</v>
      </c>
      <c r="T861" s="16">
        <f ca="1">IFERROR(SUM(G862:K862)/(G861+H861+K861),0)</f>
        <v>0</v>
      </c>
      <c r="U861" s="17" t="str">
        <f>C861</f>
        <v>ﾏﾀﾀﾋﾞ黒糖漬け</v>
      </c>
      <c r="V861" s="18">
        <f ca="1">IF(ISERROR(SUM(G862:K862)/SUM(L861:Q861,S861)),0,SUM(G862:K862)/SUM(L861:Q861,S861))</f>
        <v>0</v>
      </c>
      <c r="W861" s="19">
        <f ca="1">V861</f>
        <v>0</v>
      </c>
      <c r="X861" s="20">
        <f ca="1">W861/1000</f>
        <v>0</v>
      </c>
    </row>
    <row r="862" spans="1:24">
      <c r="A862" s="201"/>
      <c r="B862" s="201"/>
      <c r="C862" s="201"/>
      <c r="D862" s="199"/>
      <c r="E862" s="199"/>
      <c r="F862" s="21" t="s">
        <v>247</v>
      </c>
      <c r="G862" s="22" t="s">
        <v>254</v>
      </c>
      <c r="H862" s="184"/>
      <c r="I862" s="23">
        <f ca="1">I861*労務費経費単価SC!D$7</f>
        <v>0</v>
      </c>
      <c r="J862" s="23">
        <f ca="1">J861*労務費経費単価SC!D$11</f>
        <v>0</v>
      </c>
      <c r="K862" s="22">
        <f ca="1">K861*$E861</f>
        <v>0</v>
      </c>
      <c r="L862" s="22">
        <f ca="1">L861*$E861</f>
        <v>0</v>
      </c>
      <c r="M862" s="22">
        <f t="shared" ref="M862" ca="1" si="2990">M861*$E861</f>
        <v>0</v>
      </c>
      <c r="N862" s="22">
        <f t="shared" ref="N862" ca="1" si="2991">N861*$E861</f>
        <v>0</v>
      </c>
      <c r="O862" s="22">
        <f t="shared" ref="O862" ca="1" si="2992">O861*$E861</f>
        <v>0</v>
      </c>
      <c r="P862" s="22">
        <f t="shared" ref="P862" ca="1" si="2993">P861*$E861</f>
        <v>0</v>
      </c>
      <c r="Q862" s="22">
        <f t="shared" ref="Q862" ca="1" si="2994">Q861*$E861</f>
        <v>0</v>
      </c>
      <c r="R862" s="22">
        <f t="shared" ref="R862" ca="1" si="2995">R861*$E861</f>
        <v>0</v>
      </c>
      <c r="S862" s="22">
        <f t="shared" ref="S862" ca="1" si="2996">S861*$E861</f>
        <v>0</v>
      </c>
      <c r="U862" s="17"/>
      <c r="V862" s="18"/>
      <c r="W862" s="19"/>
      <c r="X862" s="20"/>
    </row>
    <row r="863" spans="1:24">
      <c r="A863" s="200"/>
      <c r="B863" s="211"/>
      <c r="C863" s="200" t="s">
        <v>541</v>
      </c>
      <c r="D863" s="199" t="str">
        <f>VLOOKUP(C863,'仕掛品名寄（貼付）'!B:C,2,FALSE)</f>
        <v>その他</v>
      </c>
      <c r="E863" s="199">
        <f>VLOOKUP(D863,'仕掛品標準単価一覧表（貼付）'!B:G,6,FALSE)</f>
        <v>1080</v>
      </c>
      <c r="F863" s="12" t="s">
        <v>246</v>
      </c>
      <c r="G863" s="13">
        <v>0</v>
      </c>
      <c r="H863" s="13">
        <f ca="1">SUMIF('1.3②原材料使用'!B:E,C863,'1.3②原材料使用'!E:E)</f>
        <v>0</v>
      </c>
      <c r="I863" s="13">
        <f ca="1">SUMIF('2.10原液別作業時間'!A:B,C863,'2.10原液別作業時間'!B:B)</f>
        <v>0</v>
      </c>
      <c r="J863" s="13">
        <f ca="1">SUM(G863:H863,K863)</f>
        <v>0</v>
      </c>
      <c r="K863" s="13">
        <f ca="1">SUMIF('2.2⑤純増減→前工程費'!B:E,C863,'2.2⑤純増減→前工程費'!E:E)</f>
        <v>0</v>
      </c>
      <c r="L863" s="13">
        <f ca="1">SUMIF('2.6完成品'!C:D,C863,'2.6完成品'!D:D)</f>
        <v>0</v>
      </c>
      <c r="M863" s="13">
        <f ca="1">SUMIF('2.3研究費'!D:E,C863,'2.3研究費'!E:E)</f>
        <v>0</v>
      </c>
      <c r="N863" s="13">
        <f ca="1">SUMIF('2.4販促費'!D:E,C863,'2.4販促費'!E:E)</f>
        <v>0</v>
      </c>
      <c r="O863" s="13">
        <f ca="1">SUMIF('2.5廃棄処分'!D:E,C863,'2.5廃棄処分'!E:E)</f>
        <v>0</v>
      </c>
      <c r="P863" s="13">
        <f ca="1">SUMIF('2.1④異種原液'!D:E,C863,'2.1④異種原液'!E:E)</f>
        <v>0</v>
      </c>
      <c r="Q863" s="14">
        <f ca="1">SUMIF('2.7製造部生産分'!D:I,C863,'2.7製造部生産分'!H:H)</f>
        <v>0</v>
      </c>
      <c r="R863" s="15">
        <f ca="1">-(G863+H863+K863-L863-M863-N863-O863-P863-Q863-S863)</f>
        <v>0</v>
      </c>
      <c r="S863" s="13">
        <f ca="1">SUMIF('2.9原液在庫'!B:H,C863,'2.9原液在庫'!H:H)</f>
        <v>0</v>
      </c>
      <c r="T863" s="16">
        <f ca="1">IFERROR(SUM(G864:K864)/(G863+H863+K863),0)</f>
        <v>0</v>
      </c>
      <c r="U863" s="17" t="str">
        <f>C863</f>
        <v>ﾋﾞﾜの種黒糖漬け</v>
      </c>
      <c r="V863" s="18">
        <f ca="1">IF(ISERROR(SUM(G864:K864)/SUM(L863:Q863,S863)),0,SUM(G864:K864)/SUM(L863:Q863,S863))</f>
        <v>0</v>
      </c>
      <c r="W863" s="19">
        <f ca="1">V863</f>
        <v>0</v>
      </c>
      <c r="X863" s="20">
        <f ca="1">W863/1000</f>
        <v>0</v>
      </c>
    </row>
    <row r="864" spans="1:24">
      <c r="A864" s="201"/>
      <c r="B864" s="201"/>
      <c r="C864" s="201"/>
      <c r="D864" s="199"/>
      <c r="E864" s="199"/>
      <c r="F864" s="21" t="s">
        <v>247</v>
      </c>
      <c r="G864" s="22" t="s">
        <v>254</v>
      </c>
      <c r="H864" s="184"/>
      <c r="I864" s="23">
        <f ca="1">I863*労務費経費単価SC!D$7</f>
        <v>0</v>
      </c>
      <c r="J864" s="23">
        <f ca="1">J863*労務費経費単価SC!D$11</f>
        <v>0</v>
      </c>
      <c r="K864" s="22">
        <f ca="1">K863*$E863</f>
        <v>0</v>
      </c>
      <c r="L864" s="22">
        <f ca="1">L863*$E863</f>
        <v>0</v>
      </c>
      <c r="M864" s="22">
        <f t="shared" ref="M864" ca="1" si="2997">M863*$E863</f>
        <v>0</v>
      </c>
      <c r="N864" s="22">
        <f t="shared" ref="N864" ca="1" si="2998">N863*$E863</f>
        <v>0</v>
      </c>
      <c r="O864" s="22">
        <f t="shared" ref="O864" ca="1" si="2999">O863*$E863</f>
        <v>0</v>
      </c>
      <c r="P864" s="22">
        <f t="shared" ref="P864" ca="1" si="3000">P863*$E863</f>
        <v>0</v>
      </c>
      <c r="Q864" s="22">
        <f t="shared" ref="Q864" ca="1" si="3001">Q863*$E863</f>
        <v>0</v>
      </c>
      <c r="R864" s="22">
        <f t="shared" ref="R864" ca="1" si="3002">R863*$E863</f>
        <v>0</v>
      </c>
      <c r="S864" s="22">
        <f t="shared" ref="S864" ca="1" si="3003">S863*$E863</f>
        <v>0</v>
      </c>
      <c r="U864" s="17"/>
      <c r="V864" s="18"/>
      <c r="W864" s="19"/>
      <c r="X864" s="20"/>
    </row>
    <row r="865" spans="1:24">
      <c r="A865" s="200"/>
      <c r="B865" s="211"/>
      <c r="C865" s="200" t="s">
        <v>542</v>
      </c>
      <c r="D865" s="199" t="str">
        <f>VLOOKUP(C865,'仕掛品名寄（貼付）'!B:C,2,FALSE)</f>
        <v>その他</v>
      </c>
      <c r="E865" s="199">
        <f>VLOOKUP(D865,'仕掛品標準単価一覧表（貼付）'!B:G,6,FALSE)</f>
        <v>1080</v>
      </c>
      <c r="F865" s="12" t="s">
        <v>246</v>
      </c>
      <c r="G865" s="13">
        <v>0</v>
      </c>
      <c r="H865" s="13">
        <f ca="1">SUMIF('1.3②原材料使用'!B:E,C865,'1.3②原材料使用'!E:E)</f>
        <v>0</v>
      </c>
      <c r="I865" s="13">
        <f ca="1">SUMIF('2.10原液別作業時間'!A:B,C865,'2.10原液別作業時間'!B:B)</f>
        <v>0</v>
      </c>
      <c r="J865" s="13">
        <f ca="1">SUM(G865:H865,K865)</f>
        <v>0</v>
      </c>
      <c r="K865" s="13">
        <f ca="1">SUMIF('2.2⑤純増減→前工程費'!B:E,C865,'2.2⑤純増減→前工程費'!E:E)</f>
        <v>0</v>
      </c>
      <c r="L865" s="13">
        <f ca="1">SUMIF('2.6完成品'!C:D,C865,'2.6完成品'!D:D)</f>
        <v>0</v>
      </c>
      <c r="M865" s="13">
        <f ca="1">SUMIF('2.3研究費'!D:E,C865,'2.3研究費'!E:E)</f>
        <v>0</v>
      </c>
      <c r="N865" s="13">
        <f ca="1">SUMIF('2.4販促費'!D:E,C865,'2.4販促費'!E:E)</f>
        <v>0</v>
      </c>
      <c r="O865" s="13">
        <f ca="1">SUMIF('2.5廃棄処分'!D:E,C865,'2.5廃棄処分'!E:E)</f>
        <v>0</v>
      </c>
      <c r="P865" s="13">
        <f ca="1">SUMIF('2.1④異種原液'!D:E,C865,'2.1④異種原液'!E:E)</f>
        <v>0</v>
      </c>
      <c r="Q865" s="14">
        <f ca="1">SUMIF('2.7製造部生産分'!D:I,C865,'2.7製造部生産分'!H:H)</f>
        <v>0</v>
      </c>
      <c r="R865" s="15">
        <f ca="1">-(G865+H865+K865-L865-M865-N865-O865-P865-Q865-S865)</f>
        <v>0</v>
      </c>
      <c r="S865" s="13">
        <f ca="1">SUMIF('2.9原液在庫'!B:H,C865,'2.9原液在庫'!H:H)</f>
        <v>0</v>
      </c>
      <c r="T865" s="16">
        <f ca="1">IFERROR(SUM(G866:K866)/(G865+H865+K865),0)</f>
        <v>0</v>
      </c>
      <c r="U865" s="17" t="str">
        <f>C865</f>
        <v>桑の実黒糖漬け</v>
      </c>
      <c r="V865" s="18">
        <f ca="1">IF(ISERROR(SUM(G866:K866)/SUM(L865:Q865,S865)),0,SUM(G866:K866)/SUM(L865:Q865,S865))</f>
        <v>0</v>
      </c>
      <c r="W865" s="19">
        <f ca="1">V865</f>
        <v>0</v>
      </c>
      <c r="X865" s="20">
        <f ca="1">W865/1000</f>
        <v>0</v>
      </c>
    </row>
    <row r="866" spans="1:24">
      <c r="A866" s="201"/>
      <c r="B866" s="201"/>
      <c r="C866" s="201"/>
      <c r="D866" s="199"/>
      <c r="E866" s="199"/>
      <c r="F866" s="21" t="s">
        <v>247</v>
      </c>
      <c r="G866" s="22" t="s">
        <v>254</v>
      </c>
      <c r="H866" s="184"/>
      <c r="I866" s="23">
        <f ca="1">I865*労務費経費単価SC!D$7</f>
        <v>0</v>
      </c>
      <c r="J866" s="23">
        <f ca="1">J865*労務費経費単価SC!D$11</f>
        <v>0</v>
      </c>
      <c r="K866" s="22">
        <f ca="1">K865*$E865</f>
        <v>0</v>
      </c>
      <c r="L866" s="22">
        <f ca="1">L865*$E865</f>
        <v>0</v>
      </c>
      <c r="M866" s="22">
        <f t="shared" ref="M866" ca="1" si="3004">M865*$E865</f>
        <v>0</v>
      </c>
      <c r="N866" s="22">
        <f t="shared" ref="N866" ca="1" si="3005">N865*$E865</f>
        <v>0</v>
      </c>
      <c r="O866" s="22">
        <f t="shared" ref="O866" ca="1" si="3006">O865*$E865</f>
        <v>0</v>
      </c>
      <c r="P866" s="22">
        <f t="shared" ref="P866" ca="1" si="3007">P865*$E865</f>
        <v>0</v>
      </c>
      <c r="Q866" s="22">
        <f t="shared" ref="Q866" ca="1" si="3008">Q865*$E865</f>
        <v>0</v>
      </c>
      <c r="R866" s="22">
        <f t="shared" ref="R866" ca="1" si="3009">R865*$E865</f>
        <v>0</v>
      </c>
      <c r="S866" s="22">
        <f t="shared" ref="S866" ca="1" si="3010">S865*$E865</f>
        <v>0</v>
      </c>
      <c r="U866" s="17"/>
      <c r="V866" s="18"/>
      <c r="W866" s="19"/>
      <c r="X866" s="20"/>
    </row>
    <row r="867" spans="1:24">
      <c r="A867" s="200"/>
      <c r="B867" s="211"/>
      <c r="C867" s="200" t="s">
        <v>191</v>
      </c>
      <c r="D867" s="199" t="str">
        <f>VLOOKUP(C867,'仕掛品名寄（貼付）'!B:C,2,FALSE)</f>
        <v>その他</v>
      </c>
      <c r="E867" s="199">
        <f>VLOOKUP(D867,'仕掛品標準単価一覧表（貼付）'!B:G,6,FALSE)</f>
        <v>1080</v>
      </c>
      <c r="F867" s="12" t="s">
        <v>246</v>
      </c>
      <c r="G867" s="24">
        <v>0</v>
      </c>
      <c r="H867" s="13">
        <f ca="1">SUMIF('1.3②原材料使用'!B:E,C867,'1.3②原材料使用'!E:E)</f>
        <v>0</v>
      </c>
      <c r="I867" s="13">
        <f ca="1">SUMIF('2.10原液別作業時間'!A:B,C867,'2.10原液別作業時間'!B:B)</f>
        <v>0</v>
      </c>
      <c r="J867" s="13">
        <f ca="1">SUM(G867:H867,K867)</f>
        <v>0</v>
      </c>
      <c r="K867" s="13">
        <f ca="1">SUMIF('2.2⑤純増減→前工程費'!B:E,C867,'2.2⑤純増減→前工程費'!E:E)</f>
        <v>0</v>
      </c>
      <c r="L867" s="13">
        <f ca="1">SUMIF('2.6完成品'!C:D,C867,'2.6完成品'!D:D)</f>
        <v>0</v>
      </c>
      <c r="M867" s="13">
        <f ca="1">SUMIF('2.3研究費'!D:E,C867,'2.3研究費'!E:E)</f>
        <v>0</v>
      </c>
      <c r="N867" s="13">
        <f ca="1">SUMIF('2.4販促費'!D:E,C867,'2.4販促費'!E:E)</f>
        <v>0</v>
      </c>
      <c r="O867" s="13">
        <f ca="1">SUMIF('2.5廃棄処分'!D:E,C867,'2.5廃棄処分'!E:E)</f>
        <v>0</v>
      </c>
      <c r="P867" s="13">
        <f ca="1">SUMIF('2.1④異種原液'!D:E,C867,'2.1④異種原液'!E:E)</f>
        <v>0</v>
      </c>
      <c r="Q867" s="14">
        <f ca="1">SUMIF('2.7製造部生産分'!D:I,C867,'2.7製造部生産分'!H:H)</f>
        <v>0</v>
      </c>
      <c r="R867" s="15">
        <f ca="1">-(G867+H867+K867-L867-M867-N867-O867-P867-Q867-S867)</f>
        <v>0</v>
      </c>
      <c r="S867" s="13">
        <f ca="1">SUMIF('2.9原液在庫'!B:H,C867,'2.9原液在庫'!H:H)</f>
        <v>0</v>
      </c>
      <c r="T867" s="16">
        <f ca="1">IFERROR(SUM(G868:K868)/(G867+H867+K867),0)</f>
        <v>0</v>
      </c>
      <c r="U867" s="17" t="str">
        <f>C867</f>
        <v>ﾕｽﾞの種黒糖漬け</v>
      </c>
      <c r="V867" s="18">
        <f ca="1">IF(ISERROR(SUM(G868:K868)/SUM(L867:Q867,S867)),0,SUM(G868:K868)/SUM(L867:Q867,S867))</f>
        <v>0</v>
      </c>
      <c r="W867" s="19">
        <f ca="1">V867</f>
        <v>0</v>
      </c>
      <c r="X867" s="20">
        <f ca="1">W867/1000</f>
        <v>0</v>
      </c>
    </row>
    <row r="868" spans="1:24">
      <c r="A868" s="201"/>
      <c r="B868" s="201"/>
      <c r="C868" s="201"/>
      <c r="D868" s="199"/>
      <c r="E868" s="199"/>
      <c r="F868" s="21" t="s">
        <v>247</v>
      </c>
      <c r="G868" s="22" t="s">
        <v>254</v>
      </c>
      <c r="H868" s="184"/>
      <c r="I868" s="23">
        <f ca="1">I867*労務費経費単価SC!D$7</f>
        <v>0</v>
      </c>
      <c r="J868" s="23">
        <f ca="1">J867*労務費経費単価SC!D$11</f>
        <v>0</v>
      </c>
      <c r="K868" s="22">
        <f ca="1">K867*$E867</f>
        <v>0</v>
      </c>
      <c r="L868" s="22">
        <f ca="1">L867*$E867</f>
        <v>0</v>
      </c>
      <c r="M868" s="22">
        <f t="shared" ref="M868" ca="1" si="3011">M867*$E867</f>
        <v>0</v>
      </c>
      <c r="N868" s="22">
        <f t="shared" ref="N868" ca="1" si="3012">N867*$E867</f>
        <v>0</v>
      </c>
      <c r="O868" s="22">
        <f t="shared" ref="O868" ca="1" si="3013">O867*$E867</f>
        <v>0</v>
      </c>
      <c r="P868" s="22">
        <f t="shared" ref="P868" ca="1" si="3014">P867*$E867</f>
        <v>0</v>
      </c>
      <c r="Q868" s="22">
        <f t="shared" ref="Q868" ca="1" si="3015">Q867*$E867</f>
        <v>0</v>
      </c>
      <c r="R868" s="22">
        <f t="shared" ref="R868" ca="1" si="3016">R867*$E867</f>
        <v>0</v>
      </c>
      <c r="S868" s="22">
        <f t="shared" ref="S868" ca="1" si="3017">S867*$E867</f>
        <v>0</v>
      </c>
      <c r="U868" s="17"/>
      <c r="V868" s="18"/>
      <c r="W868" s="19"/>
      <c r="X868" s="20"/>
    </row>
    <row r="869" spans="1:24">
      <c r="A869" s="200"/>
      <c r="B869" s="211"/>
      <c r="C869" s="200" t="s">
        <v>543</v>
      </c>
      <c r="D869" s="199" t="str">
        <f>VLOOKUP(C869,'仕掛品名寄（貼付）'!B:C,2,FALSE)</f>
        <v>その他</v>
      </c>
      <c r="E869" s="199">
        <f>VLOOKUP(D869,'仕掛品標準単価一覧表（貼付）'!B:G,6,FALSE)</f>
        <v>1080</v>
      </c>
      <c r="F869" s="12" t="s">
        <v>246</v>
      </c>
      <c r="G869" s="24">
        <v>-9.0949470177292824E-13</v>
      </c>
      <c r="H869" s="13">
        <f ca="1">SUMIF('1.3②原材料使用'!B:E,C869,'1.3②原材料使用'!E:E)</f>
        <v>919.29</v>
      </c>
      <c r="I869" s="13">
        <f ca="1">SUMIF('2.10原液別作業時間'!A:B,C869,'2.10原液別作業時間'!B:B)</f>
        <v>0</v>
      </c>
      <c r="J869" s="13">
        <f ca="1">SUM(G869:H869,K869)</f>
        <v>919.28999999999905</v>
      </c>
      <c r="K869" s="13">
        <f ca="1">SUMIF('2.2⑤純増減→前工程費'!B:E,C869,'2.2⑤純増減→前工程費'!E:E)</f>
        <v>0</v>
      </c>
      <c r="L869" s="13">
        <f ca="1">SUMIF('2.6完成品'!C:D,C869,'2.6完成品'!D:D)</f>
        <v>0</v>
      </c>
      <c r="M869" s="13">
        <f ca="1">SUMIF('2.3研究費'!D:E,C869,'2.3研究費'!E:E)</f>
        <v>0</v>
      </c>
      <c r="N869" s="13">
        <f ca="1">SUMIF('2.4販促費'!D:E,C869,'2.4販促費'!E:E)</f>
        <v>0</v>
      </c>
      <c r="O869" s="13">
        <f ca="1">SUMIF('2.5廃棄処分'!D:E,C869,'2.5廃棄処分'!E:E)</f>
        <v>0</v>
      </c>
      <c r="P869" s="13">
        <f ca="1">SUMIF('2.1④異種原液'!D:E,C869,'2.1④異種原液'!E:E)</f>
        <v>894.82999999999981</v>
      </c>
      <c r="Q869" s="14">
        <f ca="1">SUMIF('2.7製造部生産分'!D:I,C869,'2.7製造部生産分'!H:H)</f>
        <v>0</v>
      </c>
      <c r="R869" s="15">
        <f ca="1">-(G869+H869+K869-L869-M869-N869-O869-P869-Q869-S869)</f>
        <v>-24.459999999998331</v>
      </c>
      <c r="S869" s="13">
        <f ca="1">SUMIF('2.9原液在庫'!B:H,C869,'2.9原液在庫'!H:H)</f>
        <v>9.0949470177292824E-13</v>
      </c>
      <c r="T869" s="16">
        <f ca="1">IFERROR(SUM(G870:K870)/(G869+H869+K869),0)</f>
        <v>29.999999999997208</v>
      </c>
      <c r="U869" s="17" t="str">
        <f>C869</f>
        <v>桑</v>
      </c>
      <c r="V869" s="18">
        <f ca="1">IF(ISERROR(SUM(G870:K870)/SUM(L869:Q869,S869)),0,SUM(G870:K870)/SUM(L869:Q869,S869))</f>
        <v>30.820044030706818</v>
      </c>
      <c r="W869" s="19">
        <f ca="1">V869</f>
        <v>30.820044030706818</v>
      </c>
      <c r="X869" s="20">
        <f ca="1">W869/1000</f>
        <v>3.0820044030706817E-2</v>
      </c>
    </row>
    <row r="870" spans="1:24">
      <c r="A870" s="201"/>
      <c r="B870" s="201"/>
      <c r="C870" s="201"/>
      <c r="D870" s="199"/>
      <c r="E870" s="199"/>
      <c r="F870" s="21" t="s">
        <v>247</v>
      </c>
      <c r="G870" s="22">
        <v>-2.5696207308847559E-9</v>
      </c>
      <c r="H870" s="184"/>
      <c r="I870" s="23">
        <f ca="1">I869*労務費経費単価SC!D$7</f>
        <v>0</v>
      </c>
      <c r="J870" s="23">
        <f ca="1">J869*労務費経費単価SC!D$11</f>
        <v>27578.699999999972</v>
      </c>
      <c r="K870" s="22">
        <f ca="1">K869*$E869</f>
        <v>0</v>
      </c>
      <c r="L870" s="22">
        <f ca="1">L869*$E869</f>
        <v>0</v>
      </c>
      <c r="M870" s="22">
        <f t="shared" ref="M870" ca="1" si="3018">M869*$E869</f>
        <v>0</v>
      </c>
      <c r="N870" s="22">
        <f t="shared" ref="N870" ca="1" si="3019">N869*$E869</f>
        <v>0</v>
      </c>
      <c r="O870" s="22">
        <f t="shared" ref="O870" ca="1" si="3020">O869*$E869</f>
        <v>0</v>
      </c>
      <c r="P870" s="22">
        <f t="shared" ref="P870" ca="1" si="3021">P869*$E869</f>
        <v>966416.39999999979</v>
      </c>
      <c r="Q870" s="22">
        <f t="shared" ref="Q870" ca="1" si="3022">Q869*$E869</f>
        <v>0</v>
      </c>
      <c r="R870" s="22">
        <f t="shared" ref="R870" ca="1" si="3023">R869*$E869</f>
        <v>-26416.799999998198</v>
      </c>
      <c r="S870" s="22">
        <f t="shared" ref="S870" ca="1" si="3024">S869*$E869</f>
        <v>9.822542779147625E-10</v>
      </c>
      <c r="U870" s="17"/>
      <c r="V870" s="18"/>
      <c r="W870" s="19"/>
      <c r="X870" s="20"/>
    </row>
    <row r="871" spans="1:24">
      <c r="A871" s="200"/>
      <c r="B871" s="211"/>
      <c r="C871" s="200" t="s">
        <v>544</v>
      </c>
      <c r="D871" s="199" t="str">
        <f>VLOOKUP(C871,'仕掛品名寄（貼付）'!B:C,2,FALSE)</f>
        <v>その他</v>
      </c>
      <c r="E871" s="199">
        <f>VLOOKUP(D871,'仕掛品標準単価一覧表（貼付）'!B:G,6,FALSE)</f>
        <v>1080</v>
      </c>
      <c r="F871" s="12" t="s">
        <v>246</v>
      </c>
      <c r="G871" s="13">
        <v>0</v>
      </c>
      <c r="H871" s="13">
        <f ca="1">SUMIF('1.3②原材料使用'!B:E,C871,'1.3②原材料使用'!E:E)</f>
        <v>0</v>
      </c>
      <c r="I871" s="13">
        <f ca="1">SUMIF('2.10原液別作業時間'!A:B,C871,'2.10原液別作業時間'!B:B)</f>
        <v>0</v>
      </c>
      <c r="J871" s="13">
        <f ca="1">SUM(G871:H871,K871)</f>
        <v>0</v>
      </c>
      <c r="K871" s="13">
        <f ca="1">SUMIF('2.2⑤純増減→前工程費'!B:E,C871,'2.2⑤純増減→前工程費'!E:E)</f>
        <v>0</v>
      </c>
      <c r="L871" s="13">
        <f ca="1">SUMIF('2.6完成品'!C:D,C871,'2.6完成品'!D:D)</f>
        <v>0</v>
      </c>
      <c r="M871" s="13">
        <f ca="1">SUMIF('2.3研究費'!D:E,C871,'2.3研究費'!E:E)</f>
        <v>0</v>
      </c>
      <c r="N871" s="13">
        <f ca="1">SUMIF('2.4販促費'!D:E,C871,'2.4販促費'!E:E)</f>
        <v>0</v>
      </c>
      <c r="O871" s="13">
        <f ca="1">SUMIF('2.5廃棄処分'!D:E,C871,'2.5廃棄処分'!E:E)</f>
        <v>0</v>
      </c>
      <c r="P871" s="13">
        <f ca="1">SUMIF('2.1④異種原液'!D:E,C871,'2.1④異種原液'!E:E)</f>
        <v>0</v>
      </c>
      <c r="Q871" s="14">
        <f ca="1">SUMIF('2.7製造部生産分'!D:I,C871,'2.7製造部生産分'!H:H)</f>
        <v>0</v>
      </c>
      <c r="R871" s="15">
        <f ca="1">-(G871+H871+K871-L871-M871-N871-O871-P871-Q871-S871)</f>
        <v>0</v>
      </c>
      <c r="S871" s="13">
        <f ca="1">SUMIF('2.9原液在庫'!B:H,C871,'2.9原液在庫'!H:H)</f>
        <v>0</v>
      </c>
      <c r="T871" s="16">
        <f ca="1">IFERROR(SUM(G872:K872)/(G871+H871+K871),0)</f>
        <v>0</v>
      </c>
      <c r="U871" s="17" t="str">
        <f>C871</f>
        <v>14G返品</v>
      </c>
      <c r="V871" s="18">
        <f ca="1">IF(ISERROR(SUM(G872:K872)/SUM(L871:Q871,S871)),0,SUM(G872:K872)/SUM(L871:Q871,S871))</f>
        <v>0</v>
      </c>
      <c r="W871" s="19">
        <f ca="1">V871</f>
        <v>0</v>
      </c>
      <c r="X871" s="20">
        <f ca="1">W871/1000</f>
        <v>0</v>
      </c>
    </row>
    <row r="872" spans="1:24">
      <c r="A872" s="201"/>
      <c r="B872" s="201"/>
      <c r="C872" s="201"/>
      <c r="D872" s="199"/>
      <c r="E872" s="199"/>
      <c r="F872" s="21" t="s">
        <v>247</v>
      </c>
      <c r="G872" s="22" t="s">
        <v>254</v>
      </c>
      <c r="H872" s="184"/>
      <c r="I872" s="23">
        <f ca="1">I871*労務費経費単価SC!D$7</f>
        <v>0</v>
      </c>
      <c r="J872" s="23">
        <f ca="1">J871*労務費経費単価SC!D$11</f>
        <v>0</v>
      </c>
      <c r="K872" s="22">
        <f ca="1">K871*$E871</f>
        <v>0</v>
      </c>
      <c r="L872" s="22">
        <f ca="1">L871*$E871</f>
        <v>0</v>
      </c>
      <c r="M872" s="22">
        <f t="shared" ref="M872" ca="1" si="3025">M871*$E871</f>
        <v>0</v>
      </c>
      <c r="N872" s="22">
        <f t="shared" ref="N872" ca="1" si="3026">N871*$E871</f>
        <v>0</v>
      </c>
      <c r="O872" s="22">
        <f t="shared" ref="O872" ca="1" si="3027">O871*$E871</f>
        <v>0</v>
      </c>
      <c r="P872" s="22">
        <f t="shared" ref="P872" ca="1" si="3028">P871*$E871</f>
        <v>0</v>
      </c>
      <c r="Q872" s="22">
        <f t="shared" ref="Q872" ca="1" si="3029">Q871*$E871</f>
        <v>0</v>
      </c>
      <c r="R872" s="22">
        <f t="shared" ref="R872" ca="1" si="3030">R871*$E871</f>
        <v>0</v>
      </c>
      <c r="S872" s="22">
        <f t="shared" ref="S872" ca="1" si="3031">S871*$E871</f>
        <v>0</v>
      </c>
      <c r="U872" s="17"/>
      <c r="V872" s="18"/>
      <c r="W872" s="19"/>
      <c r="X872" s="20"/>
    </row>
    <row r="873" spans="1:24">
      <c r="A873" s="200"/>
      <c r="B873" s="211"/>
      <c r="C873" s="200" t="s">
        <v>545</v>
      </c>
      <c r="D873" s="199" t="str">
        <f>VLOOKUP(C873,'仕掛品名寄（貼付）'!B:C,2,FALSE)</f>
        <v>HI</v>
      </c>
      <c r="E873" s="199">
        <f>VLOOKUP(D873,'仕掛品標準単価一覧表（貼付）'!B:G,6,FALSE)</f>
        <v>1176</v>
      </c>
      <c r="F873" s="12" t="s">
        <v>246</v>
      </c>
      <c r="G873" s="13">
        <v>0</v>
      </c>
      <c r="H873" s="13">
        <f ca="1">SUMIF('1.3②原材料使用'!B:E,C873,'1.3②原材料使用'!E:E)</f>
        <v>0</v>
      </c>
      <c r="I873" s="13">
        <f ca="1">SUMIF('2.10原液別作業時間'!A:B,C873,'2.10原液別作業時間'!B:B)</f>
        <v>0</v>
      </c>
      <c r="J873" s="13">
        <f ca="1">SUM(G873:H873,K873)</f>
        <v>0</v>
      </c>
      <c r="K873" s="13">
        <f ca="1">SUMIF('2.2⑤純増減→前工程費'!B:E,C873,'2.2⑤純増減→前工程費'!E:E)</f>
        <v>0</v>
      </c>
      <c r="L873" s="13">
        <f ca="1">SUMIF('2.6完成品'!C:D,C873,'2.6完成品'!D:D)</f>
        <v>0</v>
      </c>
      <c r="M873" s="13">
        <f ca="1">SUMIF('2.3研究費'!D:E,C873,'2.3研究費'!E:E)</f>
        <v>0</v>
      </c>
      <c r="N873" s="13">
        <f ca="1">SUMIF('2.4販促費'!D:E,C873,'2.4販促費'!E:E)</f>
        <v>0</v>
      </c>
      <c r="O873" s="13">
        <f ca="1">SUMIF('2.5廃棄処分'!D:E,C873,'2.5廃棄処分'!E:E)</f>
        <v>0</v>
      </c>
      <c r="P873" s="13">
        <f ca="1">SUMIF('2.1④異種原液'!D:E,C873,'2.1④異種原液'!E:E)</f>
        <v>0</v>
      </c>
      <c r="Q873" s="14">
        <f ca="1">SUMIF('2.7製造部生産分'!D:I,C873,'2.7製造部生産分'!H:H)</f>
        <v>0</v>
      </c>
      <c r="R873" s="15">
        <f ca="1">-(G873+H873+K873-L873-M873-N873-O873-P873-Q873-S873)</f>
        <v>0</v>
      </c>
      <c r="S873" s="13">
        <f ca="1">SUMIF('2.9原液在庫'!B:H,C873,'2.9原液在庫'!H:H)</f>
        <v>0</v>
      </c>
      <c r="T873" s="16">
        <f ca="1">IFERROR(SUM(G874:K874)/(G873+H873+K873),0)</f>
        <v>0</v>
      </c>
      <c r="U873" s="17" t="str">
        <f>C873</f>
        <v>HI</v>
      </c>
      <c r="V873" s="18">
        <f ca="1">IF(ISERROR(SUM(G874:K874)/SUM(L873:Q873,S873)),0,SUM(G874:K874)/SUM(L873:Q873,S873))</f>
        <v>0</v>
      </c>
      <c r="W873" s="19">
        <f ca="1">V873</f>
        <v>0</v>
      </c>
      <c r="X873" s="20">
        <f ca="1">W873/1000</f>
        <v>0</v>
      </c>
    </row>
    <row r="874" spans="1:24">
      <c r="A874" s="201"/>
      <c r="B874" s="201"/>
      <c r="C874" s="201"/>
      <c r="D874" s="199"/>
      <c r="E874" s="199"/>
      <c r="F874" s="21" t="s">
        <v>247</v>
      </c>
      <c r="G874" s="22" t="s">
        <v>254</v>
      </c>
      <c r="H874" s="184"/>
      <c r="I874" s="23">
        <f ca="1">I873*労務費経費単価SC!D$7</f>
        <v>0</v>
      </c>
      <c r="J874" s="23">
        <f ca="1">J873*労務費経費単価SC!D$11</f>
        <v>0</v>
      </c>
      <c r="K874" s="22">
        <f ca="1">K873*$E873</f>
        <v>0</v>
      </c>
      <c r="L874" s="22">
        <f ca="1">L873*$E873</f>
        <v>0</v>
      </c>
      <c r="M874" s="22">
        <f t="shared" ref="M874" ca="1" si="3032">M873*$E873</f>
        <v>0</v>
      </c>
      <c r="N874" s="22">
        <f t="shared" ref="N874" ca="1" si="3033">N873*$E873</f>
        <v>0</v>
      </c>
      <c r="O874" s="22">
        <f t="shared" ref="O874" ca="1" si="3034">O873*$E873</f>
        <v>0</v>
      </c>
      <c r="P874" s="22">
        <f t="shared" ref="P874" ca="1" si="3035">P873*$E873</f>
        <v>0</v>
      </c>
      <c r="Q874" s="22">
        <f t="shared" ref="Q874" ca="1" si="3036">Q873*$E873</f>
        <v>0</v>
      </c>
      <c r="R874" s="22">
        <f t="shared" ref="R874" ca="1" si="3037">R873*$E873</f>
        <v>0</v>
      </c>
      <c r="S874" s="22">
        <f t="shared" ref="S874" ca="1" si="3038">S873*$E873</f>
        <v>0</v>
      </c>
      <c r="U874" s="17"/>
      <c r="V874" s="18"/>
      <c r="W874" s="19"/>
      <c r="X874" s="20"/>
    </row>
    <row r="875" spans="1:24">
      <c r="A875" s="200"/>
      <c r="B875" s="211"/>
      <c r="C875" s="200" t="s">
        <v>546</v>
      </c>
      <c r="D875" s="199" t="str">
        <f>VLOOKUP(C875,'仕掛品名寄（貼付）'!B:C,2,FALSE)</f>
        <v>その他</v>
      </c>
      <c r="E875" s="199">
        <f>VLOOKUP(D875,'仕掛品標準単価一覧表（貼付）'!B:G,6,FALSE)</f>
        <v>1080</v>
      </c>
      <c r="F875" s="12" t="s">
        <v>246</v>
      </c>
      <c r="G875" s="13">
        <v>0</v>
      </c>
      <c r="H875" s="13">
        <f ca="1">SUMIF('1.3②原材料使用'!B:E,C875,'1.3②原材料使用'!E:E)</f>
        <v>0</v>
      </c>
      <c r="I875" s="13">
        <f ca="1">SUMIF('2.10原液別作業時間'!A:B,C875,'2.10原液別作業時間'!B:B)</f>
        <v>0</v>
      </c>
      <c r="J875" s="13">
        <f ca="1">SUM(G875:H875,K875)</f>
        <v>0</v>
      </c>
      <c r="K875" s="13">
        <f ca="1">SUMIF('2.2⑤純増減→前工程費'!B:E,C875,'2.2⑤純増減→前工程費'!E:E)</f>
        <v>0</v>
      </c>
      <c r="L875" s="13">
        <f ca="1">SUMIF('2.6完成品'!C:D,C875,'2.6完成品'!D:D)</f>
        <v>0</v>
      </c>
      <c r="M875" s="13">
        <f ca="1">SUMIF('2.3研究費'!D:E,C875,'2.3研究費'!E:E)</f>
        <v>0</v>
      </c>
      <c r="N875" s="13">
        <f ca="1">SUMIF('2.4販促費'!D:E,C875,'2.4販促費'!E:E)</f>
        <v>0</v>
      </c>
      <c r="O875" s="13">
        <f ca="1">SUMIF('2.5廃棄処分'!D:E,C875,'2.5廃棄処分'!E:E)</f>
        <v>0</v>
      </c>
      <c r="P875" s="13">
        <f ca="1">SUMIF('2.1④異種原液'!D:E,C875,'2.1④異種原液'!E:E)</f>
        <v>0</v>
      </c>
      <c r="Q875" s="14">
        <f ca="1">SUMIF('2.7製造部生産分'!D:I,C875,'2.7製造部生産分'!H:H)</f>
        <v>0</v>
      </c>
      <c r="R875" s="15">
        <f ca="1">-(G875+H875+K875-L875-M875-N875-O875-P875-Q875-S875)</f>
        <v>0</v>
      </c>
      <c r="S875" s="13">
        <f ca="1">SUMIF('2.9原液在庫'!B:H,C875,'2.9原液在庫'!H:H)</f>
        <v>0</v>
      </c>
      <c r="T875" s="16">
        <f ca="1">IFERROR(SUM(G876:K876)/(G875+H875+K875),0)</f>
        <v>0</v>
      </c>
      <c r="U875" s="17" t="str">
        <f>C875</f>
        <v>ﾊﾟﾊﾟｲﾔ圧搾</v>
      </c>
      <c r="V875" s="18">
        <f ca="1">IF(ISERROR(SUM(G876:K876)/SUM(L875:Q875,S875)),0,SUM(G876:K876)/SUM(L875:Q875,S875))</f>
        <v>0</v>
      </c>
      <c r="W875" s="19">
        <f ca="1">V875</f>
        <v>0</v>
      </c>
      <c r="X875" s="20">
        <f ca="1">W875/1000</f>
        <v>0</v>
      </c>
    </row>
    <row r="876" spans="1:24">
      <c r="A876" s="201"/>
      <c r="B876" s="201"/>
      <c r="C876" s="201"/>
      <c r="D876" s="199"/>
      <c r="E876" s="199"/>
      <c r="F876" s="21" t="s">
        <v>247</v>
      </c>
      <c r="G876" s="22" t="s">
        <v>254</v>
      </c>
      <c r="H876" s="184"/>
      <c r="I876" s="23">
        <f ca="1">I875*労務費経費単価SC!D$7</f>
        <v>0</v>
      </c>
      <c r="J876" s="23">
        <f ca="1">J875*労務費経費単価SC!D$11</f>
        <v>0</v>
      </c>
      <c r="K876" s="22">
        <f ca="1">K875*$E875</f>
        <v>0</v>
      </c>
      <c r="L876" s="22">
        <f ca="1">L875*$E875</f>
        <v>0</v>
      </c>
      <c r="M876" s="22">
        <f t="shared" ref="M876" ca="1" si="3039">M875*$E875</f>
        <v>0</v>
      </c>
      <c r="N876" s="22">
        <f t="shared" ref="N876" ca="1" si="3040">N875*$E875</f>
        <v>0</v>
      </c>
      <c r="O876" s="22">
        <f t="shared" ref="O876" ca="1" si="3041">O875*$E875</f>
        <v>0</v>
      </c>
      <c r="P876" s="22">
        <f t="shared" ref="P876" ca="1" si="3042">P875*$E875</f>
        <v>0</v>
      </c>
      <c r="Q876" s="22">
        <f t="shared" ref="Q876" ca="1" si="3043">Q875*$E875</f>
        <v>0</v>
      </c>
      <c r="R876" s="22">
        <f t="shared" ref="R876" ca="1" si="3044">R875*$E875</f>
        <v>0</v>
      </c>
      <c r="S876" s="22">
        <f t="shared" ref="S876" ca="1" si="3045">S875*$E875</f>
        <v>0</v>
      </c>
      <c r="U876" s="17"/>
      <c r="V876" s="18"/>
      <c r="W876" s="19"/>
      <c r="X876" s="20"/>
    </row>
    <row r="877" spans="1:24">
      <c r="A877" s="200"/>
      <c r="B877" s="211"/>
      <c r="C877" s="200" t="s">
        <v>547</v>
      </c>
      <c r="D877" s="199" t="str">
        <f>VLOOKUP(C877,'仕掛品名寄（貼付）'!B:C,2,FALSE)</f>
        <v>その他</v>
      </c>
      <c r="E877" s="199">
        <f>VLOOKUP(D877,'仕掛品標準単価一覧表（貼付）'!B:G,6,FALSE)</f>
        <v>1080</v>
      </c>
      <c r="F877" s="12" t="s">
        <v>246</v>
      </c>
      <c r="G877" s="13">
        <v>0</v>
      </c>
      <c r="H877" s="13">
        <f ca="1">SUMIF('1.3②原材料使用'!B:E,C877,'1.3②原材料使用'!E:E)</f>
        <v>0</v>
      </c>
      <c r="I877" s="13">
        <f ca="1">SUMIF('2.10原液別作業時間'!A:B,C877,'2.10原液別作業時間'!B:B)</f>
        <v>0</v>
      </c>
      <c r="J877" s="13">
        <f ca="1">SUM(G877:H877,K877)</f>
        <v>0</v>
      </c>
      <c r="K877" s="13">
        <f ca="1">SUMIF('2.2⑤純増減→前工程費'!B:E,C877,'2.2⑤純増減→前工程費'!E:E)</f>
        <v>0</v>
      </c>
      <c r="L877" s="13">
        <f ca="1">SUMIF('2.6完成品'!C:D,C877,'2.6完成品'!D:D)</f>
        <v>0</v>
      </c>
      <c r="M877" s="13">
        <f ca="1">SUMIF('2.3研究費'!D:E,C877,'2.3研究費'!E:E)</f>
        <v>0</v>
      </c>
      <c r="N877" s="13">
        <f ca="1">SUMIF('2.4販促費'!D:E,C877,'2.4販促費'!E:E)</f>
        <v>0</v>
      </c>
      <c r="O877" s="13">
        <f ca="1">SUMIF('2.5廃棄処分'!D:E,C877,'2.5廃棄処分'!E:E)</f>
        <v>0</v>
      </c>
      <c r="P877" s="13">
        <f ca="1">SUMIF('2.1④異種原液'!D:E,C877,'2.1④異種原液'!E:E)</f>
        <v>0</v>
      </c>
      <c r="Q877" s="14">
        <f ca="1">SUMIF('2.7製造部生産分'!D:I,C877,'2.7製造部生産分'!H:H)</f>
        <v>0</v>
      </c>
      <c r="R877" s="15">
        <f ca="1">-(G877+H877+K877-L877-M877-N877-O877-P877-Q877-S877)</f>
        <v>0</v>
      </c>
      <c r="S877" s="13">
        <f ca="1">SUMIF('2.9原液在庫'!B:H,C877,'2.9原液在庫'!H:H)</f>
        <v>0</v>
      </c>
      <c r="T877" s="16">
        <f ca="1">IFERROR(SUM(G878:K878)/(G877+H877+K877),0)</f>
        <v>0</v>
      </c>
      <c r="U877" s="17" t="str">
        <f>C877</f>
        <v>廃棄樽</v>
      </c>
      <c r="V877" s="18">
        <f ca="1">IF(ISERROR(SUM(G878:K878)/SUM(L877:Q877,S877)),0,SUM(G878:K878)/SUM(L877:Q877,S877))</f>
        <v>0</v>
      </c>
      <c r="W877" s="19">
        <f ca="1">V877</f>
        <v>0</v>
      </c>
      <c r="X877" s="20">
        <f ca="1">W877/1000</f>
        <v>0</v>
      </c>
    </row>
    <row r="878" spans="1:24">
      <c r="A878" s="201"/>
      <c r="B878" s="201"/>
      <c r="C878" s="201"/>
      <c r="D878" s="199"/>
      <c r="E878" s="199"/>
      <c r="F878" s="21" t="s">
        <v>247</v>
      </c>
      <c r="G878" s="22" t="s">
        <v>254</v>
      </c>
      <c r="H878" s="184"/>
      <c r="I878" s="23">
        <f ca="1">I877*労務費経費単価SC!D$7</f>
        <v>0</v>
      </c>
      <c r="J878" s="23">
        <f ca="1">J877*労務費経費単価SC!D$11</f>
        <v>0</v>
      </c>
      <c r="K878" s="22">
        <f ca="1">K877*$E877</f>
        <v>0</v>
      </c>
      <c r="L878" s="22">
        <f ca="1">L877*$E877</f>
        <v>0</v>
      </c>
      <c r="M878" s="22">
        <f t="shared" ref="M878" ca="1" si="3046">M877*$E877</f>
        <v>0</v>
      </c>
      <c r="N878" s="22">
        <f t="shared" ref="N878" ca="1" si="3047">N877*$E877</f>
        <v>0</v>
      </c>
      <c r="O878" s="22">
        <f t="shared" ref="O878" ca="1" si="3048">O877*$E877</f>
        <v>0</v>
      </c>
      <c r="P878" s="22">
        <f t="shared" ref="P878" ca="1" si="3049">P877*$E877</f>
        <v>0</v>
      </c>
      <c r="Q878" s="22">
        <f t="shared" ref="Q878" ca="1" si="3050">Q877*$E877</f>
        <v>0</v>
      </c>
      <c r="R878" s="22">
        <f t="shared" ref="R878" ca="1" si="3051">R877*$E877</f>
        <v>0</v>
      </c>
      <c r="S878" s="22">
        <f t="shared" ref="S878" ca="1" si="3052">S877*$E877</f>
        <v>0</v>
      </c>
      <c r="U878" s="17"/>
      <c r="V878" s="18"/>
      <c r="W878" s="19"/>
      <c r="X878" s="20"/>
    </row>
    <row r="879" spans="1:24">
      <c r="A879" s="200"/>
      <c r="B879" s="211"/>
      <c r="C879" s="200" t="s">
        <v>548</v>
      </c>
      <c r="D879" s="199" t="str">
        <f>VLOOKUP(C879,'仕掛品名寄（貼付）'!B:C,2,FALSE)</f>
        <v>その他</v>
      </c>
      <c r="E879" s="199">
        <f>VLOOKUP(D879,'仕掛品標準単価一覧表（貼付）'!B:G,6,FALSE)</f>
        <v>1080</v>
      </c>
      <c r="F879" s="12" t="s">
        <v>246</v>
      </c>
      <c r="G879" s="13">
        <v>0</v>
      </c>
      <c r="H879" s="13">
        <f ca="1">SUMIF('1.3②原材料使用'!B:E,C879,'1.3②原材料使用'!E:E)</f>
        <v>0</v>
      </c>
      <c r="I879" s="13">
        <f ca="1">SUMIF('2.10原液別作業時間'!A:B,C879,'2.10原液別作業時間'!B:B)</f>
        <v>0</v>
      </c>
      <c r="J879" s="13">
        <f ca="1">SUM(G879:H879,K879)</f>
        <v>0</v>
      </c>
      <c r="K879" s="13">
        <f ca="1">SUMIF('2.2⑤純増減→前工程費'!B:E,C879,'2.2⑤純増減→前工程費'!E:E)</f>
        <v>0</v>
      </c>
      <c r="L879" s="13">
        <f ca="1">SUMIF('2.6完成品'!C:D,C879,'2.6完成品'!D:D)</f>
        <v>0</v>
      </c>
      <c r="M879" s="13">
        <f ca="1">SUMIF('2.3研究費'!D:E,C879,'2.3研究費'!E:E)</f>
        <v>0</v>
      </c>
      <c r="N879" s="13">
        <f ca="1">SUMIF('2.4販促費'!D:E,C879,'2.4販促費'!E:E)</f>
        <v>0</v>
      </c>
      <c r="O879" s="13">
        <f ca="1">SUMIF('2.5廃棄処分'!D:E,C879,'2.5廃棄処分'!E:E)</f>
        <v>0</v>
      </c>
      <c r="P879" s="13">
        <f ca="1">SUMIF('2.1④異種原液'!D:E,C879,'2.1④異種原液'!E:E)</f>
        <v>0</v>
      </c>
      <c r="Q879" s="14">
        <f ca="1">SUMIF('2.7製造部生産分'!D:I,C879,'2.7製造部生産分'!H:H)</f>
        <v>0</v>
      </c>
      <c r="R879" s="15">
        <f ca="1">-(G879+H879+K879-L879-M879-N879-O879-P879-Q879-S879)</f>
        <v>0</v>
      </c>
      <c r="S879" s="13">
        <f ca="1">SUMIF('2.9原液在庫'!B:H,C879,'2.9原液在庫'!H:H)</f>
        <v>0</v>
      </c>
      <c r="T879" s="16">
        <f ca="1">IFERROR(SUM(G880:K880)/(G879+H879+K879),0)</f>
        <v>0</v>
      </c>
      <c r="U879" s="17" t="str">
        <f>C879</f>
        <v>品管廃棄樽</v>
      </c>
      <c r="V879" s="18">
        <f ca="1">IF(ISERROR(SUM(G880:K880)/SUM(L879:Q879,S879)),0,SUM(G880:K880)/SUM(L879:Q879,S879))</f>
        <v>0</v>
      </c>
      <c r="W879" s="19">
        <f ca="1">V879</f>
        <v>0</v>
      </c>
      <c r="X879" s="20">
        <f ca="1">W879/1000</f>
        <v>0</v>
      </c>
    </row>
    <row r="880" spans="1:24">
      <c r="A880" s="201"/>
      <c r="B880" s="201"/>
      <c r="C880" s="201"/>
      <c r="D880" s="199"/>
      <c r="E880" s="199"/>
      <c r="F880" s="21" t="s">
        <v>247</v>
      </c>
      <c r="G880" s="22" t="s">
        <v>254</v>
      </c>
      <c r="H880" s="184"/>
      <c r="I880" s="23">
        <f ca="1">I879*労務費経費単価SC!D$7</f>
        <v>0</v>
      </c>
      <c r="J880" s="23">
        <f ca="1">J879*労務費経費単価SC!D$11</f>
        <v>0</v>
      </c>
      <c r="K880" s="22">
        <f ca="1">K879*$E879</f>
        <v>0</v>
      </c>
      <c r="L880" s="22">
        <f ca="1">L879*$E879</f>
        <v>0</v>
      </c>
      <c r="M880" s="22">
        <f t="shared" ref="M880" ca="1" si="3053">M879*$E879</f>
        <v>0</v>
      </c>
      <c r="N880" s="22">
        <f t="shared" ref="N880" ca="1" si="3054">N879*$E879</f>
        <v>0</v>
      </c>
      <c r="O880" s="22">
        <f t="shared" ref="O880" ca="1" si="3055">O879*$E879</f>
        <v>0</v>
      </c>
      <c r="P880" s="22">
        <f t="shared" ref="P880" ca="1" si="3056">P879*$E879</f>
        <v>0</v>
      </c>
      <c r="Q880" s="22">
        <f t="shared" ref="Q880" ca="1" si="3057">Q879*$E879</f>
        <v>0</v>
      </c>
      <c r="R880" s="22">
        <f t="shared" ref="R880" ca="1" si="3058">R879*$E879</f>
        <v>0</v>
      </c>
      <c r="S880" s="22">
        <f t="shared" ref="S880" ca="1" si="3059">S879*$E879</f>
        <v>0</v>
      </c>
      <c r="U880" s="17"/>
      <c r="V880" s="18"/>
      <c r="W880" s="19"/>
      <c r="X880" s="20"/>
    </row>
    <row r="881" spans="1:24">
      <c r="A881" s="200"/>
      <c r="B881" s="211"/>
      <c r="C881" s="200" t="s">
        <v>549</v>
      </c>
      <c r="D881" s="199" t="str">
        <f>VLOOKUP(C881,'仕掛品名寄（貼付）'!B:C,2,FALSE)</f>
        <v>その他</v>
      </c>
      <c r="E881" s="199">
        <f>VLOOKUP(D881,'仕掛品標準単価一覧表（貼付）'!B:G,6,FALSE)</f>
        <v>1080</v>
      </c>
      <c r="F881" s="12" t="s">
        <v>246</v>
      </c>
      <c r="G881" s="13">
        <v>0</v>
      </c>
      <c r="H881" s="13">
        <f ca="1">SUMIF('1.3②原材料使用'!B:E,C881,'1.3②原材料使用'!E:E)</f>
        <v>0</v>
      </c>
      <c r="I881" s="13">
        <f ca="1">SUMIF('2.10原液別作業時間'!A:B,C881,'2.10原液別作業時間'!B:B)</f>
        <v>0</v>
      </c>
      <c r="J881" s="13">
        <f ca="1">SUM(G881:H881,K881)</f>
        <v>0</v>
      </c>
      <c r="K881" s="13">
        <f ca="1">SUMIF('2.2⑤純増減→前工程費'!B:E,C881,'2.2⑤純増減→前工程費'!E:E)</f>
        <v>0</v>
      </c>
      <c r="L881" s="13">
        <f ca="1">SUMIF('2.6完成品'!C:D,C881,'2.6完成品'!D:D)</f>
        <v>0</v>
      </c>
      <c r="M881" s="13">
        <f ca="1">SUMIF('2.3研究費'!D:E,C881,'2.3研究費'!E:E)</f>
        <v>0</v>
      </c>
      <c r="N881" s="13">
        <f ca="1">SUMIF('2.4販促費'!D:E,C881,'2.4販促費'!E:E)</f>
        <v>0</v>
      </c>
      <c r="O881" s="13">
        <f ca="1">SUMIF('2.5廃棄処分'!D:E,C881,'2.5廃棄処分'!E:E)</f>
        <v>0</v>
      </c>
      <c r="P881" s="13">
        <f ca="1">SUMIF('2.1④異種原液'!D:E,C881,'2.1④異種原液'!E:E)</f>
        <v>0</v>
      </c>
      <c r="Q881" s="14">
        <f ca="1">SUMIF('2.7製造部生産分'!D:I,C881,'2.7製造部生産分'!H:H)</f>
        <v>0</v>
      </c>
      <c r="R881" s="15">
        <f ca="1">-(G881+H881+K881-L881-M881-N881-O881-P881-Q881-S881)</f>
        <v>0</v>
      </c>
      <c r="S881" s="13">
        <f ca="1">SUMIF('2.9原液在庫'!B:H,C881,'2.9原液在庫'!H:H)</f>
        <v>0</v>
      </c>
      <c r="T881" s="16">
        <f ca="1">IFERROR(SUM(G882:K882)/(G881+H881+K881),0)</f>
        <v>0</v>
      </c>
      <c r="U881" s="17" t="str">
        <f>C881</f>
        <v>米ﾇｶ</v>
      </c>
      <c r="V881" s="18">
        <f ca="1">IF(ISERROR(SUM(G882:K882)/SUM(L881:Q881,S881)),0,SUM(G882:K882)/SUM(L881:Q881,S881))</f>
        <v>0</v>
      </c>
      <c r="W881" s="19">
        <f ca="1">V881</f>
        <v>0</v>
      </c>
      <c r="X881" s="20">
        <f ca="1">W881/1000</f>
        <v>0</v>
      </c>
    </row>
    <row r="882" spans="1:24">
      <c r="A882" s="201"/>
      <c r="B882" s="201"/>
      <c r="C882" s="201"/>
      <c r="D882" s="199"/>
      <c r="E882" s="199"/>
      <c r="F882" s="21" t="s">
        <v>247</v>
      </c>
      <c r="G882" s="22" t="s">
        <v>254</v>
      </c>
      <c r="H882" s="184"/>
      <c r="I882" s="23">
        <f ca="1">I881*労務費経費単価SC!D$7</f>
        <v>0</v>
      </c>
      <c r="J882" s="23">
        <f ca="1">J881*労務費経費単価SC!D$11</f>
        <v>0</v>
      </c>
      <c r="K882" s="22">
        <f ca="1">K881*$E881</f>
        <v>0</v>
      </c>
      <c r="L882" s="22">
        <f ca="1">L881*$E881</f>
        <v>0</v>
      </c>
      <c r="M882" s="22">
        <f t="shared" ref="M882" ca="1" si="3060">M881*$E881</f>
        <v>0</v>
      </c>
      <c r="N882" s="22">
        <f t="shared" ref="N882" ca="1" si="3061">N881*$E881</f>
        <v>0</v>
      </c>
      <c r="O882" s="22">
        <f t="shared" ref="O882" ca="1" si="3062">O881*$E881</f>
        <v>0</v>
      </c>
      <c r="P882" s="22">
        <f t="shared" ref="P882" ca="1" si="3063">P881*$E881</f>
        <v>0</v>
      </c>
      <c r="Q882" s="22">
        <f t="shared" ref="Q882" ca="1" si="3064">Q881*$E881</f>
        <v>0</v>
      </c>
      <c r="R882" s="22">
        <f t="shared" ref="R882" ca="1" si="3065">R881*$E881</f>
        <v>0</v>
      </c>
      <c r="S882" s="22">
        <f t="shared" ref="S882" ca="1" si="3066">S881*$E881</f>
        <v>0</v>
      </c>
      <c r="U882" s="17"/>
      <c r="V882" s="18"/>
      <c r="W882" s="19"/>
      <c r="X882" s="20"/>
    </row>
    <row r="883" spans="1:24">
      <c r="A883" s="200"/>
      <c r="B883" s="211"/>
      <c r="C883" s="200" t="s">
        <v>238</v>
      </c>
      <c r="D883" s="199" t="str">
        <f>VLOOKUP(C883,'仕掛品名寄（貼付）'!B:C,2,FALSE)</f>
        <v>その他</v>
      </c>
      <c r="E883" s="199">
        <f>VLOOKUP(D883,'仕掛品標準単価一覧表（貼付）'!B:G,6,FALSE)</f>
        <v>1080</v>
      </c>
      <c r="F883" s="12" t="s">
        <v>246</v>
      </c>
      <c r="G883" s="13">
        <v>521</v>
      </c>
      <c r="H883" s="13">
        <f ca="1">SUMIF('1.3②原材料使用'!B:E,C883,'1.3②原材料使用'!E:E)</f>
        <v>0</v>
      </c>
      <c r="I883" s="13">
        <f ca="1">SUMIF('2.10原液別作業時間'!A:B,C883,'2.10原液別作業時間'!B:B)</f>
        <v>0</v>
      </c>
      <c r="J883" s="13">
        <f ca="1">SUM(G883:H883,K883)</f>
        <v>1610.5</v>
      </c>
      <c r="K883" s="13">
        <f ca="1">SUMIF('2.2⑤純増減→前工程費'!B:E,C883,'2.2⑤純増減→前工程費'!E:E)</f>
        <v>1089.5</v>
      </c>
      <c r="L883" s="13">
        <f ca="1">SUMIF('2.6完成品'!C:D,C883,'2.6完成品'!D:D)</f>
        <v>0</v>
      </c>
      <c r="M883" s="13">
        <f ca="1">SUMIF('2.3研究費'!D:E,C883,'2.3研究費'!E:E)</f>
        <v>0</v>
      </c>
      <c r="N883" s="13">
        <f ca="1">SUMIF('2.4販促費'!D:E,C883,'2.4販促費'!E:E)</f>
        <v>0</v>
      </c>
      <c r="O883" s="13">
        <f ca="1">SUMIF('2.5廃棄処分'!D:E,C883,'2.5廃棄処分'!E:E)</f>
        <v>0</v>
      </c>
      <c r="P883" s="13">
        <f ca="1">SUMIF('2.1④異種原液'!D:E,C883,'2.1④異種原液'!E:E)</f>
        <v>1619</v>
      </c>
      <c r="Q883" s="14">
        <f ca="1">SUMIF('2.7製造部生産分'!D:I,C883,'2.7製造部生産分'!H:H)</f>
        <v>0</v>
      </c>
      <c r="R883" s="15">
        <f ca="1">-(G883+H883+K883-L883-M883-N883-O883-P883-Q883-S883)</f>
        <v>8.5</v>
      </c>
      <c r="S883" s="13">
        <f ca="1">SUMIF('2.9原液在庫'!B:H,C883,'2.9原液在庫'!H:H)</f>
        <v>0</v>
      </c>
      <c r="T883" s="16">
        <f ca="1">IFERROR(SUM(G884:K884)/(G883+H883+K883),0)</f>
        <v>768.81143844473741</v>
      </c>
      <c r="U883" s="17" t="str">
        <f>C883</f>
        <v>返品</v>
      </c>
      <c r="V883" s="18">
        <f ca="1">IF(ISERROR(SUM(G884:K884)/SUM(L883:Q883,S883)),0,SUM(G884:K884)/SUM(L883:Q883,S883))</f>
        <v>764.7750596758799</v>
      </c>
      <c r="W883" s="19">
        <f ca="1">V883</f>
        <v>764.7750596758799</v>
      </c>
      <c r="X883" s="20">
        <f ca="1">W883/1000</f>
        <v>0.76477505967587989</v>
      </c>
    </row>
    <row r="884" spans="1:24">
      <c r="A884" s="201"/>
      <c r="B884" s="201"/>
      <c r="C884" s="201"/>
      <c r="D884" s="199"/>
      <c r="E884" s="199"/>
      <c r="F884" s="21" t="s">
        <v>247</v>
      </c>
      <c r="G884" s="22">
        <v>13195.821615249522</v>
      </c>
      <c r="H884" s="184"/>
      <c r="I884" s="23">
        <f ca="1">I883*労務費経費単価SC!D$7</f>
        <v>0</v>
      </c>
      <c r="J884" s="23">
        <f ca="1">J883*労務費経費単価SC!D$11</f>
        <v>48315</v>
      </c>
      <c r="K884" s="22">
        <f ca="1">K883*$E883</f>
        <v>1176660</v>
      </c>
      <c r="L884" s="22">
        <f ca="1">L883*$E883</f>
        <v>0</v>
      </c>
      <c r="M884" s="22">
        <f t="shared" ref="M884" ca="1" si="3067">M883*$E883</f>
        <v>0</v>
      </c>
      <c r="N884" s="22">
        <f t="shared" ref="N884" ca="1" si="3068">N883*$E883</f>
        <v>0</v>
      </c>
      <c r="O884" s="22">
        <f t="shared" ref="O884" ca="1" si="3069">O883*$E883</f>
        <v>0</v>
      </c>
      <c r="P884" s="22">
        <f t="shared" ref="P884" ca="1" si="3070">P883*$E883</f>
        <v>1748520</v>
      </c>
      <c r="Q884" s="22">
        <f t="shared" ref="Q884" ca="1" si="3071">Q883*$E883</f>
        <v>0</v>
      </c>
      <c r="R884" s="22">
        <f t="shared" ref="R884" ca="1" si="3072">R883*$E883</f>
        <v>9180</v>
      </c>
      <c r="S884" s="22">
        <f t="shared" ref="S884" ca="1" si="3073">S883*$E883</f>
        <v>0</v>
      </c>
      <c r="U884" s="17"/>
      <c r="V884" s="18"/>
      <c r="W884" s="19"/>
      <c r="X884" s="20"/>
    </row>
    <row r="885" spans="1:24">
      <c r="A885" s="200"/>
      <c r="B885" s="211"/>
      <c r="C885" s="200" t="s">
        <v>550</v>
      </c>
      <c r="D885" s="199" t="str">
        <f>VLOOKUP(C885,'仕掛品名寄（貼付）'!B:C,2,FALSE)</f>
        <v>その他</v>
      </c>
      <c r="E885" s="199">
        <f>VLOOKUP(D885,'仕掛品標準単価一覧表（貼付）'!B:G,6,FALSE)</f>
        <v>1080</v>
      </c>
      <c r="F885" s="12" t="s">
        <v>246</v>
      </c>
      <c r="G885" s="13">
        <v>0</v>
      </c>
      <c r="H885" s="13">
        <f ca="1">SUMIF('1.3②原材料使用'!B:E,C885,'1.3②原材料使用'!E:E)</f>
        <v>0</v>
      </c>
      <c r="I885" s="13">
        <f ca="1">SUMIF('2.10原液別作業時間'!A:B,C885,'2.10原液別作業時間'!B:B)</f>
        <v>0</v>
      </c>
      <c r="J885" s="13">
        <f ca="1">SUM(G885:H885,K885)</f>
        <v>0</v>
      </c>
      <c r="K885" s="13">
        <f ca="1">SUMIF('2.2⑤純増減→前工程費'!B:E,C885,'2.2⑤純増減→前工程費'!E:E)</f>
        <v>0</v>
      </c>
      <c r="L885" s="13">
        <f ca="1">SUMIF('2.6完成品'!C:D,C885,'2.6完成品'!D:D)</f>
        <v>0</v>
      </c>
      <c r="M885" s="13">
        <f ca="1">SUMIF('2.3研究費'!D:E,C885,'2.3研究費'!E:E)</f>
        <v>0</v>
      </c>
      <c r="N885" s="13">
        <f ca="1">SUMIF('2.4販促費'!D:E,C885,'2.4販促費'!E:E)</f>
        <v>0</v>
      </c>
      <c r="O885" s="13">
        <f ca="1">SUMIF('2.5廃棄処分'!D:E,C885,'2.5廃棄処分'!E:E)</f>
        <v>0</v>
      </c>
      <c r="P885" s="13">
        <f ca="1">SUMIF('2.1④異種原液'!D:E,C885,'2.1④異種原液'!E:E)</f>
        <v>0</v>
      </c>
      <c r="Q885" s="14">
        <f ca="1">SUMIF('2.7製造部生産分'!D:I,C885,'2.7製造部生産分'!H:H)</f>
        <v>0</v>
      </c>
      <c r="R885" s="15">
        <f ca="1">-(G885+H885+K885-L885-M885-N885-O885-P885-Q885-S885)</f>
        <v>0</v>
      </c>
      <c r="S885" s="13">
        <f ca="1">SUMIF('2.9原液在庫'!B:H,C885,'2.9原液在庫'!H:H)</f>
        <v>0</v>
      </c>
      <c r="T885" s="16">
        <f ca="1">IFERROR(SUM(G886:K886)/(G885+H885+K885),0)</f>
        <v>0</v>
      </c>
      <c r="U885" s="17" t="str">
        <f>C885</f>
        <v>返品③</v>
      </c>
      <c r="V885" s="18">
        <f ca="1">IF(ISERROR(SUM(G886:K886)/SUM(L885:Q885,S885)),0,SUM(G886:K886)/SUM(L885:Q885,S885))</f>
        <v>0</v>
      </c>
      <c r="W885" s="19">
        <f ca="1">V885</f>
        <v>0</v>
      </c>
      <c r="X885" s="20">
        <f ca="1">W885/1000</f>
        <v>0</v>
      </c>
    </row>
    <row r="886" spans="1:24">
      <c r="A886" s="201"/>
      <c r="B886" s="201"/>
      <c r="C886" s="201"/>
      <c r="D886" s="199"/>
      <c r="E886" s="199"/>
      <c r="F886" s="21" t="s">
        <v>247</v>
      </c>
      <c r="G886" s="22" t="s">
        <v>254</v>
      </c>
      <c r="H886" s="184"/>
      <c r="I886" s="23">
        <f ca="1">I885*労務費経費単価SC!D$7</f>
        <v>0</v>
      </c>
      <c r="J886" s="23">
        <f ca="1">J885*労務費経費単価SC!D$11</f>
        <v>0</v>
      </c>
      <c r="K886" s="22">
        <f ca="1">K885*$E885</f>
        <v>0</v>
      </c>
      <c r="L886" s="22">
        <f ca="1">L885*$E885</f>
        <v>0</v>
      </c>
      <c r="M886" s="22">
        <f t="shared" ref="M886" ca="1" si="3074">M885*$E885</f>
        <v>0</v>
      </c>
      <c r="N886" s="22">
        <f t="shared" ref="N886" ca="1" si="3075">N885*$E885</f>
        <v>0</v>
      </c>
      <c r="O886" s="22">
        <f t="shared" ref="O886" ca="1" si="3076">O885*$E885</f>
        <v>0</v>
      </c>
      <c r="P886" s="22">
        <f t="shared" ref="P886" ca="1" si="3077">P885*$E885</f>
        <v>0</v>
      </c>
      <c r="Q886" s="22">
        <f t="shared" ref="Q886" ca="1" si="3078">Q885*$E885</f>
        <v>0</v>
      </c>
      <c r="R886" s="22">
        <f t="shared" ref="R886" ca="1" si="3079">R885*$E885</f>
        <v>0</v>
      </c>
      <c r="S886" s="22">
        <f t="shared" ref="S886" ca="1" si="3080">S885*$E885</f>
        <v>0</v>
      </c>
      <c r="U886" s="17"/>
      <c r="V886" s="18"/>
      <c r="W886" s="19"/>
      <c r="X886" s="20"/>
    </row>
    <row r="887" spans="1:24">
      <c r="A887" s="200"/>
      <c r="B887" s="211"/>
      <c r="C887" s="200" t="s">
        <v>551</v>
      </c>
      <c r="D887" s="199" t="str">
        <f>VLOOKUP(C887,'仕掛品名寄（貼付）'!B:C,2,FALSE)</f>
        <v>その他</v>
      </c>
      <c r="E887" s="199">
        <f>VLOOKUP(D887,'仕掛品標準単価一覧表（貼付）'!B:G,6,FALSE)</f>
        <v>1080</v>
      </c>
      <c r="F887" s="12" t="s">
        <v>246</v>
      </c>
      <c r="G887" s="13">
        <v>0</v>
      </c>
      <c r="H887" s="13">
        <f ca="1">SUMIF('1.3②原材料使用'!B:E,C887,'1.3②原材料使用'!E:E)</f>
        <v>0</v>
      </c>
      <c r="I887" s="13">
        <f ca="1">SUMIF('2.10原液別作業時間'!A:B,C887,'2.10原液別作業時間'!B:B)</f>
        <v>0</v>
      </c>
      <c r="J887" s="13">
        <f ca="1">SUM(G887:H887,K887)</f>
        <v>0</v>
      </c>
      <c r="K887" s="13">
        <f ca="1">SUMIF('2.2⑤純増減→前工程費'!B:E,C887,'2.2⑤純増減→前工程費'!E:E)</f>
        <v>0</v>
      </c>
      <c r="L887" s="13">
        <f ca="1">SUMIF('2.6完成品'!C:D,C887,'2.6完成品'!D:D)</f>
        <v>0</v>
      </c>
      <c r="M887" s="13">
        <f ca="1">SUMIF('2.3研究費'!D:E,C887,'2.3研究費'!E:E)</f>
        <v>0</v>
      </c>
      <c r="N887" s="13">
        <f ca="1">SUMIF('2.4販促費'!D:E,C887,'2.4販促費'!E:E)</f>
        <v>0</v>
      </c>
      <c r="O887" s="13">
        <f ca="1">SUMIF('2.5廃棄処分'!D:E,C887,'2.5廃棄処分'!E:E)</f>
        <v>0</v>
      </c>
      <c r="P887" s="13">
        <f ca="1">SUMIF('2.1④異種原液'!D:E,C887,'2.1④異種原液'!E:E)</f>
        <v>0</v>
      </c>
      <c r="Q887" s="14">
        <f ca="1">SUMIF('2.7製造部生産分'!D:I,C887,'2.7製造部生産分'!H:H)</f>
        <v>0</v>
      </c>
      <c r="R887" s="15">
        <f ca="1">-(G887+H887+K887-L887-M887-N887-O887-P887-Q887-S887)</f>
        <v>0</v>
      </c>
      <c r="S887" s="13">
        <f ca="1">SUMIF('2.9原液在庫'!B:H,C887,'2.9原液在庫'!H:H)</f>
        <v>0</v>
      </c>
      <c r="T887" s="16">
        <f ca="1">IFERROR(SUM(G888:K888)/(G887+H887+K887),0)</f>
        <v>0</v>
      </c>
      <c r="U887" s="17" t="str">
        <f>C887</f>
        <v>返品④</v>
      </c>
      <c r="V887" s="18">
        <f ca="1">IF(ISERROR(SUM(G888:K888)/SUM(L887:Q887,S887)),0,SUM(G888:K888)/SUM(L887:Q887,S887))</f>
        <v>0</v>
      </c>
      <c r="W887" s="19">
        <f ca="1">V887</f>
        <v>0</v>
      </c>
      <c r="X887" s="20">
        <f ca="1">W887/1000</f>
        <v>0</v>
      </c>
    </row>
    <row r="888" spans="1:24">
      <c r="A888" s="201"/>
      <c r="B888" s="201"/>
      <c r="C888" s="201"/>
      <c r="D888" s="199"/>
      <c r="E888" s="199"/>
      <c r="F888" s="21" t="s">
        <v>247</v>
      </c>
      <c r="G888" s="22" t="s">
        <v>254</v>
      </c>
      <c r="H888" s="184"/>
      <c r="I888" s="23">
        <f ca="1">I887*労務費経費単価SC!D$7</f>
        <v>0</v>
      </c>
      <c r="J888" s="23">
        <f ca="1">J887*労務費経費単価SC!D$11</f>
        <v>0</v>
      </c>
      <c r="K888" s="22">
        <f ca="1">K887*$E887</f>
        <v>0</v>
      </c>
      <c r="L888" s="22">
        <f ca="1">L887*$E887</f>
        <v>0</v>
      </c>
      <c r="M888" s="22">
        <f t="shared" ref="M888" ca="1" si="3081">M887*$E887</f>
        <v>0</v>
      </c>
      <c r="N888" s="22">
        <f t="shared" ref="N888" ca="1" si="3082">N887*$E887</f>
        <v>0</v>
      </c>
      <c r="O888" s="22">
        <f t="shared" ref="O888" ca="1" si="3083">O887*$E887</f>
        <v>0</v>
      </c>
      <c r="P888" s="22">
        <f t="shared" ref="P888" ca="1" si="3084">P887*$E887</f>
        <v>0</v>
      </c>
      <c r="Q888" s="22">
        <f t="shared" ref="Q888" ca="1" si="3085">Q887*$E887</f>
        <v>0</v>
      </c>
      <c r="R888" s="22">
        <f t="shared" ref="R888" ca="1" si="3086">R887*$E887</f>
        <v>0</v>
      </c>
      <c r="S888" s="22">
        <f t="shared" ref="S888" ca="1" si="3087">S887*$E887</f>
        <v>0</v>
      </c>
      <c r="U888" s="17"/>
      <c r="V888" s="18"/>
      <c r="W888" s="19"/>
      <c r="X888" s="20"/>
    </row>
    <row r="889" spans="1:24">
      <c r="A889" s="200"/>
      <c r="B889" s="211"/>
      <c r="C889" s="200" t="s">
        <v>552</v>
      </c>
      <c r="D889" s="199" t="str">
        <f>VLOOKUP(C889,'仕掛品名寄（貼付）'!B:C,2,FALSE)</f>
        <v>その他</v>
      </c>
      <c r="E889" s="199">
        <f>VLOOKUP(D889,'仕掛品標準単価一覧表（貼付）'!B:G,6,FALSE)</f>
        <v>1080</v>
      </c>
      <c r="F889" s="12" t="s">
        <v>246</v>
      </c>
      <c r="G889" s="13">
        <v>0</v>
      </c>
      <c r="H889" s="13">
        <f ca="1">SUMIF('1.3②原材料使用'!B:E,C889,'1.3②原材料使用'!E:E)</f>
        <v>0</v>
      </c>
      <c r="I889" s="13">
        <f ca="1">SUMIF('2.10原液別作業時間'!A:B,C889,'2.10原液別作業時間'!B:B)</f>
        <v>0</v>
      </c>
      <c r="J889" s="13">
        <f ca="1">SUM(G889:H889,K889)</f>
        <v>0</v>
      </c>
      <c r="K889" s="13">
        <f ca="1">SUMIF('2.2⑤純増減→前工程費'!B:E,C889,'2.2⑤純増減→前工程費'!E:E)</f>
        <v>0</v>
      </c>
      <c r="L889" s="13">
        <f ca="1">SUMIF('2.6完成品'!C:D,C889,'2.6完成品'!D:D)</f>
        <v>0</v>
      </c>
      <c r="M889" s="13">
        <f ca="1">SUMIF('2.3研究費'!D:E,C889,'2.3研究費'!E:E)</f>
        <v>0</v>
      </c>
      <c r="N889" s="13">
        <f ca="1">SUMIF('2.4販促費'!D:E,C889,'2.4販促費'!E:E)</f>
        <v>0</v>
      </c>
      <c r="O889" s="13">
        <f ca="1">SUMIF('2.5廃棄処分'!D:E,C889,'2.5廃棄処分'!E:E)</f>
        <v>0</v>
      </c>
      <c r="P889" s="13">
        <f ca="1">SUMIF('2.1④異種原液'!D:E,C889,'2.1④異種原液'!E:E)</f>
        <v>0</v>
      </c>
      <c r="Q889" s="14">
        <f ca="1">SUMIF('2.7製造部生産分'!D:I,C889,'2.7製造部生産分'!H:H)</f>
        <v>0</v>
      </c>
      <c r="R889" s="15">
        <f ca="1">-(G889+H889+K889-L889-M889-N889-O889-P889-Q889-S889)</f>
        <v>0</v>
      </c>
      <c r="S889" s="13">
        <f ca="1">SUMIF('2.9原液在庫'!B:H,C889,'2.9原液在庫'!H:H)</f>
        <v>0</v>
      </c>
      <c r="T889" s="16">
        <f ca="1">IFERROR(SUM(G890:K890)/(G889+H889+K889),0)</f>
        <v>0</v>
      </c>
      <c r="U889" s="17" t="str">
        <f>C889</f>
        <v>返品⑤</v>
      </c>
      <c r="V889" s="18">
        <f ca="1">IF(ISERROR(SUM(G890:K890)/SUM(L889:Q889,S889)),0,SUM(G890:K890)/SUM(L889:Q889,S889))</f>
        <v>0</v>
      </c>
      <c r="W889" s="19">
        <f ca="1">V889</f>
        <v>0</v>
      </c>
      <c r="X889" s="20">
        <f ca="1">W889/1000</f>
        <v>0</v>
      </c>
    </row>
    <row r="890" spans="1:24">
      <c r="A890" s="201"/>
      <c r="B890" s="201"/>
      <c r="C890" s="201"/>
      <c r="D890" s="199"/>
      <c r="E890" s="199"/>
      <c r="F890" s="21" t="s">
        <v>247</v>
      </c>
      <c r="G890" s="22" t="s">
        <v>254</v>
      </c>
      <c r="H890" s="184"/>
      <c r="I890" s="23">
        <f ca="1">I889*労務費経費単価SC!D$7</f>
        <v>0</v>
      </c>
      <c r="J890" s="23">
        <f ca="1">J889*労務費経費単価SC!D$11</f>
        <v>0</v>
      </c>
      <c r="K890" s="22">
        <f ca="1">K889*$E889</f>
        <v>0</v>
      </c>
      <c r="L890" s="22">
        <f ca="1">L889*$E889</f>
        <v>0</v>
      </c>
      <c r="M890" s="22">
        <f t="shared" ref="M890" ca="1" si="3088">M889*$E889</f>
        <v>0</v>
      </c>
      <c r="N890" s="22">
        <f t="shared" ref="N890" ca="1" si="3089">N889*$E889</f>
        <v>0</v>
      </c>
      <c r="O890" s="22">
        <f t="shared" ref="O890" ca="1" si="3090">O889*$E889</f>
        <v>0</v>
      </c>
      <c r="P890" s="22">
        <f t="shared" ref="P890" ca="1" si="3091">P889*$E889</f>
        <v>0</v>
      </c>
      <c r="Q890" s="22">
        <f t="shared" ref="Q890" ca="1" si="3092">Q889*$E889</f>
        <v>0</v>
      </c>
      <c r="R890" s="22">
        <f t="shared" ref="R890" ca="1" si="3093">R889*$E889</f>
        <v>0</v>
      </c>
      <c r="S890" s="22">
        <f t="shared" ref="S890" ca="1" si="3094">S889*$E889</f>
        <v>0</v>
      </c>
      <c r="U890" s="17"/>
      <c r="V890" s="18"/>
      <c r="W890" s="19"/>
      <c r="X890" s="20"/>
    </row>
    <row r="891" spans="1:24">
      <c r="A891" s="200"/>
      <c r="B891" s="211"/>
      <c r="C891" s="200" t="s">
        <v>553</v>
      </c>
      <c r="D891" s="199" t="str">
        <f>VLOOKUP(C891,'仕掛品名寄（貼付）'!B:C,2,FALSE)</f>
        <v>その他</v>
      </c>
      <c r="E891" s="199">
        <f>VLOOKUP(D891,'仕掛品標準単価一覧表（貼付）'!B:G,6,FALSE)</f>
        <v>1080</v>
      </c>
      <c r="F891" s="12" t="s">
        <v>246</v>
      </c>
      <c r="G891" s="13">
        <v>0</v>
      </c>
      <c r="H891" s="13">
        <f ca="1">SUMIF('1.3②原材料使用'!B:E,C891,'1.3②原材料使用'!E:E)</f>
        <v>0</v>
      </c>
      <c r="I891" s="13">
        <f ca="1">SUMIF('2.10原液別作業時間'!A:B,C891,'2.10原液別作業時間'!B:B)</f>
        <v>0</v>
      </c>
      <c r="J891" s="13">
        <f ca="1">SUM(G891:H891,K891)</f>
        <v>0</v>
      </c>
      <c r="K891" s="13">
        <f ca="1">SUMIF('2.2⑤純増減→前工程費'!B:E,C891,'2.2⑤純増減→前工程費'!E:E)</f>
        <v>0</v>
      </c>
      <c r="L891" s="13">
        <f ca="1">SUMIF('2.6完成品'!C:D,C891,'2.6完成品'!D:D)</f>
        <v>0</v>
      </c>
      <c r="M891" s="13">
        <f ca="1">SUMIF('2.3研究費'!D:E,C891,'2.3研究費'!E:E)</f>
        <v>0</v>
      </c>
      <c r="N891" s="13">
        <f ca="1">SUMIF('2.4販促費'!D:E,C891,'2.4販促費'!E:E)</f>
        <v>0</v>
      </c>
      <c r="O891" s="13">
        <f ca="1">SUMIF('2.5廃棄処分'!D:E,C891,'2.5廃棄処分'!E:E)</f>
        <v>0</v>
      </c>
      <c r="P891" s="13">
        <f ca="1">SUMIF('2.1④異種原液'!D:E,C891,'2.1④異種原液'!E:E)</f>
        <v>0</v>
      </c>
      <c r="Q891" s="14">
        <f ca="1">SUMIF('2.7製造部生産分'!D:I,C891,'2.7製造部生産分'!H:H)</f>
        <v>0</v>
      </c>
      <c r="R891" s="15">
        <f ca="1">-(G891+H891+K891-L891-M891-N891-O891-P891-Q891-S891)</f>
        <v>0</v>
      </c>
      <c r="S891" s="13">
        <f ca="1">SUMIF('2.9原液在庫'!B:H,C891,'2.9原液在庫'!H:H)</f>
        <v>0</v>
      </c>
      <c r="T891" s="16">
        <f ca="1">IFERROR(SUM(G892:K892)/(G891+H891+K891),0)</f>
        <v>0</v>
      </c>
      <c r="U891" s="17" t="str">
        <f>C891</f>
        <v>返品⑥</v>
      </c>
      <c r="V891" s="18">
        <f ca="1">IF(ISERROR(SUM(G892:K892)/SUM(L891:Q891,S891)),0,SUM(G892:K892)/SUM(L891:Q891,S891))</f>
        <v>0</v>
      </c>
      <c r="W891" s="19">
        <f ca="1">V891</f>
        <v>0</v>
      </c>
      <c r="X891" s="20">
        <f ca="1">W891/1000</f>
        <v>0</v>
      </c>
    </row>
    <row r="892" spans="1:24">
      <c r="A892" s="201"/>
      <c r="B892" s="201"/>
      <c r="C892" s="201"/>
      <c r="D892" s="199"/>
      <c r="E892" s="199"/>
      <c r="F892" s="21" t="s">
        <v>247</v>
      </c>
      <c r="G892" s="22" t="s">
        <v>254</v>
      </c>
      <c r="H892" s="184"/>
      <c r="I892" s="23">
        <f ca="1">I891*労務費経費単価SC!D$7</f>
        <v>0</v>
      </c>
      <c r="J892" s="23">
        <f ca="1">J891*労務費経費単価SC!D$11</f>
        <v>0</v>
      </c>
      <c r="K892" s="22">
        <f ca="1">K891*$E891</f>
        <v>0</v>
      </c>
      <c r="L892" s="22">
        <f ca="1">L891*$E891</f>
        <v>0</v>
      </c>
      <c r="M892" s="22">
        <f t="shared" ref="M892" ca="1" si="3095">M891*$E891</f>
        <v>0</v>
      </c>
      <c r="N892" s="22">
        <f t="shared" ref="N892" ca="1" si="3096">N891*$E891</f>
        <v>0</v>
      </c>
      <c r="O892" s="22">
        <f t="shared" ref="O892" ca="1" si="3097">O891*$E891</f>
        <v>0</v>
      </c>
      <c r="P892" s="22">
        <f t="shared" ref="P892" ca="1" si="3098">P891*$E891</f>
        <v>0</v>
      </c>
      <c r="Q892" s="22">
        <f t="shared" ref="Q892" ca="1" si="3099">Q891*$E891</f>
        <v>0</v>
      </c>
      <c r="R892" s="22">
        <f t="shared" ref="R892" ca="1" si="3100">R891*$E891</f>
        <v>0</v>
      </c>
      <c r="S892" s="22">
        <f t="shared" ref="S892" ca="1" si="3101">S891*$E891</f>
        <v>0</v>
      </c>
      <c r="U892" s="17"/>
      <c r="V892" s="18"/>
      <c r="W892" s="19"/>
      <c r="X892" s="20"/>
    </row>
    <row r="893" spans="1:24">
      <c r="A893" s="200"/>
      <c r="B893" s="211"/>
      <c r="C893" s="200" t="s">
        <v>239</v>
      </c>
      <c r="D893" s="199" t="str">
        <f>VLOOKUP(C893,'仕掛品名寄（貼付）'!B:C,2,FALSE)</f>
        <v>圧搾カス</v>
      </c>
      <c r="E893" s="199">
        <f>VLOOKUP(D893,'仕掛品標準単価一覧表（貼付）'!B:G,6,FALSE)</f>
        <v>359.30243945602575</v>
      </c>
      <c r="F893" s="12" t="s">
        <v>246</v>
      </c>
      <c r="G893" s="24">
        <v>59099</v>
      </c>
      <c r="H893" s="13">
        <f ca="1">SUMIF('1.3②原材料使用'!B:E,C893,'1.3②原材料使用'!E:E)</f>
        <v>0</v>
      </c>
      <c r="I893" s="13">
        <f ca="1">SUMIF('2.10原液別作業時間'!A:B,C893,'2.10原液別作業時間'!B:B)</f>
        <v>0</v>
      </c>
      <c r="J893" s="13">
        <f ca="1">SUM(G893:H893,K893)</f>
        <v>64580</v>
      </c>
      <c r="K893" s="13">
        <f ca="1">SUMIF('2.2⑤純増減→前工程費'!B:E,C893,'2.2⑤純増減→前工程費'!E:E)</f>
        <v>5481</v>
      </c>
      <c r="L893" s="13">
        <f ca="1">SUMIF('2.6完成品'!C:D,C893,'2.6完成品'!D:D)</f>
        <v>0</v>
      </c>
      <c r="M893" s="13">
        <f ca="1">SUMIF('2.3研究費'!D:E,C893,'2.3研究費'!E:E)</f>
        <v>0</v>
      </c>
      <c r="N893" s="13">
        <f ca="1">SUMIF('2.4販促費'!D:E,C893,'2.4販促費'!E:E)</f>
        <v>0</v>
      </c>
      <c r="O893" s="13">
        <f ca="1">SUMIF('2.5廃棄処分'!D:E,C893,'2.5廃棄処分'!E:E)</f>
        <v>0</v>
      </c>
      <c r="P893" s="13">
        <f ca="1">SUMIF('2.1④異種原液'!D:E,C893,'2.1④異種原液'!E:E)</f>
        <v>0</v>
      </c>
      <c r="Q893" s="14">
        <f ca="1">SUMIF('2.7製造部生産分'!D:I,C893,'2.7製造部生産分'!H:H)</f>
        <v>0</v>
      </c>
      <c r="R893" s="15">
        <f ca="1">-(G893+H893+K893-L893-M893-N893-O893-P893-Q893-S893)</f>
        <v>319.5</v>
      </c>
      <c r="S893" s="13">
        <f ca="1">SUMIF('2.9原液在庫'!B:H,C893,'2.9原液在庫'!H:H)</f>
        <v>64899.5</v>
      </c>
      <c r="T893" s="16">
        <f ca="1">IFERROR(SUM(G894:K894)/(G893+H893+K893),0)</f>
        <v>390.26880827703496</v>
      </c>
      <c r="U893" s="17" t="str">
        <f>C893</f>
        <v>圧搾ｶｽ</v>
      </c>
      <c r="V893" s="18">
        <f ca="1">IF(ISERROR(SUM(G894:K894)/SUM(L893:Q893,S893)),0,SUM(G894:K894)/SUM(L893:Q893,S893))</f>
        <v>388.34751636809091</v>
      </c>
      <c r="W893" s="19">
        <f ca="1">V893</f>
        <v>388.34751636809091</v>
      </c>
      <c r="X893" s="20">
        <f ca="1">W893/1000</f>
        <v>0.38834751636809089</v>
      </c>
    </row>
    <row r="894" spans="1:24">
      <c r="A894" s="201"/>
      <c r="B894" s="201"/>
      <c r="C894" s="201"/>
      <c r="D894" s="199"/>
      <c r="E894" s="199"/>
      <c r="F894" s="21" t="s">
        <v>247</v>
      </c>
      <c r="G894" s="22">
        <v>21296822.967872441</v>
      </c>
      <c r="H894" s="184"/>
      <c r="I894" s="23">
        <f ca="1">I893*労務費経費単価SC!D$7</f>
        <v>0</v>
      </c>
      <c r="J894" s="23">
        <f ca="1">J893*労務費経費単価SC!D$11</f>
        <v>1937400</v>
      </c>
      <c r="K894" s="22">
        <f ca="1">K893*$E893</f>
        <v>1969336.6706584771</v>
      </c>
      <c r="L894" s="22">
        <f ca="1">L893*$E893</f>
        <v>0</v>
      </c>
      <c r="M894" s="22">
        <f t="shared" ref="M894" ca="1" si="3102">M893*$E893</f>
        <v>0</v>
      </c>
      <c r="N894" s="22">
        <f t="shared" ref="N894" ca="1" si="3103">N893*$E893</f>
        <v>0</v>
      </c>
      <c r="O894" s="22">
        <f t="shared" ref="O894" ca="1" si="3104">O893*$E893</f>
        <v>0</v>
      </c>
      <c r="P894" s="22">
        <f t="shared" ref="P894" ca="1" si="3105">P893*$E893</f>
        <v>0</v>
      </c>
      <c r="Q894" s="22">
        <f t="shared" ref="Q894" ca="1" si="3106">Q893*$E893</f>
        <v>0</v>
      </c>
      <c r="R894" s="22">
        <f t="shared" ref="R894" ca="1" si="3107">R893*$E893</f>
        <v>114797.12940620023</v>
      </c>
      <c r="S894" s="22">
        <f t="shared" ref="S894" ca="1" si="3108">S893*$E893</f>
        <v>23318548.669476341</v>
      </c>
      <c r="U894" s="17"/>
      <c r="V894" s="18"/>
      <c r="W894" s="19"/>
      <c r="X894" s="20"/>
    </row>
    <row r="895" spans="1:24">
      <c r="A895" s="200"/>
      <c r="B895" s="211"/>
      <c r="C895" s="200" t="s">
        <v>240</v>
      </c>
      <c r="D895" s="199" t="str">
        <f>VLOOKUP(C895,'仕掛品名寄（貼付）'!B:C,2,FALSE)</f>
        <v>その他</v>
      </c>
      <c r="E895" s="199">
        <f>VLOOKUP(D895,'仕掛品標準単価一覧表（貼付）'!B:G,6,FALSE)</f>
        <v>1080</v>
      </c>
      <c r="F895" s="12" t="s">
        <v>246</v>
      </c>
      <c r="G895" s="13">
        <v>10063.5</v>
      </c>
      <c r="H895" s="13">
        <f ca="1">SUMIF('1.3②原材料使用'!B:E,C895,'1.3②原材料使用'!E:E)</f>
        <v>0</v>
      </c>
      <c r="I895" s="13">
        <f ca="1">SUMIF('2.10原液別作業時間'!A:B,C895,'2.10原液別作業時間'!B:B)</f>
        <v>0</v>
      </c>
      <c r="J895" s="13">
        <f ca="1">SUM(G895:H895,K895)</f>
        <v>10063.5</v>
      </c>
      <c r="K895" s="13">
        <f ca="1">SUMIF('2.2⑤純増減→前工程費'!B:E,C895,'2.2⑤純増減→前工程費'!E:E)</f>
        <v>0</v>
      </c>
      <c r="L895" s="13">
        <f ca="1">SUMIF('2.6完成品'!C:D,C895,'2.6完成品'!D:D)</f>
        <v>0</v>
      </c>
      <c r="M895" s="13">
        <f ca="1">SUMIF('2.3研究費'!D:E,C895,'2.3研究費'!E:E)</f>
        <v>0</v>
      </c>
      <c r="N895" s="13">
        <f ca="1">SUMIF('2.4販促費'!D:E,C895,'2.4販促費'!E:E)</f>
        <v>0</v>
      </c>
      <c r="O895" s="13">
        <f ca="1">SUMIF('2.5廃棄処分'!D:E,C895,'2.5廃棄処分'!E:E)</f>
        <v>6056.5</v>
      </c>
      <c r="P895" s="13">
        <f ca="1">SUMIF('2.1④異種原液'!D:E,C895,'2.1④異種原液'!E:E)</f>
        <v>0</v>
      </c>
      <c r="Q895" s="14">
        <f ca="1">SUMIF('2.7製造部生産分'!D:I,C895,'2.7製造部生産分'!H:H)</f>
        <v>0</v>
      </c>
      <c r="R895" s="15">
        <f ca="1">-(G895+H895+K895-L895-M895-N895-O895-P895-Q895-S895)</f>
        <v>0</v>
      </c>
      <c r="S895" s="13">
        <f ca="1">SUMIF('2.9原液在庫'!B:H,C895,'2.9原液在庫'!H:H)</f>
        <v>4007</v>
      </c>
      <c r="T895" s="16">
        <f ca="1">IFERROR(SUM(G896:K896)/(G895+H895+K895),0)</f>
        <v>321.32979175557074</v>
      </c>
      <c r="U895" s="17" t="str">
        <f>C895</f>
        <v>ろ過ｶｽ</v>
      </c>
      <c r="V895" s="18">
        <f ca="1">IF(ISERROR(SUM(G896:K896)/SUM(L895:Q895,S895)),0,SUM(G896:K896)/SUM(L895:Q895,S895))</f>
        <v>321.32979175557074</v>
      </c>
      <c r="W895" s="19">
        <f ca="1">V895</f>
        <v>321.32979175557074</v>
      </c>
      <c r="X895" s="20">
        <f ca="1">W895/1000</f>
        <v>0.32132979175557075</v>
      </c>
    </row>
    <row r="896" spans="1:24">
      <c r="A896" s="201"/>
      <c r="B896" s="201"/>
      <c r="C896" s="201"/>
      <c r="D896" s="199"/>
      <c r="E896" s="199"/>
      <c r="F896" s="21" t="s">
        <v>247</v>
      </c>
      <c r="G896" s="22">
        <v>2931797.3593321862</v>
      </c>
      <c r="H896" s="184"/>
      <c r="I896" s="23">
        <f ca="1">I895*労務費経費単価SC!D$7</f>
        <v>0</v>
      </c>
      <c r="J896" s="23">
        <f ca="1">J895*労務費経費単価SC!D$11</f>
        <v>301905</v>
      </c>
      <c r="K896" s="22">
        <f ca="1">K895*$E895</f>
        <v>0</v>
      </c>
      <c r="L896" s="22">
        <f ca="1">L895*$E895</f>
        <v>0</v>
      </c>
      <c r="M896" s="22">
        <f t="shared" ref="M896" ca="1" si="3109">M895*$E895</f>
        <v>0</v>
      </c>
      <c r="N896" s="22">
        <f t="shared" ref="N896" ca="1" si="3110">N895*$E895</f>
        <v>0</v>
      </c>
      <c r="O896" s="22">
        <f t="shared" ref="O896" ca="1" si="3111">O895*$E895</f>
        <v>6541020</v>
      </c>
      <c r="P896" s="22">
        <f t="shared" ref="P896" ca="1" si="3112">P895*$E895</f>
        <v>0</v>
      </c>
      <c r="Q896" s="22">
        <f t="shared" ref="Q896" ca="1" si="3113">Q895*$E895</f>
        <v>0</v>
      </c>
      <c r="R896" s="22">
        <f t="shared" ref="R896" ca="1" si="3114">R895*$E895</f>
        <v>0</v>
      </c>
      <c r="S896" s="22">
        <f t="shared" ref="S896" ca="1" si="3115">S895*$E895</f>
        <v>4327560</v>
      </c>
      <c r="U896" s="17"/>
      <c r="V896" s="18"/>
      <c r="W896" s="19"/>
      <c r="X896" s="20"/>
    </row>
    <row r="897" spans="1:24">
      <c r="A897" s="200"/>
      <c r="B897" s="211"/>
      <c r="C897" s="200" t="s">
        <v>554</v>
      </c>
      <c r="D897" s="199" t="str">
        <f>VLOOKUP(C897,'仕掛品名寄（貼付）'!B:C,2,FALSE)</f>
        <v>その他</v>
      </c>
      <c r="E897" s="199">
        <f>VLOOKUP(D897,'仕掛品標準単価一覧表（貼付）'!B:G,6,FALSE)</f>
        <v>1080</v>
      </c>
      <c r="F897" s="12" t="s">
        <v>246</v>
      </c>
      <c r="G897" s="13">
        <v>0</v>
      </c>
      <c r="H897" s="13">
        <f ca="1">SUMIF('1.3②原材料使用'!B:E,C897,'1.3②原材料使用'!E:E)</f>
        <v>0</v>
      </c>
      <c r="I897" s="13">
        <f ca="1">SUMIF('2.10原液別作業時間'!A:B,C897,'2.10原液別作業時間'!B:B)</f>
        <v>0</v>
      </c>
      <c r="J897" s="13">
        <f ca="1">SUM(G897:H897,K897)</f>
        <v>0</v>
      </c>
      <c r="K897" s="13">
        <f ca="1">SUMIF('2.2⑤純増減→前工程費'!B:E,C897,'2.2⑤純増減→前工程費'!E:E)</f>
        <v>0</v>
      </c>
      <c r="L897" s="13">
        <f ca="1">SUMIF('2.6完成品'!C:D,C897,'2.6完成品'!D:D)</f>
        <v>0</v>
      </c>
      <c r="M897" s="13">
        <f ca="1">SUMIF('2.3研究費'!D:E,C897,'2.3研究費'!E:E)</f>
        <v>0</v>
      </c>
      <c r="N897" s="13">
        <f ca="1">SUMIF('2.4販促費'!D:E,C897,'2.4販促費'!E:E)</f>
        <v>0</v>
      </c>
      <c r="O897" s="13">
        <f ca="1">SUMIF('2.5廃棄処分'!D:E,C897,'2.5廃棄処分'!E:E)</f>
        <v>0</v>
      </c>
      <c r="P897" s="13">
        <f ca="1">SUMIF('2.1④異種原液'!D:E,C897,'2.1④異種原液'!E:E)</f>
        <v>0</v>
      </c>
      <c r="Q897" s="14">
        <f ca="1">SUMIF('2.7製造部生産分'!D:I,C897,'2.7製造部生産分'!H:H)</f>
        <v>0</v>
      </c>
      <c r="R897" s="15">
        <f ca="1">-(G897+H897+K897-L897-M897-N897-O897-P897-Q897-S897)</f>
        <v>0</v>
      </c>
      <c r="S897" s="13">
        <f ca="1">SUMIF('2.9原液在庫'!B:H,C897,'2.9原液在庫'!H:H)</f>
        <v>0</v>
      </c>
      <c r="T897" s="16">
        <f ca="1">IFERROR(SUM(G898:K898)/(G897+H897+K897),0)</f>
        <v>0</v>
      </c>
      <c r="U897" s="17" t="str">
        <f>C897</f>
        <v>ろ過ｶｽ廃棄ﾀﾞﾙ</v>
      </c>
      <c r="V897" s="18">
        <f ca="1">IF(ISERROR(SUM(G898:K898)/SUM(L897:Q897,S897)),0,SUM(G898:K898)/SUM(L897:Q897,S897))</f>
        <v>0</v>
      </c>
      <c r="W897" s="19">
        <f ca="1">V897</f>
        <v>0</v>
      </c>
      <c r="X897" s="20">
        <f ca="1">W897/1000</f>
        <v>0</v>
      </c>
    </row>
    <row r="898" spans="1:24">
      <c r="A898" s="201"/>
      <c r="B898" s="201"/>
      <c r="C898" s="201"/>
      <c r="D898" s="199"/>
      <c r="E898" s="199"/>
      <c r="F898" s="21" t="s">
        <v>247</v>
      </c>
      <c r="G898" s="22" t="s">
        <v>254</v>
      </c>
      <c r="H898" s="184"/>
      <c r="I898" s="23">
        <f ca="1">I897*労務費経費単価SC!D$7</f>
        <v>0</v>
      </c>
      <c r="J898" s="23">
        <f ca="1">J897*労務費経費単価SC!D$11</f>
        <v>0</v>
      </c>
      <c r="K898" s="22">
        <f ca="1">K897*$E897</f>
        <v>0</v>
      </c>
      <c r="L898" s="22">
        <f ca="1">L897*$E897</f>
        <v>0</v>
      </c>
      <c r="M898" s="22">
        <f t="shared" ref="M898" ca="1" si="3116">M897*$E897</f>
        <v>0</v>
      </c>
      <c r="N898" s="22">
        <f t="shared" ref="N898" ca="1" si="3117">N897*$E897</f>
        <v>0</v>
      </c>
      <c r="O898" s="22">
        <f t="shared" ref="O898" ca="1" si="3118">O897*$E897</f>
        <v>0</v>
      </c>
      <c r="P898" s="22">
        <f t="shared" ref="P898" ca="1" si="3119">P897*$E897</f>
        <v>0</v>
      </c>
      <c r="Q898" s="22">
        <f t="shared" ref="Q898" ca="1" si="3120">Q897*$E897</f>
        <v>0</v>
      </c>
      <c r="R898" s="22">
        <f t="shared" ref="R898" ca="1" si="3121">R897*$E897</f>
        <v>0</v>
      </c>
      <c r="S898" s="22">
        <f t="shared" ref="S898" ca="1" si="3122">S897*$E897</f>
        <v>0</v>
      </c>
      <c r="U898" s="17"/>
      <c r="V898" s="18"/>
      <c r="W898" s="19"/>
      <c r="X898" s="20"/>
    </row>
    <row r="899" spans="1:24">
      <c r="A899" s="200"/>
      <c r="B899" s="211"/>
      <c r="C899" s="200" t="s">
        <v>555</v>
      </c>
      <c r="D899" s="199" t="str">
        <f>VLOOKUP(C899,'仕掛品名寄（貼付）'!B:C,2,FALSE)</f>
        <v>その他</v>
      </c>
      <c r="E899" s="199">
        <f>VLOOKUP(D899,'仕掛品標準単価一覧表（貼付）'!B:G,6,FALSE)</f>
        <v>1080</v>
      </c>
      <c r="F899" s="12" t="s">
        <v>246</v>
      </c>
      <c r="G899" s="13">
        <v>111</v>
      </c>
      <c r="H899" s="13">
        <f ca="1">SUMIF('1.3②原材料使用'!B:E,C899,'1.3②原材料使用'!E:E)</f>
        <v>0</v>
      </c>
      <c r="I899" s="13">
        <f ca="1">SUMIF('2.10原液別作業時間'!A:B,C899,'2.10原液別作業時間'!B:B)</f>
        <v>0</v>
      </c>
      <c r="J899" s="13">
        <f ca="1">SUM(G899:H899,K899)</f>
        <v>111</v>
      </c>
      <c r="K899" s="13">
        <f ca="1">SUMIF('2.2⑤純増減→前工程費'!B:E,C899,'2.2⑤純増減→前工程費'!E:E)</f>
        <v>0</v>
      </c>
      <c r="L899" s="13">
        <f ca="1">SUMIF('2.6完成品'!C:D,C899,'2.6完成品'!D:D)</f>
        <v>0</v>
      </c>
      <c r="M899" s="13">
        <f ca="1">SUMIF('2.3研究費'!D:E,C899,'2.3研究費'!E:E)</f>
        <v>0</v>
      </c>
      <c r="N899" s="13">
        <f ca="1">SUMIF('2.4販促費'!D:E,C899,'2.4販促費'!E:E)</f>
        <v>0</v>
      </c>
      <c r="O899" s="13">
        <f ca="1">SUMIF('2.5廃棄処分'!D:E,C899,'2.5廃棄処分'!E:E)</f>
        <v>0</v>
      </c>
      <c r="P899" s="13">
        <f ca="1">SUMIF('2.1④異種原液'!D:E,C899,'2.1④異種原液'!E:E)</f>
        <v>0</v>
      </c>
      <c r="Q899" s="14">
        <f ca="1">SUMIF('2.7製造部生産分'!D:I,C899,'2.7製造部生産分'!H:H)</f>
        <v>0</v>
      </c>
      <c r="R899" s="15">
        <f ca="1">-(G899+H899+K899-L899-M899-N899-O899-P899-Q899-S899)</f>
        <v>0</v>
      </c>
      <c r="S899" s="13">
        <f ca="1">SUMIF('2.9原液在庫'!B:H,C899,'2.9原液在庫'!H:H)</f>
        <v>111</v>
      </c>
      <c r="T899" s="16">
        <f ca="1">IFERROR(SUM(G900:K900)/(G899+H899+K899),0)</f>
        <v>480</v>
      </c>
      <c r="U899" s="17" t="str">
        <f>C899</f>
        <v>31LP圧搾ｶｽ</v>
      </c>
      <c r="V899" s="18">
        <f ca="1">IF(ISERROR(SUM(G900:K900)/SUM(L899:Q899,S899)),0,SUM(G900:K900)/SUM(L899:Q899,S899))</f>
        <v>480</v>
      </c>
      <c r="W899" s="19">
        <f ca="1">V899</f>
        <v>480</v>
      </c>
      <c r="X899" s="20">
        <f ca="1">W899/1000</f>
        <v>0.48</v>
      </c>
    </row>
    <row r="900" spans="1:24">
      <c r="A900" s="201"/>
      <c r="B900" s="201"/>
      <c r="C900" s="201"/>
      <c r="D900" s="199"/>
      <c r="E900" s="199"/>
      <c r="F900" s="21" t="s">
        <v>247</v>
      </c>
      <c r="G900" s="22">
        <v>49950</v>
      </c>
      <c r="H900" s="184"/>
      <c r="I900" s="23">
        <f ca="1">I899*労務費経費単価SC!D$7</f>
        <v>0</v>
      </c>
      <c r="J900" s="23">
        <f ca="1">J899*労務費経費単価SC!D$11</f>
        <v>3330</v>
      </c>
      <c r="K900" s="22">
        <f ca="1">K899*$E899</f>
        <v>0</v>
      </c>
      <c r="L900" s="22">
        <f ca="1">L899*$E899</f>
        <v>0</v>
      </c>
      <c r="M900" s="22">
        <f t="shared" ref="M900" ca="1" si="3123">M899*$E899</f>
        <v>0</v>
      </c>
      <c r="N900" s="22">
        <f t="shared" ref="N900" ca="1" si="3124">N899*$E899</f>
        <v>0</v>
      </c>
      <c r="O900" s="22">
        <f t="shared" ref="O900" ca="1" si="3125">O899*$E899</f>
        <v>0</v>
      </c>
      <c r="P900" s="22">
        <f t="shared" ref="P900" ca="1" si="3126">P899*$E899</f>
        <v>0</v>
      </c>
      <c r="Q900" s="22">
        <f t="shared" ref="Q900" ca="1" si="3127">Q899*$E899</f>
        <v>0</v>
      </c>
      <c r="R900" s="22">
        <f t="shared" ref="R900" ca="1" si="3128">R899*$E899</f>
        <v>0</v>
      </c>
      <c r="S900" s="22">
        <f t="shared" ref="S900" ca="1" si="3129">S899*$E899</f>
        <v>119880</v>
      </c>
      <c r="U900" s="17"/>
      <c r="V900" s="18"/>
      <c r="W900" s="19"/>
      <c r="X900" s="20"/>
    </row>
    <row r="901" spans="1:24">
      <c r="A901" s="200"/>
      <c r="B901" s="211"/>
      <c r="C901" s="200" t="s">
        <v>556</v>
      </c>
      <c r="D901" s="199" t="str">
        <f>VLOOKUP(C901,'仕掛品名寄（貼付）'!B:C,2,FALSE)</f>
        <v>その他</v>
      </c>
      <c r="E901" s="199">
        <f>VLOOKUP(D901,'仕掛品標準単価一覧表（貼付）'!B:G,6,FALSE)</f>
        <v>1080</v>
      </c>
      <c r="F901" s="12" t="s">
        <v>246</v>
      </c>
      <c r="G901" s="13">
        <v>0</v>
      </c>
      <c r="H901" s="13">
        <f ca="1">SUMIF('1.3②原材料使用'!B:E,C901,'1.3②原材料使用'!E:E)</f>
        <v>0</v>
      </c>
      <c r="I901" s="13">
        <f ca="1">SUMIF('2.10原液別作業時間'!A:B,C901,'2.10原液別作業時間'!B:B)</f>
        <v>0</v>
      </c>
      <c r="J901" s="13">
        <f ca="1">SUM(G901:H901,K901)</f>
        <v>0</v>
      </c>
      <c r="K901" s="13">
        <f ca="1">SUMIF('2.2⑤純増減→前工程費'!B:E,C901,'2.2⑤純増減→前工程費'!E:E)</f>
        <v>0</v>
      </c>
      <c r="L901" s="13">
        <f ca="1">SUMIF('2.6完成品'!C:D,C901,'2.6完成品'!D:D)</f>
        <v>0</v>
      </c>
      <c r="M901" s="13">
        <f ca="1">SUMIF('2.3研究費'!D:E,C901,'2.3研究費'!E:E)</f>
        <v>0</v>
      </c>
      <c r="N901" s="13">
        <f ca="1">SUMIF('2.4販促費'!D:E,C901,'2.4販促費'!E:E)</f>
        <v>0</v>
      </c>
      <c r="O901" s="13">
        <f ca="1">SUMIF('2.5廃棄処分'!D:E,C901,'2.5廃棄処分'!E:E)</f>
        <v>0</v>
      </c>
      <c r="P901" s="13">
        <f ca="1">SUMIF('2.1④異種原液'!D:E,C901,'2.1④異種原液'!E:E)</f>
        <v>0</v>
      </c>
      <c r="Q901" s="14">
        <f ca="1">SUMIF('2.7製造部生産分'!D:I,C901,'2.7製造部生産分'!H:H)</f>
        <v>0</v>
      </c>
      <c r="R901" s="15">
        <f ca="1">-(G901+H901+K901-L901-M901-N901-O901-P901-Q901-S901)</f>
        <v>0</v>
      </c>
      <c r="S901" s="13">
        <f ca="1">SUMIF('2.9原液在庫'!B:H,C901,'2.9原液在庫'!H:H)</f>
        <v>0</v>
      </c>
      <c r="T901" s="16">
        <f ca="1">IFERROR(SUM(G902:K902)/(G901+H901+K901),0)</f>
        <v>0</v>
      </c>
      <c r="U901" s="17" t="str">
        <f>C901</f>
        <v>S (試作）</v>
      </c>
      <c r="V901" s="18">
        <f ca="1">IF(ISERROR(SUM(G902:K902)/SUM(L901:Q901,S901)),0,SUM(G902:K902)/SUM(L901:Q901,S901))</f>
        <v>0</v>
      </c>
      <c r="W901" s="19">
        <f ca="1">V901</f>
        <v>0</v>
      </c>
      <c r="X901" s="20">
        <f ca="1">W901/1000</f>
        <v>0</v>
      </c>
    </row>
    <row r="902" spans="1:24">
      <c r="A902" s="201"/>
      <c r="B902" s="201"/>
      <c r="C902" s="201"/>
      <c r="D902" s="199"/>
      <c r="E902" s="199"/>
      <c r="F902" s="21" t="s">
        <v>247</v>
      </c>
      <c r="G902" s="22" t="s">
        <v>254</v>
      </c>
      <c r="H902" s="184"/>
      <c r="I902" s="23">
        <f ca="1">I901*労務費経費単価SC!D$7</f>
        <v>0</v>
      </c>
      <c r="J902" s="23">
        <f ca="1">J901*労務費経費単価SC!D$11</f>
        <v>0</v>
      </c>
      <c r="K902" s="22">
        <f ca="1">K901*$E901</f>
        <v>0</v>
      </c>
      <c r="L902" s="22">
        <f ca="1">L901*$E901</f>
        <v>0</v>
      </c>
      <c r="M902" s="22">
        <f t="shared" ref="M902" ca="1" si="3130">M901*$E901</f>
        <v>0</v>
      </c>
      <c r="N902" s="22">
        <f t="shared" ref="N902" ca="1" si="3131">N901*$E901</f>
        <v>0</v>
      </c>
      <c r="O902" s="22">
        <f t="shared" ref="O902" ca="1" si="3132">O901*$E901</f>
        <v>0</v>
      </c>
      <c r="P902" s="22">
        <f t="shared" ref="P902" ca="1" si="3133">P901*$E901</f>
        <v>0</v>
      </c>
      <c r="Q902" s="22">
        <f t="shared" ref="Q902" ca="1" si="3134">Q901*$E901</f>
        <v>0</v>
      </c>
      <c r="R902" s="22">
        <f t="shared" ref="R902" ca="1" si="3135">R901*$E901</f>
        <v>0</v>
      </c>
      <c r="S902" s="22">
        <f t="shared" ref="S902" ca="1" si="3136">S901*$E901</f>
        <v>0</v>
      </c>
      <c r="U902" s="17"/>
      <c r="V902" s="18"/>
      <c r="W902" s="19"/>
      <c r="X902" s="20"/>
    </row>
    <row r="903" spans="1:24">
      <c r="A903" s="200"/>
      <c r="B903" s="211"/>
      <c r="C903" s="200" t="s">
        <v>557</v>
      </c>
      <c r="D903" s="199" t="str">
        <f>VLOOKUP(C903,'仕掛品名寄（貼付）'!B:C,2,FALSE)</f>
        <v>その他</v>
      </c>
      <c r="E903" s="199">
        <f>VLOOKUP(D903,'仕掛品標準単価一覧表（貼付）'!B:G,6,FALSE)</f>
        <v>1080</v>
      </c>
      <c r="F903" s="12" t="s">
        <v>246</v>
      </c>
      <c r="G903" s="24">
        <v>0</v>
      </c>
      <c r="H903" s="13">
        <f ca="1">SUMIF('1.3②原材料使用'!B:E,C903,'1.3②原材料使用'!E:E)</f>
        <v>0</v>
      </c>
      <c r="I903" s="13">
        <f ca="1">SUMIF('2.10原液別作業時間'!A:B,C903,'2.10原液別作業時間'!B:B)</f>
        <v>0</v>
      </c>
      <c r="J903" s="13">
        <f ca="1">SUM(G903:H903,K903)</f>
        <v>0</v>
      </c>
      <c r="K903" s="13">
        <f ca="1">SUMIF('2.2⑤純増減→前工程費'!B:E,C903,'2.2⑤純増減→前工程費'!E:E)</f>
        <v>0</v>
      </c>
      <c r="L903" s="13">
        <f ca="1">SUMIF('2.6完成品'!C:D,C903,'2.6完成品'!D:D)</f>
        <v>0</v>
      </c>
      <c r="M903" s="13">
        <f ca="1">SUMIF('2.3研究費'!D:E,C903,'2.3研究費'!E:E)</f>
        <v>0</v>
      </c>
      <c r="N903" s="13">
        <f ca="1">SUMIF('2.4販促費'!D:E,C903,'2.4販促費'!E:E)</f>
        <v>0</v>
      </c>
      <c r="O903" s="13">
        <f ca="1">SUMIF('2.5廃棄処分'!D:E,C903,'2.5廃棄処分'!E:E)</f>
        <v>0</v>
      </c>
      <c r="P903" s="13">
        <f ca="1">SUMIF('2.1④異種原液'!D:E,C903,'2.1④異種原液'!E:E)</f>
        <v>0</v>
      </c>
      <c r="Q903" s="14">
        <f ca="1">SUMIF('2.7製造部生産分'!D:I,C903,'2.7製造部生産分'!H:H)</f>
        <v>0</v>
      </c>
      <c r="R903" s="15">
        <f ca="1">-(G903+H903+K903-L903-M903-N903-O903-P903-Q903-S903)</f>
        <v>0</v>
      </c>
      <c r="S903" s="13">
        <f ca="1">SUMIF('2.9原液在庫'!B:H,C903,'2.9原液在庫'!H:H)</f>
        <v>0</v>
      </c>
      <c r="T903" s="16">
        <f ca="1">IFERROR(SUM(G904:K904)/(G903+H903+K903),0)</f>
        <v>0</v>
      </c>
      <c r="U903" s="17" t="str">
        <f>C903</f>
        <v>カ</v>
      </c>
      <c r="V903" s="18">
        <f ca="1">IF(ISERROR(SUM(G904:K904)/SUM(L903:Q903,S903)),0,SUM(G904:K904)/SUM(L903:Q903,S903))</f>
        <v>0</v>
      </c>
      <c r="W903" s="19">
        <f ca="1">V903</f>
        <v>0</v>
      </c>
      <c r="X903" s="20">
        <f ca="1">W903/1000</f>
        <v>0</v>
      </c>
    </row>
    <row r="904" spans="1:24">
      <c r="A904" s="201"/>
      <c r="B904" s="201"/>
      <c r="C904" s="201"/>
      <c r="D904" s="199"/>
      <c r="E904" s="199"/>
      <c r="F904" s="21" t="s">
        <v>247</v>
      </c>
      <c r="G904" s="22" t="s">
        <v>254</v>
      </c>
      <c r="H904" s="184"/>
      <c r="I904" s="23">
        <f ca="1">I903*労務費経費単価SC!D$7</f>
        <v>0</v>
      </c>
      <c r="J904" s="23">
        <f ca="1">J903*労務費経費単価SC!D$11</f>
        <v>0</v>
      </c>
      <c r="K904" s="22">
        <f ca="1">K903*$E903</f>
        <v>0</v>
      </c>
      <c r="L904" s="22">
        <f ca="1">L903*$E903</f>
        <v>0</v>
      </c>
      <c r="M904" s="22">
        <f t="shared" ref="M904" ca="1" si="3137">M903*$E903</f>
        <v>0</v>
      </c>
      <c r="N904" s="22">
        <f t="shared" ref="N904" ca="1" si="3138">N903*$E903</f>
        <v>0</v>
      </c>
      <c r="O904" s="22">
        <f t="shared" ref="O904" ca="1" si="3139">O903*$E903</f>
        <v>0</v>
      </c>
      <c r="P904" s="22">
        <f t="shared" ref="P904" ca="1" si="3140">P903*$E903</f>
        <v>0</v>
      </c>
      <c r="Q904" s="22">
        <f t="shared" ref="Q904" ca="1" si="3141">Q903*$E903</f>
        <v>0</v>
      </c>
      <c r="R904" s="22">
        <f t="shared" ref="R904" ca="1" si="3142">R903*$E903</f>
        <v>0</v>
      </c>
      <c r="S904" s="22">
        <f t="shared" ref="S904" ca="1" si="3143">S903*$E903</f>
        <v>0</v>
      </c>
      <c r="U904" s="17"/>
      <c r="V904" s="18"/>
      <c r="W904" s="19"/>
      <c r="X904" s="20"/>
    </row>
    <row r="905" spans="1:24">
      <c r="A905" s="200"/>
      <c r="B905" s="211"/>
      <c r="C905" s="200" t="s">
        <v>230</v>
      </c>
      <c r="D905" s="199" t="str">
        <f>VLOOKUP(C905,'仕掛品名寄（貼付）'!B:C,2,FALSE)</f>
        <v>その他</v>
      </c>
      <c r="E905" s="199">
        <f>VLOOKUP(D905,'仕掛品標準単価一覧表（貼付）'!B:G,6,FALSE)</f>
        <v>1080</v>
      </c>
      <c r="F905" s="12" t="s">
        <v>246</v>
      </c>
      <c r="G905" s="24">
        <v>0</v>
      </c>
      <c r="H905" s="13">
        <f ca="1">SUMIF('1.3②原材料使用'!B:E,C905,'1.3②原材料使用'!E:E)</f>
        <v>0</v>
      </c>
      <c r="I905" s="13">
        <f ca="1">SUMIF('2.10原液別作業時間'!A:B,C905,'2.10原液別作業時間'!B:B)</f>
        <v>0</v>
      </c>
      <c r="J905" s="13">
        <f ca="1">SUM(G905:H905,K905)</f>
        <v>0</v>
      </c>
      <c r="K905" s="13">
        <f ca="1">SUMIF('2.2⑤純増減→前工程費'!B:E,C905,'2.2⑤純増減→前工程費'!E:E)</f>
        <v>0</v>
      </c>
      <c r="L905" s="13">
        <f ca="1">SUMIF('2.6完成品'!C:D,C905,'2.6完成品'!D:D)</f>
        <v>0</v>
      </c>
      <c r="M905" s="13">
        <f ca="1">SUMIF('2.3研究費'!D:E,C905,'2.3研究費'!E:E)</f>
        <v>0</v>
      </c>
      <c r="N905" s="13">
        <f ca="1">SUMIF('2.4販促費'!D:E,C905,'2.4販促費'!E:E)</f>
        <v>0</v>
      </c>
      <c r="O905" s="13">
        <f ca="1">SUMIF('2.5廃棄処分'!D:E,C905,'2.5廃棄処分'!E:E)</f>
        <v>12.8</v>
      </c>
      <c r="P905" s="13">
        <f ca="1">SUMIF('2.1④異種原液'!D:E,C905,'2.1④異種原液'!E:E)</f>
        <v>0</v>
      </c>
      <c r="Q905" s="14">
        <f ca="1">SUMIF('2.7製造部生産分'!D:I,C905,'2.7製造部生産分'!H:H)</f>
        <v>0</v>
      </c>
      <c r="R905" s="15">
        <f ca="1">-(G905+H905+K905-L905-M905-N905-O905-P905-Q905-S905)</f>
        <v>12.800000000000114</v>
      </c>
      <c r="S905" s="13">
        <f ca="1">SUMIF('2.9原液在庫'!B:H,C905,'2.9原液在庫'!H:H)</f>
        <v>1.1368683772161603E-13</v>
      </c>
      <c r="T905" s="16">
        <f ca="1">IFERROR(SUM(G906:K906)/(G905+H905+K905),0)</f>
        <v>0</v>
      </c>
      <c r="U905" s="17" t="str">
        <f>C905</f>
        <v>マタ</v>
      </c>
      <c r="V905" s="18">
        <f ca="1">IF(ISERROR(SUM(G906:K906)/SUM(L905:Q905,S905)),0,SUM(G906:K906)/SUM(L905:Q905,S905))</f>
        <v>0</v>
      </c>
      <c r="W905" s="19">
        <f ca="1">V905</f>
        <v>0</v>
      </c>
      <c r="X905" s="20">
        <f ca="1">W905/1000</f>
        <v>0</v>
      </c>
    </row>
    <row r="906" spans="1:24">
      <c r="A906" s="212"/>
      <c r="B906" s="212"/>
      <c r="C906" s="201"/>
      <c r="D906" s="199"/>
      <c r="E906" s="199"/>
      <c r="F906" s="21" t="s">
        <v>247</v>
      </c>
      <c r="G906" s="22">
        <v>0</v>
      </c>
      <c r="H906" s="184"/>
      <c r="I906" s="23">
        <f ca="1">I905*労務費経費単価SC!D$7</f>
        <v>0</v>
      </c>
      <c r="J906" s="23">
        <f ca="1">J905*労務費経費単価SC!D$11</f>
        <v>0</v>
      </c>
      <c r="K906" s="22">
        <f ca="1">K905*$E905</f>
        <v>0</v>
      </c>
      <c r="L906" s="22">
        <f ca="1">L905*$E905</f>
        <v>0</v>
      </c>
      <c r="M906" s="22">
        <f t="shared" ref="M906" ca="1" si="3144">M905*$E905</f>
        <v>0</v>
      </c>
      <c r="N906" s="22">
        <f t="shared" ref="N906" ca="1" si="3145">N905*$E905</f>
        <v>0</v>
      </c>
      <c r="O906" s="22">
        <f t="shared" ref="O906" ca="1" si="3146">O905*$E905</f>
        <v>13824</v>
      </c>
      <c r="P906" s="22">
        <f t="shared" ref="P906" ca="1" si="3147">P905*$E905</f>
        <v>0</v>
      </c>
      <c r="Q906" s="22">
        <f t="shared" ref="Q906" ca="1" si="3148">Q905*$E905</f>
        <v>0</v>
      </c>
      <c r="R906" s="22">
        <f t="shared" ref="R906" ca="1" si="3149">R905*$E905</f>
        <v>13824.000000000124</v>
      </c>
      <c r="S906" s="22">
        <f t="shared" ref="S906" ca="1" si="3150">S905*$E905</f>
        <v>1.2278178473934531E-10</v>
      </c>
      <c r="U906" s="17"/>
      <c r="V906" s="18"/>
      <c r="W906" s="19"/>
      <c r="X906" s="20"/>
    </row>
    <row r="907" spans="1:24">
      <c r="A907" s="200"/>
      <c r="B907" s="211"/>
      <c r="C907" s="200" t="s">
        <v>558</v>
      </c>
      <c r="D907" s="199" t="str">
        <f>VLOOKUP(C907,'仕掛品名寄（貼付）'!B:C,2,FALSE)</f>
        <v>その他</v>
      </c>
      <c r="E907" s="199">
        <f>VLOOKUP(D907,'仕掛品標準単価一覧表（貼付）'!B:G,6,FALSE)</f>
        <v>1080</v>
      </c>
      <c r="F907" s="12" t="s">
        <v>246</v>
      </c>
      <c r="G907" s="24">
        <v>0</v>
      </c>
      <c r="H907" s="13">
        <f ca="1">SUMIF('1.3②原材料使用'!B:E,C907,'1.3②原材料使用'!E:E)</f>
        <v>0</v>
      </c>
      <c r="I907" s="13">
        <f ca="1">SUMIF('2.10原液別作業時間'!A:B,C907,'2.10原液別作業時間'!B:B)</f>
        <v>0</v>
      </c>
      <c r="J907" s="13">
        <f ca="1">SUM(G907:H907,K907)</f>
        <v>0</v>
      </c>
      <c r="K907" s="13">
        <f ca="1">SUMIF('2.2⑤純増減→前工程費'!B:E,C907,'2.2⑤純増減→前工程費'!E:E)</f>
        <v>0</v>
      </c>
      <c r="L907" s="13">
        <f ca="1">SUMIF('2.6完成品'!C:D,C907,'2.6完成品'!D:D)</f>
        <v>0</v>
      </c>
      <c r="M907" s="13">
        <f ca="1">SUMIF('2.3研究費'!D:E,C907,'2.3研究費'!E:E)</f>
        <v>0</v>
      </c>
      <c r="N907" s="13">
        <f ca="1">SUMIF('2.4販促費'!D:E,C907,'2.4販促費'!E:E)</f>
        <v>0</v>
      </c>
      <c r="O907" s="13">
        <f ca="1">SUMIF('2.5廃棄処分'!D:E,C907,'2.5廃棄処分'!E:E)</f>
        <v>0</v>
      </c>
      <c r="P907" s="13">
        <f ca="1">SUMIF('2.1④異種原液'!D:E,C907,'2.1④異種原液'!E:E)</f>
        <v>0</v>
      </c>
      <c r="Q907" s="14">
        <f ca="1">SUMIF('2.7製造部生産分'!D:I,C907,'2.7製造部生産分'!H:H)</f>
        <v>0</v>
      </c>
      <c r="R907" s="15">
        <f ca="1">-(G907+H907+K907-L907-M907-N907-O907-P907-Q907-S907)</f>
        <v>0</v>
      </c>
      <c r="S907" s="13">
        <f ca="1">SUMIF('2.9原液在庫'!B:H,C907,'2.9原液在庫'!H:H)</f>
        <v>0</v>
      </c>
      <c r="T907" s="16">
        <f ca="1">IFERROR(SUM(G908:K908)/(G907+H907+K907),0)</f>
        <v>0</v>
      </c>
      <c r="U907" s="17" t="str">
        <f>C907</f>
        <v>研究室用</v>
      </c>
      <c r="V907" s="18">
        <f ca="1">IF(ISERROR(SUM(G908:K908)/SUM(L907:Q907,S907)),0,SUM(G908:K908)/SUM(L907:Q907,S907))</f>
        <v>0</v>
      </c>
      <c r="W907" s="19">
        <f ca="1">V907</f>
        <v>0</v>
      </c>
      <c r="X907" s="20">
        <f ca="1">W907/1000</f>
        <v>0</v>
      </c>
    </row>
    <row r="908" spans="1:24">
      <c r="A908" s="201"/>
      <c r="B908" s="201"/>
      <c r="C908" s="201"/>
      <c r="D908" s="199"/>
      <c r="E908" s="199"/>
      <c r="F908" s="21" t="s">
        <v>247</v>
      </c>
      <c r="G908" s="22" t="s">
        <v>254</v>
      </c>
      <c r="H908" s="184"/>
      <c r="I908" s="23">
        <f ca="1">I907*労務費経費単価SC!D$7</f>
        <v>0</v>
      </c>
      <c r="J908" s="23">
        <f ca="1">J907*労務費経費単価SC!D$11</f>
        <v>0</v>
      </c>
      <c r="K908" s="22">
        <f ca="1">K907*$E907</f>
        <v>0</v>
      </c>
      <c r="L908" s="22">
        <f ca="1">L907*$E907</f>
        <v>0</v>
      </c>
      <c r="M908" s="22">
        <f t="shared" ref="M908" ca="1" si="3151">M907*$E907</f>
        <v>0</v>
      </c>
      <c r="N908" s="22">
        <f t="shared" ref="N908" ca="1" si="3152">N907*$E907</f>
        <v>0</v>
      </c>
      <c r="O908" s="22">
        <f t="shared" ref="O908" ca="1" si="3153">O907*$E907</f>
        <v>0</v>
      </c>
      <c r="P908" s="22">
        <f t="shared" ref="P908" ca="1" si="3154">P907*$E907</f>
        <v>0</v>
      </c>
      <c r="Q908" s="22">
        <f t="shared" ref="Q908" ca="1" si="3155">Q907*$E907</f>
        <v>0</v>
      </c>
      <c r="R908" s="22">
        <f t="shared" ref="R908" ca="1" si="3156">R907*$E907</f>
        <v>0</v>
      </c>
      <c r="S908" s="22">
        <f t="shared" ref="S908" ca="1" si="3157">S907*$E907</f>
        <v>0</v>
      </c>
      <c r="U908" s="17"/>
      <c r="V908" s="18"/>
      <c r="W908" s="19"/>
      <c r="X908" s="20"/>
    </row>
    <row r="909" spans="1:24">
      <c r="A909" s="200"/>
      <c r="B909" s="211"/>
      <c r="C909" s="200" t="s">
        <v>559</v>
      </c>
      <c r="D909" s="199" t="str">
        <f>VLOOKUP(C909,'仕掛品名寄（貼付）'!B:C,2,FALSE)</f>
        <v>その他</v>
      </c>
      <c r="E909" s="199">
        <f>VLOOKUP(D909,'仕掛品標準単価一覧表（貼付）'!B:G,6,FALSE)</f>
        <v>1080</v>
      </c>
      <c r="F909" s="12" t="s">
        <v>246</v>
      </c>
      <c r="G909" s="13">
        <v>0</v>
      </c>
      <c r="H909" s="13">
        <f ca="1">SUMIF('1.3②原材料使用'!B:E,C909,'1.3②原材料使用'!E:E)</f>
        <v>0</v>
      </c>
      <c r="I909" s="13">
        <f ca="1">SUMIF('2.10原液別作業時間'!A:B,C909,'2.10原液別作業時間'!B:B)</f>
        <v>0</v>
      </c>
      <c r="J909" s="13">
        <f ca="1">SUM(G909:H909,K909)</f>
        <v>0</v>
      </c>
      <c r="K909" s="13">
        <f ca="1">SUMIF('2.2⑤純増減→前工程費'!B:E,C909,'2.2⑤純増減→前工程費'!E:E)</f>
        <v>0</v>
      </c>
      <c r="L909" s="13">
        <f ca="1">SUMIF('2.6完成品'!C:D,C909,'2.6完成品'!D:D)</f>
        <v>0</v>
      </c>
      <c r="M909" s="13">
        <f ca="1">SUMIF('2.3研究費'!D:E,C909,'2.3研究費'!E:E)</f>
        <v>0</v>
      </c>
      <c r="N909" s="13">
        <f ca="1">SUMIF('2.4販促費'!D:E,C909,'2.4販促費'!E:E)</f>
        <v>0</v>
      </c>
      <c r="O909" s="13">
        <f ca="1">SUMIF('2.5廃棄処分'!D:E,C909,'2.5廃棄処分'!E:E)</f>
        <v>0</v>
      </c>
      <c r="P909" s="13">
        <f ca="1">SUMIF('2.1④異種原液'!D:E,C909,'2.1④異種原液'!E:E)</f>
        <v>0</v>
      </c>
      <c r="Q909" s="14">
        <f ca="1">SUMIF('2.7製造部生産分'!D:I,C909,'2.7製造部生産分'!H:H)</f>
        <v>0</v>
      </c>
      <c r="R909" s="15">
        <f ca="1">-(G909+H909+K909-L909-M909-N909-O909-P909-Q909-S909)</f>
        <v>0</v>
      </c>
      <c r="S909" s="13">
        <f ca="1">SUMIF('2.9原液在庫'!B:H,C909,'2.9原液在庫'!H:H)</f>
        <v>0</v>
      </c>
      <c r="T909" s="16">
        <f ca="1">IFERROR(SUM(G910:K910)/(G909+H909+K909),0)</f>
        <v>0</v>
      </c>
      <c r="U909" s="17" t="str">
        <f>C909</f>
        <v>検査用</v>
      </c>
      <c r="V909" s="18">
        <f ca="1">IF(ISERROR(SUM(G910:K910)/SUM(L909:Q909,S909)),0,SUM(G910:K910)/SUM(L909:Q909,S909))</f>
        <v>0</v>
      </c>
      <c r="W909" s="19">
        <f ca="1">V909</f>
        <v>0</v>
      </c>
      <c r="X909" s="20">
        <f ca="1">W909/1000</f>
        <v>0</v>
      </c>
    </row>
    <row r="910" spans="1:24">
      <c r="A910" s="201"/>
      <c r="B910" s="201"/>
      <c r="C910" s="201"/>
      <c r="D910" s="199"/>
      <c r="E910" s="199"/>
      <c r="F910" s="21" t="s">
        <v>247</v>
      </c>
      <c r="G910" s="22" t="s">
        <v>254</v>
      </c>
      <c r="H910" s="184"/>
      <c r="I910" s="23">
        <f ca="1">I909*労務費経費単価SC!D$7</f>
        <v>0</v>
      </c>
      <c r="J910" s="23">
        <f ca="1">J909*労務費経費単価SC!D$11</f>
        <v>0</v>
      </c>
      <c r="K910" s="22">
        <f ca="1">K909*$E909</f>
        <v>0</v>
      </c>
      <c r="L910" s="22">
        <f ca="1">L909*$E909</f>
        <v>0</v>
      </c>
      <c r="M910" s="22">
        <f t="shared" ref="M910" ca="1" si="3158">M909*$E909</f>
        <v>0</v>
      </c>
      <c r="N910" s="22">
        <f t="shared" ref="N910" ca="1" si="3159">N909*$E909</f>
        <v>0</v>
      </c>
      <c r="O910" s="22">
        <f t="shared" ref="O910" ca="1" si="3160">O909*$E909</f>
        <v>0</v>
      </c>
      <c r="P910" s="22">
        <f t="shared" ref="P910" ca="1" si="3161">P909*$E909</f>
        <v>0</v>
      </c>
      <c r="Q910" s="22">
        <f t="shared" ref="Q910" ca="1" si="3162">Q909*$E909</f>
        <v>0</v>
      </c>
      <c r="R910" s="22">
        <f t="shared" ref="R910" ca="1" si="3163">R909*$E909</f>
        <v>0</v>
      </c>
      <c r="S910" s="22">
        <f t="shared" ref="S910" ca="1" si="3164">S909*$E909</f>
        <v>0</v>
      </c>
      <c r="U910" s="17"/>
      <c r="V910" s="18"/>
      <c r="W910" s="19"/>
      <c r="X910" s="20"/>
    </row>
    <row r="911" spans="1:24">
      <c r="A911" s="200"/>
      <c r="B911" s="211"/>
      <c r="C911" s="200" t="s">
        <v>560</v>
      </c>
      <c r="D911" s="199" t="str">
        <f>VLOOKUP(C911,'仕掛品名寄（貼付）'!B:C,2,FALSE)</f>
        <v>その他</v>
      </c>
      <c r="E911" s="199">
        <f>VLOOKUP(D911,'仕掛品標準単価一覧表（貼付）'!B:G,6,FALSE)</f>
        <v>1080</v>
      </c>
      <c r="F911" s="12" t="s">
        <v>246</v>
      </c>
      <c r="G911" s="24">
        <v>0</v>
      </c>
      <c r="H911" s="13">
        <f ca="1">SUMIF('1.3②原材料使用'!B:E,C911,'1.3②原材料使用'!E:E)</f>
        <v>0</v>
      </c>
      <c r="I911" s="13">
        <f ca="1">SUMIF('2.10原液別作業時間'!A:B,C911,'2.10原液別作業時間'!B:B)</f>
        <v>0</v>
      </c>
      <c r="J911" s="13">
        <f ca="1">SUM(G911:H911,K911)</f>
        <v>0</v>
      </c>
      <c r="K911" s="13">
        <f ca="1">SUMIF('2.2⑤純増減→前工程費'!B:E,C911,'2.2⑤純増減→前工程費'!E:E)</f>
        <v>0</v>
      </c>
      <c r="L911" s="13">
        <f ca="1">SUMIF('2.6完成品'!C:D,C911,'2.6完成品'!D:D)</f>
        <v>0</v>
      </c>
      <c r="M911" s="13">
        <f ca="1">SUMIF('2.3研究費'!D:E,C911,'2.3研究費'!E:E)</f>
        <v>0</v>
      </c>
      <c r="N911" s="13">
        <f ca="1">SUMIF('2.4販促費'!D:E,C911,'2.4販促費'!E:E)</f>
        <v>0</v>
      </c>
      <c r="O911" s="13">
        <f ca="1">SUMIF('2.5廃棄処分'!D:E,C911,'2.5廃棄処分'!E:E)</f>
        <v>0</v>
      </c>
      <c r="P911" s="13">
        <f ca="1">SUMIF('2.1④異種原液'!D:E,C911,'2.1④異種原液'!E:E)</f>
        <v>0</v>
      </c>
      <c r="Q911" s="14">
        <f ca="1">SUMIF('2.7製造部生産分'!D:I,C911,'2.7製造部生産分'!H:H)</f>
        <v>0</v>
      </c>
      <c r="R911" s="15">
        <f ca="1">-(G911+H911+K911-L911-M911-N911-O911-P911-Q911-S911)</f>
        <v>0</v>
      </c>
      <c r="S911" s="13">
        <f ca="1">SUMIF('2.9原液在庫'!B:H,C911,'2.9原液在庫'!H:H)</f>
        <v>0</v>
      </c>
      <c r="T911" s="16">
        <f ca="1">IFERROR(SUM(G912:K912)/(G911+H911+K911),0)</f>
        <v>0</v>
      </c>
      <c r="U911" s="17" t="str">
        <f>C911</f>
        <v>ﾗﾍﾞﾙﾅｼ</v>
      </c>
      <c r="V911" s="18">
        <f ca="1">IF(ISERROR(SUM(G912:K912)/SUM(L911:Q911,S911)),0,SUM(G912:K912)/SUM(L911:Q911,S911))</f>
        <v>0</v>
      </c>
      <c r="W911" s="19">
        <f ca="1">V911</f>
        <v>0</v>
      </c>
      <c r="X911" s="20">
        <f ca="1">W911/1000</f>
        <v>0</v>
      </c>
    </row>
    <row r="912" spans="1:24">
      <c r="A912" s="201"/>
      <c r="B912" s="201"/>
      <c r="C912" s="201"/>
      <c r="D912" s="199"/>
      <c r="E912" s="199"/>
      <c r="F912" s="21" t="s">
        <v>247</v>
      </c>
      <c r="G912" s="22" t="s">
        <v>254</v>
      </c>
      <c r="H912" s="184"/>
      <c r="I912" s="23">
        <f ca="1">I911*労務費経費単価SC!D$7</f>
        <v>0</v>
      </c>
      <c r="J912" s="23">
        <f ca="1">J911*労務費経費単価SC!D$11</f>
        <v>0</v>
      </c>
      <c r="K912" s="22">
        <f ca="1">K911*$E911</f>
        <v>0</v>
      </c>
      <c r="L912" s="22">
        <f ca="1">L911*$E911</f>
        <v>0</v>
      </c>
      <c r="M912" s="22">
        <f t="shared" ref="M912" ca="1" si="3165">M911*$E911</f>
        <v>0</v>
      </c>
      <c r="N912" s="22">
        <f t="shared" ref="N912" ca="1" si="3166">N911*$E911</f>
        <v>0</v>
      </c>
      <c r="O912" s="22">
        <f t="shared" ref="O912" ca="1" si="3167">O911*$E911</f>
        <v>0</v>
      </c>
      <c r="P912" s="22">
        <f t="shared" ref="P912" ca="1" si="3168">P911*$E911</f>
        <v>0</v>
      </c>
      <c r="Q912" s="22">
        <f t="shared" ref="Q912" ca="1" si="3169">Q911*$E911</f>
        <v>0</v>
      </c>
      <c r="R912" s="22">
        <f t="shared" ref="R912" ca="1" si="3170">R911*$E911</f>
        <v>0</v>
      </c>
      <c r="S912" s="22">
        <f t="shared" ref="S912" ca="1" si="3171">S911*$E911</f>
        <v>0</v>
      </c>
      <c r="U912" s="17"/>
      <c r="V912" s="18"/>
      <c r="W912" s="19"/>
      <c r="X912" s="20"/>
    </row>
    <row r="913" spans="1:24">
      <c r="A913" s="200"/>
      <c r="B913" s="211"/>
      <c r="C913" s="200" t="s">
        <v>561</v>
      </c>
      <c r="D913" s="199" t="str">
        <f>VLOOKUP(C913,'仕掛品名寄（貼付）'!B:C,2,FALSE)</f>
        <v>その他</v>
      </c>
      <c r="E913" s="199">
        <f>VLOOKUP(D913,'仕掛品標準単価一覧表（貼付）'!B:G,6,FALSE)</f>
        <v>1080</v>
      </c>
      <c r="F913" s="12" t="s">
        <v>246</v>
      </c>
      <c r="G913" s="24">
        <v>484.5</v>
      </c>
      <c r="H913" s="13">
        <f ca="1">SUMIF('1.3②原材料使用'!B:E,C913,'1.3②原材料使用'!E:E)</f>
        <v>0</v>
      </c>
      <c r="I913" s="13">
        <f ca="1">SUMIF('2.10原液別作業時間'!A:B,C913,'2.10原液別作業時間'!B:B)</f>
        <v>0</v>
      </c>
      <c r="J913" s="13">
        <f ca="1">SUM(G913:H913,K913)</f>
        <v>484.5</v>
      </c>
      <c r="K913" s="13">
        <f ca="1">SUMIF('2.2⑤純増減→前工程費'!B:E,C913,'2.2⑤純増減→前工程費'!E:E)</f>
        <v>0</v>
      </c>
      <c r="L913" s="13">
        <f ca="1">SUMIF('2.6完成品'!C:D,C913,'2.6完成品'!D:D)</f>
        <v>0</v>
      </c>
      <c r="M913" s="13">
        <f ca="1">SUMIF('2.3研究費'!D:E,C913,'2.3研究費'!E:E)</f>
        <v>0</v>
      </c>
      <c r="N913" s="13">
        <f ca="1">SUMIF('2.4販促費'!D:E,C913,'2.4販促費'!E:E)</f>
        <v>0</v>
      </c>
      <c r="O913" s="13">
        <f ca="1">SUMIF('2.5廃棄処分'!D:E,C913,'2.5廃棄処分'!E:E)</f>
        <v>0</v>
      </c>
      <c r="P913" s="13">
        <f ca="1">SUMIF('2.1④異種原液'!D:E,C913,'2.1④異種原液'!E:E)</f>
        <v>0</v>
      </c>
      <c r="Q913" s="14">
        <f ca="1">SUMIF('2.7製造部生産分'!D:I,C913,'2.7製造部生産分'!H:H)</f>
        <v>0</v>
      </c>
      <c r="R913" s="15">
        <f ca="1">-(G913+H913+K913-L913-M913-N913-O913-P913-Q913-S913)</f>
        <v>0</v>
      </c>
      <c r="S913" s="13">
        <f ca="1">SUMIF('2.9原液在庫'!B:H,C913,'2.9原液在庫'!H:H)</f>
        <v>484.5</v>
      </c>
      <c r="T913" s="16">
        <f ca="1">IFERROR(SUM(G914:K914)/(G913+H913+K913),0)</f>
        <v>887.38855421686753</v>
      </c>
      <c r="U913" s="17" t="str">
        <f>C913</f>
        <v>抜き取り酵素</v>
      </c>
      <c r="V913" s="18">
        <f ca="1">IF(ISERROR(SUM(G914:K914)/SUM(L913:Q913,S913)),0,SUM(G914:K914)/SUM(L913:Q913,S913))</f>
        <v>887.38855421686753</v>
      </c>
      <c r="W913" s="19">
        <f ca="1">V913</f>
        <v>887.38855421686753</v>
      </c>
      <c r="X913" s="20">
        <f ca="1">W913/1000</f>
        <v>0.88738855421686758</v>
      </c>
    </row>
    <row r="914" spans="1:24">
      <c r="A914" s="201"/>
      <c r="B914" s="201"/>
      <c r="C914" s="201"/>
      <c r="D914" s="199"/>
      <c r="E914" s="199"/>
      <c r="F914" s="21" t="s">
        <v>247</v>
      </c>
      <c r="G914" s="22">
        <v>415404.7545180723</v>
      </c>
      <c r="H914" s="184"/>
      <c r="I914" s="23">
        <f ca="1">I913*労務費経費単価SC!D$7</f>
        <v>0</v>
      </c>
      <c r="J914" s="23">
        <f ca="1">J913*労務費経費単価SC!D$11</f>
        <v>14535</v>
      </c>
      <c r="K914" s="22">
        <f ca="1">K913*$E913</f>
        <v>0</v>
      </c>
      <c r="L914" s="22">
        <f ca="1">L913*$E913</f>
        <v>0</v>
      </c>
      <c r="M914" s="22">
        <f t="shared" ref="M914" ca="1" si="3172">M913*$E913</f>
        <v>0</v>
      </c>
      <c r="N914" s="22">
        <f t="shared" ref="N914" ca="1" si="3173">N913*$E913</f>
        <v>0</v>
      </c>
      <c r="O914" s="22">
        <f t="shared" ref="O914" ca="1" si="3174">O913*$E913</f>
        <v>0</v>
      </c>
      <c r="P914" s="22">
        <f t="shared" ref="P914" ca="1" si="3175">P913*$E913</f>
        <v>0</v>
      </c>
      <c r="Q914" s="22">
        <f t="shared" ref="Q914" ca="1" si="3176">Q913*$E913</f>
        <v>0</v>
      </c>
      <c r="R914" s="22">
        <f t="shared" ref="R914" ca="1" si="3177">R913*$E913</f>
        <v>0</v>
      </c>
      <c r="S914" s="22">
        <f t="shared" ref="S914" ca="1" si="3178">S913*$E913</f>
        <v>523260</v>
      </c>
      <c r="U914" s="17"/>
      <c r="V914" s="18"/>
      <c r="W914" s="19"/>
      <c r="X914" s="20"/>
    </row>
    <row r="915" spans="1:24">
      <c r="A915" s="200"/>
      <c r="B915" s="211"/>
      <c r="C915" s="200" t="s">
        <v>562</v>
      </c>
      <c r="D915" s="199" t="str">
        <f>VLOOKUP(C915,'仕掛品名寄（貼付）'!B:C,2,FALSE)</f>
        <v>その他</v>
      </c>
      <c r="E915" s="199">
        <f>VLOOKUP(D915,'仕掛品標準単価一覧表（貼付）'!B:G,6,FALSE)</f>
        <v>1080</v>
      </c>
      <c r="F915" s="12" t="s">
        <v>246</v>
      </c>
      <c r="G915" s="24">
        <v>0</v>
      </c>
      <c r="H915" s="13">
        <f ca="1">SUMIF('1.3②原材料使用'!B:E,C915,'1.3②原材料使用'!E:E)</f>
        <v>0</v>
      </c>
      <c r="I915" s="13">
        <f ca="1">SUMIF('2.10原液別作業時間'!A:B,C915,'2.10原液別作業時間'!B:B)</f>
        <v>0</v>
      </c>
      <c r="J915" s="13">
        <f ca="1">SUM(G915:H915,K915)</f>
        <v>0</v>
      </c>
      <c r="K915" s="13">
        <f ca="1">SUMIF('2.2⑤純増減→前工程費'!B:E,C915,'2.2⑤純増減→前工程費'!E:E)</f>
        <v>0</v>
      </c>
      <c r="L915" s="13">
        <f ca="1">SUMIF('2.6完成品'!C:D,C915,'2.6完成品'!D:D)</f>
        <v>0</v>
      </c>
      <c r="M915" s="13">
        <f ca="1">SUMIF('2.3研究費'!D:E,C915,'2.3研究費'!E:E)</f>
        <v>0</v>
      </c>
      <c r="N915" s="13">
        <f ca="1">SUMIF('2.4販促費'!D:E,C915,'2.4販促費'!E:E)</f>
        <v>0</v>
      </c>
      <c r="O915" s="13">
        <f ca="1">SUMIF('2.5廃棄処分'!D:E,C915,'2.5廃棄処分'!E:E)</f>
        <v>0</v>
      </c>
      <c r="P915" s="13">
        <f ca="1">SUMIF('2.1④異種原液'!D:E,C915,'2.1④異種原液'!E:E)</f>
        <v>0</v>
      </c>
      <c r="Q915" s="14">
        <f ca="1">SUMIF('2.7製造部生産分'!D:I,C915,'2.7製造部生産分'!H:H)</f>
        <v>0</v>
      </c>
      <c r="R915" s="15">
        <f ca="1">-(G915+H915+K915-L915-M915-N915-O915-P915-Q915-S915)</f>
        <v>0</v>
      </c>
      <c r="S915" s="13">
        <f ca="1">SUMIF('2.9原液在庫'!B:H,C915,'2.9原液在庫'!H:H)</f>
        <v>0</v>
      </c>
      <c r="T915" s="16">
        <f ca="1">IFERROR(SUM(G916:K916)/(G915+H915+K915),0)</f>
        <v>0</v>
      </c>
      <c r="U915" s="17" t="str">
        <f>C915</f>
        <v>13HI　検査用</v>
      </c>
      <c r="V915" s="18">
        <f ca="1">IF(ISERROR(SUM(G916:K916)/SUM(L915:Q915,S915)),0,SUM(G916:K916)/SUM(L915:Q915,S915))</f>
        <v>0</v>
      </c>
      <c r="W915" s="19">
        <f ca="1">V915</f>
        <v>0</v>
      </c>
      <c r="X915" s="20">
        <f ca="1">W915/1000</f>
        <v>0</v>
      </c>
    </row>
    <row r="916" spans="1:24">
      <c r="A916" s="201"/>
      <c r="B916" s="201"/>
      <c r="C916" s="201"/>
      <c r="D916" s="199"/>
      <c r="E916" s="199"/>
      <c r="F916" s="21" t="s">
        <v>247</v>
      </c>
      <c r="G916" s="22" t="s">
        <v>254</v>
      </c>
      <c r="H916" s="184"/>
      <c r="I916" s="23">
        <f ca="1">I915*労務費経費単価SC!D$7</f>
        <v>0</v>
      </c>
      <c r="J916" s="23">
        <f ca="1">J915*労務費経費単価SC!D$11</f>
        <v>0</v>
      </c>
      <c r="K916" s="22">
        <f ca="1">K915*$E915</f>
        <v>0</v>
      </c>
      <c r="L916" s="22">
        <f ca="1">L915*$E915</f>
        <v>0</v>
      </c>
      <c r="M916" s="22">
        <f t="shared" ref="M916" ca="1" si="3179">M915*$E915</f>
        <v>0</v>
      </c>
      <c r="N916" s="22">
        <f t="shared" ref="N916" ca="1" si="3180">N915*$E915</f>
        <v>0</v>
      </c>
      <c r="O916" s="22">
        <f t="shared" ref="O916" ca="1" si="3181">O915*$E915</f>
        <v>0</v>
      </c>
      <c r="P916" s="22">
        <f t="shared" ref="P916" ca="1" si="3182">P915*$E915</f>
        <v>0</v>
      </c>
      <c r="Q916" s="22">
        <f t="shared" ref="Q916" ca="1" si="3183">Q915*$E915</f>
        <v>0</v>
      </c>
      <c r="R916" s="22">
        <f t="shared" ref="R916" ca="1" si="3184">R915*$E915</f>
        <v>0</v>
      </c>
      <c r="S916" s="22">
        <f t="shared" ref="S916" ca="1" si="3185">S915*$E915</f>
        <v>0</v>
      </c>
      <c r="U916" s="17"/>
      <c r="V916" s="18"/>
      <c r="W916" s="19"/>
      <c r="X916" s="20"/>
    </row>
    <row r="917" spans="1:24">
      <c r="A917" s="200"/>
      <c r="B917" s="211"/>
      <c r="C917" s="200" t="s">
        <v>237</v>
      </c>
      <c r="D917" s="199" t="str">
        <f>VLOOKUP(C917,'仕掛品名寄（貼付）'!B:C,2,FALSE)</f>
        <v>その他</v>
      </c>
      <c r="E917" s="199">
        <f>VLOOKUP(D917,'仕掛品標準単価一覧表（貼付）'!B:G,6,FALSE)</f>
        <v>1080</v>
      </c>
      <c r="F917" s="12" t="s">
        <v>246</v>
      </c>
      <c r="G917" s="24">
        <v>0</v>
      </c>
      <c r="H917" s="13">
        <f ca="1">SUMIF('1.3②原材料使用'!B:E,C917,'1.3②原材料使用'!E:E)</f>
        <v>0</v>
      </c>
      <c r="I917" s="13">
        <f ca="1">SUMIF('2.10原液別作業時間'!A:B,C917,'2.10原液別作業時間'!B:B)</f>
        <v>0</v>
      </c>
      <c r="J917" s="13">
        <f ca="1">SUM(G917:H917,K917)</f>
        <v>0</v>
      </c>
      <c r="K917" s="13">
        <f ca="1">SUMIF('2.2⑤純増減→前工程費'!B:E,C917,'2.2⑤純増減→前工程費'!E:E)</f>
        <v>0</v>
      </c>
      <c r="L917" s="13">
        <f ca="1">SUMIF('2.6完成品'!C:D,C917,'2.6完成品'!D:D)</f>
        <v>0</v>
      </c>
      <c r="M917" s="13">
        <f ca="1">SUMIF('2.3研究費'!D:E,C917,'2.3研究費'!E:E)</f>
        <v>0</v>
      </c>
      <c r="N917" s="13">
        <f ca="1">SUMIF('2.4販促費'!D:E,C917,'2.4販促費'!E:E)</f>
        <v>0</v>
      </c>
      <c r="O917" s="13">
        <f ca="1">SUMIF('2.5廃棄処分'!D:E,C917,'2.5廃棄処分'!E:E)</f>
        <v>0</v>
      </c>
      <c r="P917" s="13">
        <f ca="1">SUMIF('2.1④異種原液'!D:E,C917,'2.1④異種原液'!E:E)</f>
        <v>0</v>
      </c>
      <c r="Q917" s="14">
        <f ca="1">SUMIF('2.7製造部生産分'!D:I,C917,'2.7製造部生産分'!H:H)</f>
        <v>0</v>
      </c>
      <c r="R917" s="15">
        <f ca="1">-(G917+H917+K917-L917-M917-N917-O917-P917-Q917-S917)</f>
        <v>0</v>
      </c>
      <c r="S917" s="13">
        <f ca="1">SUMIF('2.9原液在庫'!B:H,C917,'2.9原液在庫'!H:H)</f>
        <v>0</v>
      </c>
      <c r="T917" s="16">
        <f ca="1">IFERROR(SUM(G918:K918)/(G917+H917+K917),0)</f>
        <v>0</v>
      </c>
      <c r="U917" s="17" t="str">
        <f>C917</f>
        <v>再ろ過依頼品</v>
      </c>
      <c r="V917" s="18">
        <f ca="1">IF(ISERROR(SUM(G918:K918)/SUM(L917:Q917,S917)),0,SUM(G918:K918)/SUM(L917:Q917,S917))</f>
        <v>0</v>
      </c>
      <c r="W917" s="19">
        <f ca="1">V917</f>
        <v>0</v>
      </c>
      <c r="X917" s="20">
        <f ca="1">W917/1000</f>
        <v>0</v>
      </c>
    </row>
    <row r="918" spans="1:24">
      <c r="A918" s="201"/>
      <c r="B918" s="201"/>
      <c r="C918" s="201"/>
      <c r="D918" s="199"/>
      <c r="E918" s="199"/>
      <c r="F918" s="21" t="s">
        <v>247</v>
      </c>
      <c r="G918" s="22" t="s">
        <v>254</v>
      </c>
      <c r="H918" s="184"/>
      <c r="I918" s="23">
        <f ca="1">I917*労務費経費単価SC!D$7</f>
        <v>0</v>
      </c>
      <c r="J918" s="23">
        <f ca="1">J917*労務費経費単価SC!D$11</f>
        <v>0</v>
      </c>
      <c r="K918" s="22">
        <f ca="1">K917*$E917</f>
        <v>0</v>
      </c>
      <c r="L918" s="22">
        <f ca="1">L917*$E917</f>
        <v>0</v>
      </c>
      <c r="M918" s="22">
        <f t="shared" ref="M918" ca="1" si="3186">M917*$E917</f>
        <v>0</v>
      </c>
      <c r="N918" s="22">
        <f t="shared" ref="N918" ca="1" si="3187">N917*$E917</f>
        <v>0</v>
      </c>
      <c r="O918" s="22">
        <f t="shared" ref="O918" ca="1" si="3188">O917*$E917</f>
        <v>0</v>
      </c>
      <c r="P918" s="22">
        <f t="shared" ref="P918" ca="1" si="3189">P917*$E917</f>
        <v>0</v>
      </c>
      <c r="Q918" s="22">
        <f t="shared" ref="Q918" ca="1" si="3190">Q917*$E917</f>
        <v>0</v>
      </c>
      <c r="R918" s="22">
        <f t="shared" ref="R918" ca="1" si="3191">R917*$E917</f>
        <v>0</v>
      </c>
      <c r="S918" s="22">
        <f t="shared" ref="S918" ca="1" si="3192">S917*$E917</f>
        <v>0</v>
      </c>
      <c r="U918" s="17"/>
      <c r="V918" s="18"/>
      <c r="W918" s="19"/>
      <c r="X918" s="20"/>
    </row>
    <row r="919" spans="1:24">
      <c r="A919" s="200"/>
      <c r="B919" s="211"/>
      <c r="C919" s="200" t="s">
        <v>563</v>
      </c>
      <c r="D919" s="199" t="str">
        <f>VLOOKUP(C919,'仕掛品名寄（貼付）'!B:C,2,FALSE)</f>
        <v>その他</v>
      </c>
      <c r="E919" s="199">
        <f>VLOOKUP(D919,'仕掛品標準単価一覧表（貼付）'!B:G,6,FALSE)</f>
        <v>1080</v>
      </c>
      <c r="F919" s="12" t="s">
        <v>246</v>
      </c>
      <c r="G919" s="24">
        <v>0</v>
      </c>
      <c r="H919" s="13">
        <f ca="1">SUMIF('1.3②原材料使用'!B:E,C919,'1.3②原材料使用'!E:E)</f>
        <v>0</v>
      </c>
      <c r="I919" s="13">
        <f ca="1">SUMIF('2.10原液別作業時間'!A:B,C919,'2.10原液別作業時間'!B:B)</f>
        <v>0</v>
      </c>
      <c r="J919" s="13">
        <f ca="1">SUM(G919:H919,K919)</f>
        <v>663.5</v>
      </c>
      <c r="K919" s="13">
        <f ca="1">SUMIF('2.2⑤純増減→前工程費'!B:E,C919,'2.2⑤純増減→前工程費'!E:E)</f>
        <v>663.5</v>
      </c>
      <c r="L919" s="13">
        <f ca="1">SUMIF('2.6完成品'!C:D,C919,'2.6完成品'!D:D)</f>
        <v>0</v>
      </c>
      <c r="M919" s="13">
        <f ca="1">SUMIF('2.3研究費'!D:E,C919,'2.3研究費'!E:E)</f>
        <v>0</v>
      </c>
      <c r="N919" s="13">
        <f ca="1">SUMIF('2.4販促費'!D:E,C919,'2.4販促費'!E:E)</f>
        <v>0</v>
      </c>
      <c r="O919" s="13">
        <f ca="1">SUMIF('2.5廃棄処分'!D:E,C919,'2.5廃棄処分'!E:E)</f>
        <v>0</v>
      </c>
      <c r="P919" s="13">
        <f ca="1">SUMIF('2.1④異種原液'!D:E,C919,'2.1④異種原液'!E:E)</f>
        <v>0</v>
      </c>
      <c r="Q919" s="14">
        <f ca="1">SUMIF('2.7製造部生産分'!D:I,C919,'2.7製造部生産分'!H:H)</f>
        <v>0</v>
      </c>
      <c r="R919" s="15">
        <f ca="1">-(G919+H919+K919-L919-M919-N919-O919-P919-Q919-S919)</f>
        <v>0</v>
      </c>
      <c r="S919" s="13">
        <f ca="1">SUMIF('2.9原液在庫'!B:H,C919,'2.9原液在庫'!H:H)</f>
        <v>663.5</v>
      </c>
      <c r="T919" s="16">
        <f ca="1">IFERROR(SUM(G920:K920)/(G919+H919+K919),0)</f>
        <v>1110</v>
      </c>
      <c r="U919" s="17" t="str">
        <f>C919</f>
        <v>試作品</v>
      </c>
      <c r="V919" s="18">
        <f ca="1">IF(ISERROR(SUM(G920:K920)/SUM(L919:Q919,S919)),0,SUM(G920:K920)/SUM(L919:Q919,S919))</f>
        <v>1110</v>
      </c>
      <c r="W919" s="19">
        <f ca="1">V919</f>
        <v>1110</v>
      </c>
      <c r="X919" s="20">
        <f ca="1">W919/1000</f>
        <v>1.1100000000000001</v>
      </c>
    </row>
    <row r="920" spans="1:24">
      <c r="A920" s="201"/>
      <c r="B920" s="201"/>
      <c r="C920" s="201"/>
      <c r="D920" s="199"/>
      <c r="E920" s="199"/>
      <c r="F920" s="21" t="s">
        <v>247</v>
      </c>
      <c r="G920" s="22" t="s">
        <v>254</v>
      </c>
      <c r="H920" s="184"/>
      <c r="I920" s="23">
        <f ca="1">I919*労務費経費単価SC!D$7</f>
        <v>0</v>
      </c>
      <c r="J920" s="23">
        <f ca="1">J919*労務費経費単価SC!D$11</f>
        <v>19905</v>
      </c>
      <c r="K920" s="22">
        <f ca="1">K919*$E919</f>
        <v>716580</v>
      </c>
      <c r="L920" s="22">
        <f ca="1">L919*$E919</f>
        <v>0</v>
      </c>
      <c r="M920" s="22">
        <f t="shared" ref="M920" ca="1" si="3193">M919*$E919</f>
        <v>0</v>
      </c>
      <c r="N920" s="22">
        <f t="shared" ref="N920" ca="1" si="3194">N919*$E919</f>
        <v>0</v>
      </c>
      <c r="O920" s="22">
        <f t="shared" ref="O920" ca="1" si="3195">O919*$E919</f>
        <v>0</v>
      </c>
      <c r="P920" s="22">
        <f t="shared" ref="P920" ca="1" si="3196">P919*$E919</f>
        <v>0</v>
      </c>
      <c r="Q920" s="22">
        <f t="shared" ref="Q920" ca="1" si="3197">Q919*$E919</f>
        <v>0</v>
      </c>
      <c r="R920" s="22">
        <f t="shared" ref="R920" ca="1" si="3198">R919*$E919</f>
        <v>0</v>
      </c>
      <c r="S920" s="22">
        <f t="shared" ref="S920" ca="1" si="3199">S919*$E919</f>
        <v>716580</v>
      </c>
      <c r="U920" s="17"/>
      <c r="V920" s="18"/>
      <c r="W920" s="19"/>
      <c r="X920" s="20"/>
    </row>
    <row r="921" spans="1:24">
      <c r="A921" s="200"/>
      <c r="B921" s="211"/>
      <c r="C921" s="200" t="s">
        <v>564</v>
      </c>
      <c r="D921" s="199" t="str">
        <f>VLOOKUP(C921,'仕掛品名寄（貼付）'!B:C,2,FALSE)</f>
        <v>その他</v>
      </c>
      <c r="E921" s="199">
        <f>VLOOKUP(D921,'仕掛品標準単価一覧表（貼付）'!B:G,6,FALSE)</f>
        <v>1080</v>
      </c>
      <c r="F921" s="12" t="s">
        <v>246</v>
      </c>
      <c r="G921" s="24">
        <v>233.29999999999973</v>
      </c>
      <c r="H921" s="13">
        <f ca="1">SUMIF('1.3②原材料使用'!B:E,C921,'1.3②原材料使用'!E:E)</f>
        <v>1698.1</v>
      </c>
      <c r="I921" s="13">
        <f ca="1">SUMIF('2.10原液別作業時間'!A:B,C921,'2.10原液別作業時間'!B:B)</f>
        <v>0</v>
      </c>
      <c r="J921" s="13">
        <f ca="1">SUM(G921:H921,K921)</f>
        <v>1931.3999999999996</v>
      </c>
      <c r="K921" s="13">
        <f ca="1">SUMIF('2.2⑤純増減→前工程費'!B:E,C921,'2.2⑤純増減→前工程費'!E:E)</f>
        <v>0</v>
      </c>
      <c r="L921" s="13">
        <f ca="1">SUMIF('2.6完成品'!C:D,C921,'2.6完成品'!D:D)</f>
        <v>0</v>
      </c>
      <c r="M921" s="13">
        <f ca="1">SUMIF('2.3研究費'!D:E,C921,'2.3研究費'!E:E)</f>
        <v>0.2</v>
      </c>
      <c r="N921" s="13">
        <f ca="1">SUMIF('2.4販促費'!D:E,C921,'2.4販促費'!E:E)</f>
        <v>0</v>
      </c>
      <c r="O921" s="13">
        <f ca="1">SUMIF('2.5廃棄処分'!D:E,C921,'2.5廃棄処分'!E:E)</f>
        <v>44.8</v>
      </c>
      <c r="P921" s="13">
        <f ca="1">SUMIF('2.1④異種原液'!D:E,C921,'2.1④異種原液'!E:E)</f>
        <v>572</v>
      </c>
      <c r="Q921" s="14">
        <f ca="1">SUMIF('2.7製造部生産分'!D:I,C921,'2.7製造部生産分'!H:H)</f>
        <v>0</v>
      </c>
      <c r="R921" s="15">
        <f ca="1">-(G921+H921+K921-L921-M921-N921-O921-P921-Q921-S921)</f>
        <v>-70.499999999999545</v>
      </c>
      <c r="S921" s="13">
        <f ca="1">SUMIF('2.9原液在庫'!B:H,C921,'2.9原液在庫'!H:H)</f>
        <v>1243.9000000000001</v>
      </c>
      <c r="T921" s="16">
        <f ca="1">IFERROR(SUM(G922:K922)/(G921+H921+K921),0)</f>
        <v>219.73153692904705</v>
      </c>
      <c r="U921" s="17" t="str">
        <f>C921</f>
        <v>GIN</v>
      </c>
      <c r="V921" s="18">
        <f ca="1">IF(ISERROR(SUM(G922:K922)/SUM(L921:Q921,S921)),0,SUM(G922:K922)/SUM(L921:Q921,S921))</f>
        <v>228.05604300325723</v>
      </c>
      <c r="W921" s="19">
        <f ca="1">V921</f>
        <v>228.05604300325723</v>
      </c>
      <c r="X921" s="20">
        <f ca="1">W921/1000</f>
        <v>0.22805604300325724</v>
      </c>
    </row>
    <row r="922" spans="1:24">
      <c r="A922" s="201"/>
      <c r="B922" s="201"/>
      <c r="C922" s="201"/>
      <c r="D922" s="199"/>
      <c r="E922" s="199"/>
      <c r="F922" s="21" t="s">
        <v>247</v>
      </c>
      <c r="G922" s="22">
        <v>366447.49042476137</v>
      </c>
      <c r="H922" s="184"/>
      <c r="I922" s="23">
        <f ca="1">I921*労務費経費単価SC!D$7</f>
        <v>0</v>
      </c>
      <c r="J922" s="23">
        <f ca="1">J921*労務費経費単価SC!D$11</f>
        <v>57941.999999999985</v>
      </c>
      <c r="K922" s="22">
        <f ca="1">K921*$E921</f>
        <v>0</v>
      </c>
      <c r="L922" s="22">
        <f ca="1">L921*$E921</f>
        <v>0</v>
      </c>
      <c r="M922" s="22">
        <f t="shared" ref="M922" ca="1" si="3200">M921*$E921</f>
        <v>216</v>
      </c>
      <c r="N922" s="22">
        <f t="shared" ref="N922" ca="1" si="3201">N921*$E921</f>
        <v>0</v>
      </c>
      <c r="O922" s="22">
        <f t="shared" ref="O922" ca="1" si="3202">O921*$E921</f>
        <v>48384</v>
      </c>
      <c r="P922" s="22">
        <f t="shared" ref="P922" ca="1" si="3203">P921*$E921</f>
        <v>617760</v>
      </c>
      <c r="Q922" s="22">
        <f t="shared" ref="Q922" ca="1" si="3204">Q921*$E921</f>
        <v>0</v>
      </c>
      <c r="R922" s="22">
        <f t="shared" ref="R922" ca="1" si="3205">R921*$E921</f>
        <v>-76139.999999999505</v>
      </c>
      <c r="S922" s="22">
        <f t="shared" ref="S922" ca="1" si="3206">S921*$E921</f>
        <v>1343412</v>
      </c>
      <c r="U922" s="17"/>
      <c r="V922" s="18"/>
      <c r="W922" s="19"/>
      <c r="X922" s="20"/>
    </row>
    <row r="923" spans="1:24">
      <c r="A923" s="200"/>
      <c r="B923" s="211"/>
      <c r="C923" s="200" t="s">
        <v>565</v>
      </c>
      <c r="D923" s="199" t="str">
        <f>VLOOKUP(C923,'仕掛品名寄（貼付）'!B:C,2,FALSE)</f>
        <v>その他</v>
      </c>
      <c r="E923" s="199">
        <f>VLOOKUP(D923,'仕掛品標準単価一覧表（貼付）'!B:G,6,FALSE)</f>
        <v>1080</v>
      </c>
      <c r="F923" s="12" t="s">
        <v>246</v>
      </c>
      <c r="G923" s="24">
        <v>2.8421709430404007E-14</v>
      </c>
      <c r="H923" s="13">
        <f ca="1">SUMIF('1.3②原材料使用'!B:E,C923,'1.3②原材料使用'!E:E)</f>
        <v>0</v>
      </c>
      <c r="I923" s="13">
        <f ca="1">SUMIF('2.10原液別作業時間'!A:B,C923,'2.10原液別作業時間'!B:B)</f>
        <v>0</v>
      </c>
      <c r="J923" s="13">
        <f ca="1">SUM(G923:H923,K923)</f>
        <v>2.8421709430404007E-14</v>
      </c>
      <c r="K923" s="13">
        <f ca="1">SUMIF('2.2⑤純増減→前工程費'!B:E,C923,'2.2⑤純増減→前工程費'!E:E)</f>
        <v>0</v>
      </c>
      <c r="L923" s="13">
        <f ca="1">SUMIF('2.6完成品'!C:D,C923,'2.6完成品'!D:D)</f>
        <v>0</v>
      </c>
      <c r="M923" s="13">
        <f ca="1">SUMIF('2.3研究費'!D:E,C923,'2.3研究費'!E:E)</f>
        <v>0</v>
      </c>
      <c r="N923" s="13">
        <f ca="1">SUMIF('2.4販促費'!D:E,C923,'2.4販促費'!E:E)</f>
        <v>0</v>
      </c>
      <c r="O923" s="13">
        <f ca="1">SUMIF('2.5廃棄処分'!D:E,C923,'2.5廃棄処分'!E:E)</f>
        <v>0</v>
      </c>
      <c r="P923" s="13">
        <f ca="1">SUMIF('2.1④異種原液'!D:E,C923,'2.1④異種原液'!E:E)</f>
        <v>0</v>
      </c>
      <c r="Q923" s="14">
        <f ca="1">SUMIF('2.7製造部生産分'!D:I,C923,'2.7製造部生産分'!H:H)</f>
        <v>0</v>
      </c>
      <c r="R923" s="15">
        <f ca="1">-(G923+H923+K923-L923-M923-N923-O923-P923-Q923-S923)</f>
        <v>0</v>
      </c>
      <c r="S923" s="13">
        <f ca="1">SUMIF('2.9原液在庫'!B:H,C923,'2.9原液在庫'!H:H)</f>
        <v>2.8421709430404007E-14</v>
      </c>
      <c r="T923" s="16">
        <f ca="1">IFERROR(SUM(G924:K924)/(G923+H923+K923),0)</f>
        <v>498.53406555279037</v>
      </c>
      <c r="U923" s="17" t="str">
        <f>C923</f>
        <v>GIN30</v>
      </c>
      <c r="V923" s="18">
        <f ca="1">IF(ISERROR(SUM(G924:K924)/SUM(L923:Q923,S923)),0,SUM(G924:K924)/SUM(L923:Q923,S923))</f>
        <v>498.53406555279037</v>
      </c>
      <c r="W923" s="19">
        <f ca="1">V923</f>
        <v>498.53406555279037</v>
      </c>
      <c r="X923" s="20">
        <f ca="1">W923/1000</f>
        <v>0.49853406555279034</v>
      </c>
    </row>
    <row r="924" spans="1:24">
      <c r="A924" s="201"/>
      <c r="B924" s="201"/>
      <c r="C924" s="201"/>
      <c r="D924" s="199"/>
      <c r="E924" s="199"/>
      <c r="F924" s="21" t="s">
        <v>247</v>
      </c>
      <c r="G924" s="22">
        <v>1.3316539069387271E-11</v>
      </c>
      <c r="H924" s="184"/>
      <c r="I924" s="23">
        <f ca="1">I923*労務費経費単価SC!D$7</f>
        <v>0</v>
      </c>
      <c r="J924" s="23">
        <f ca="1">J923*労務費経費単価SC!D$11</f>
        <v>8.5265128291212022E-13</v>
      </c>
      <c r="K924" s="22">
        <f ca="1">K923*$E923</f>
        <v>0</v>
      </c>
      <c r="L924" s="22">
        <f ca="1">L923*$E923</f>
        <v>0</v>
      </c>
      <c r="M924" s="22">
        <f t="shared" ref="M924" ca="1" si="3207">M923*$E923</f>
        <v>0</v>
      </c>
      <c r="N924" s="22">
        <f t="shared" ref="N924" ca="1" si="3208">N923*$E923</f>
        <v>0</v>
      </c>
      <c r="O924" s="22">
        <f t="shared" ref="O924" ca="1" si="3209">O923*$E923</f>
        <v>0</v>
      </c>
      <c r="P924" s="22">
        <f t="shared" ref="P924" ca="1" si="3210">P923*$E923</f>
        <v>0</v>
      </c>
      <c r="Q924" s="22">
        <f t="shared" ref="Q924" ca="1" si="3211">Q923*$E923</f>
        <v>0</v>
      </c>
      <c r="R924" s="22">
        <f t="shared" ref="R924" ca="1" si="3212">R923*$E923</f>
        <v>0</v>
      </c>
      <c r="S924" s="22">
        <f t="shared" ref="S924" ca="1" si="3213">S923*$E923</f>
        <v>3.0695446184836328E-11</v>
      </c>
      <c r="U924" s="17"/>
      <c r="V924" s="18"/>
      <c r="W924" s="19"/>
      <c r="X924" s="20"/>
    </row>
    <row r="925" spans="1:24">
      <c r="A925" s="200"/>
      <c r="B925" s="211"/>
      <c r="C925" s="200" t="s">
        <v>566</v>
      </c>
      <c r="D925" s="199" t="str">
        <f>VLOOKUP(C925,'仕掛品名寄（貼付）'!B:C,2,FALSE)</f>
        <v>その他</v>
      </c>
      <c r="E925" s="199">
        <f>VLOOKUP(D925,'仕掛品標準単価一覧表（貼付）'!B:G,6,FALSE)</f>
        <v>1080</v>
      </c>
      <c r="F925" s="12" t="s">
        <v>246</v>
      </c>
      <c r="G925" s="13">
        <v>0</v>
      </c>
      <c r="H925" s="13">
        <f ca="1">SUMIF('1.3②原材料使用'!B:E,C925,'1.3②原材料使用'!E:E)</f>
        <v>0</v>
      </c>
      <c r="I925" s="13">
        <f ca="1">SUMIF('2.10原液別作業時間'!A:B,C925,'2.10原液別作業時間'!B:B)</f>
        <v>0</v>
      </c>
      <c r="J925" s="13">
        <f ca="1">SUM(G925:H925,K925)</f>
        <v>0</v>
      </c>
      <c r="K925" s="13">
        <f ca="1">SUMIF('2.2⑤純増減→前工程費'!B:E,C925,'2.2⑤純増減→前工程費'!E:E)</f>
        <v>0</v>
      </c>
      <c r="L925" s="13">
        <f ca="1">SUMIF('2.6完成品'!C:D,C925,'2.6完成品'!D:D)</f>
        <v>0</v>
      </c>
      <c r="M925" s="13">
        <f ca="1">SUMIF('2.3研究費'!D:E,C925,'2.3研究費'!E:E)</f>
        <v>0</v>
      </c>
      <c r="N925" s="13">
        <f ca="1">SUMIF('2.4販促費'!D:E,C925,'2.4販促費'!E:E)</f>
        <v>0</v>
      </c>
      <c r="O925" s="13">
        <f ca="1">SUMIF('2.5廃棄処分'!D:E,C925,'2.5廃棄処分'!E:E)</f>
        <v>0</v>
      </c>
      <c r="P925" s="13">
        <f ca="1">SUMIF('2.1④異種原液'!D:E,C925,'2.1④異種原液'!E:E)</f>
        <v>0</v>
      </c>
      <c r="Q925" s="14">
        <f ca="1">SUMIF('2.7製造部生産分'!D:I,C925,'2.7製造部生産分'!H:H)</f>
        <v>0</v>
      </c>
      <c r="R925" s="15">
        <f ca="1">-(G925+H925+K925-L925-M925-N925-O925-P925-Q925-S925)</f>
        <v>0</v>
      </c>
      <c r="S925" s="13">
        <f ca="1">SUMIF('2.9原液在庫'!B:H,C925,'2.9原液在庫'!H:H)</f>
        <v>0</v>
      </c>
      <c r="T925" s="16">
        <f ca="1">IFERROR(SUM(G926:K926)/(G925+H925+K925),0)</f>
        <v>0</v>
      </c>
      <c r="U925" s="17" t="str">
        <f>C925</f>
        <v>GIN100</v>
      </c>
      <c r="V925" s="18">
        <f ca="1">IF(ISERROR(SUM(G926:K926)/SUM(L925:Q925,S925)),0,SUM(G926:K926)/SUM(L925:Q925,S925))</f>
        <v>0</v>
      </c>
      <c r="W925" s="19">
        <f ca="1">V925</f>
        <v>0</v>
      </c>
      <c r="X925" s="20">
        <f ca="1">W925/1000</f>
        <v>0</v>
      </c>
    </row>
    <row r="926" spans="1:24">
      <c r="A926" s="201"/>
      <c r="B926" s="201"/>
      <c r="C926" s="201"/>
      <c r="D926" s="199"/>
      <c r="E926" s="199"/>
      <c r="F926" s="21" t="s">
        <v>247</v>
      </c>
      <c r="G926" s="22" t="s">
        <v>254</v>
      </c>
      <c r="H926" s="184"/>
      <c r="I926" s="23">
        <f ca="1">I925*労務費経費単価SC!D$7</f>
        <v>0</v>
      </c>
      <c r="J926" s="23">
        <f ca="1">J925*労務費経費単価SC!D$11</f>
        <v>0</v>
      </c>
      <c r="K926" s="22">
        <f ca="1">K925*$E925</f>
        <v>0</v>
      </c>
      <c r="L926" s="22">
        <f ca="1">L925*$E925</f>
        <v>0</v>
      </c>
      <c r="M926" s="22">
        <f t="shared" ref="M926" ca="1" si="3214">M925*$E925</f>
        <v>0</v>
      </c>
      <c r="N926" s="22">
        <f t="shared" ref="N926" ca="1" si="3215">N925*$E925</f>
        <v>0</v>
      </c>
      <c r="O926" s="22">
        <f t="shared" ref="O926" ca="1" si="3216">O925*$E925</f>
        <v>0</v>
      </c>
      <c r="P926" s="22">
        <f t="shared" ref="P926" ca="1" si="3217">P925*$E925</f>
        <v>0</v>
      </c>
      <c r="Q926" s="22">
        <f t="shared" ref="Q926" ca="1" si="3218">Q925*$E925</f>
        <v>0</v>
      </c>
      <c r="R926" s="22">
        <f t="shared" ref="R926" ca="1" si="3219">R925*$E925</f>
        <v>0</v>
      </c>
      <c r="S926" s="22">
        <f t="shared" ref="S926" ca="1" si="3220">S925*$E925</f>
        <v>0</v>
      </c>
      <c r="U926" s="17"/>
      <c r="V926" s="18"/>
      <c r="W926" s="19"/>
      <c r="X926" s="20"/>
    </row>
    <row r="927" spans="1:24">
      <c r="A927" s="200"/>
      <c r="B927" s="211"/>
      <c r="C927" s="200" t="s">
        <v>227</v>
      </c>
      <c r="D927" s="199" t="str">
        <f>VLOOKUP(C927,'仕掛品名寄（貼付）'!B:C,2,FALSE)</f>
        <v>その他</v>
      </c>
      <c r="E927" s="199">
        <f>VLOOKUP(D927,'仕掛品標準単価一覧表（貼付）'!B:G,6,FALSE)</f>
        <v>1080</v>
      </c>
      <c r="F927" s="12" t="s">
        <v>246</v>
      </c>
      <c r="G927" s="24">
        <v>-5.6843418860808015E-14</v>
      </c>
      <c r="H927" s="13">
        <f ca="1">SUMIF('1.3②原材料使用'!B:E,C927,'1.3②原材料使用'!E:E)</f>
        <v>0</v>
      </c>
      <c r="I927" s="13">
        <f ca="1">SUMIF('2.10原液別作業時間'!A:B,C927,'2.10原液別作業時間'!B:B)</f>
        <v>0</v>
      </c>
      <c r="J927" s="13">
        <f ca="1">SUM(G927:H927,K927)</f>
        <v>-5.6843418860808015E-14</v>
      </c>
      <c r="K927" s="13">
        <f ca="1">SUMIF('2.2⑤純増減→前工程費'!B:E,C927,'2.2⑤純増減→前工程費'!E:E)</f>
        <v>0</v>
      </c>
      <c r="L927" s="13">
        <f ca="1">SUMIF('2.6完成品'!C:D,C927,'2.6完成品'!D:D)</f>
        <v>0</v>
      </c>
      <c r="M927" s="13">
        <f ca="1">SUMIF('2.3研究費'!D:E,C927,'2.3研究費'!E:E)</f>
        <v>0</v>
      </c>
      <c r="N927" s="13">
        <f ca="1">SUMIF('2.4販促費'!D:E,C927,'2.4販促費'!E:E)</f>
        <v>0</v>
      </c>
      <c r="O927" s="13">
        <f ca="1">SUMIF('2.5廃棄処分'!D:E,C927,'2.5廃棄処分'!E:E)</f>
        <v>0</v>
      </c>
      <c r="P927" s="13">
        <f ca="1">SUMIF('2.1④異種原液'!D:E,C927,'2.1④異種原液'!E:E)</f>
        <v>0</v>
      </c>
      <c r="Q927" s="14">
        <f ca="1">SUMIF('2.7製造部生産分'!D:I,C927,'2.7製造部生産分'!H:H)</f>
        <v>0</v>
      </c>
      <c r="R927" s="15">
        <f ca="1">-(G927+H927+K927-L927-M927-N927-O927-P927-Q927-S927)</f>
        <v>0</v>
      </c>
      <c r="S927" s="13">
        <f ca="1">SUMIF('2.9原液在庫'!B:H,C927,'2.9原液在庫'!H:H)</f>
        <v>-5.6843418860808015E-14</v>
      </c>
      <c r="T927" s="16">
        <f ca="1">IFERROR(SUM(G928:K928)/(G927+H927+K927),0)</f>
        <v>569.68580077574109</v>
      </c>
      <c r="U927" s="17" t="str">
        <f>C927</f>
        <v>GIN130</v>
      </c>
      <c r="V927" s="18">
        <f ca="1">IF(ISERROR(SUM(G928:K928)/SUM(L927:Q927,S927)),0,SUM(G928:K928)/SUM(L927:Q927,S927))</f>
        <v>569.68580077574109</v>
      </c>
      <c r="W927" s="19">
        <f ca="1">V927</f>
        <v>569.68580077574109</v>
      </c>
      <c r="X927" s="20">
        <f ca="1">W927/1000</f>
        <v>0.56968580077574105</v>
      </c>
    </row>
    <row r="928" spans="1:24">
      <c r="A928" s="201"/>
      <c r="B928" s="201"/>
      <c r="C928" s="201"/>
      <c r="D928" s="199"/>
      <c r="E928" s="199"/>
      <c r="F928" s="21" t="s">
        <v>247</v>
      </c>
      <c r="G928" s="22">
        <v>-3.0677586026726038E-11</v>
      </c>
      <c r="H928" s="184"/>
      <c r="I928" s="23">
        <f ca="1">I927*労務費経費単価SC!D$7</f>
        <v>0</v>
      </c>
      <c r="J928" s="23">
        <f ca="1">J927*労務費経費単価SC!D$11</f>
        <v>-1.7053025658242404E-12</v>
      </c>
      <c r="K928" s="22">
        <f ca="1">K927*$E927</f>
        <v>0</v>
      </c>
      <c r="L928" s="22">
        <f ca="1">L927*$E927</f>
        <v>0</v>
      </c>
      <c r="M928" s="22">
        <f t="shared" ref="M928" ca="1" si="3221">M927*$E927</f>
        <v>0</v>
      </c>
      <c r="N928" s="22">
        <f t="shared" ref="N928" ca="1" si="3222">N927*$E927</f>
        <v>0</v>
      </c>
      <c r="O928" s="22">
        <f t="shared" ref="O928" ca="1" si="3223">O927*$E927</f>
        <v>0</v>
      </c>
      <c r="P928" s="22">
        <f t="shared" ref="P928" ca="1" si="3224">P927*$E927</f>
        <v>0</v>
      </c>
      <c r="Q928" s="22">
        <f t="shared" ref="Q928" ca="1" si="3225">Q927*$E927</f>
        <v>0</v>
      </c>
      <c r="R928" s="22">
        <f t="shared" ref="R928" ca="1" si="3226">R927*$E927</f>
        <v>0</v>
      </c>
      <c r="S928" s="22">
        <f t="shared" ref="S928" ca="1" si="3227">S927*$E927</f>
        <v>-6.1390892369672656E-11</v>
      </c>
      <c r="U928" s="17"/>
      <c r="V928" s="18"/>
      <c r="W928" s="19"/>
      <c r="X928" s="20"/>
    </row>
    <row r="929" spans="1:24">
      <c r="A929" s="200"/>
      <c r="B929" s="211"/>
      <c r="C929" s="200" t="s">
        <v>567</v>
      </c>
      <c r="D929" s="199" t="str">
        <f>VLOOKUP(C929,'仕掛品名寄（貼付）'!B:C,2,FALSE)</f>
        <v>その他</v>
      </c>
      <c r="E929" s="199">
        <f>VLOOKUP(D929,'仕掛品標準単価一覧表（貼付）'!B:G,6,FALSE)</f>
        <v>1080</v>
      </c>
      <c r="F929" s="12" t="s">
        <v>246</v>
      </c>
      <c r="G929" s="24">
        <v>-3.4106051316484809E-12</v>
      </c>
      <c r="H929" s="13">
        <f ca="1">SUMIF('1.3②原材料使用'!B:E,C929,'1.3②原材料使用'!E:E)</f>
        <v>1337.5</v>
      </c>
      <c r="I929" s="13">
        <f ca="1">SUMIF('2.10原液別作業時間'!A:B,C929,'2.10原液別作業時間'!B:B)</f>
        <v>0</v>
      </c>
      <c r="J929" s="13">
        <f ca="1">SUM(G929:H929,K929)</f>
        <v>1337.4999999999966</v>
      </c>
      <c r="K929" s="13">
        <f ca="1">SUMIF('2.2⑤純増減→前工程費'!B:E,C929,'2.2⑤純増減→前工程費'!E:E)</f>
        <v>0</v>
      </c>
      <c r="L929" s="13">
        <f ca="1">SUMIF('2.6完成品'!C:D,C929,'2.6完成品'!D:D)</f>
        <v>0</v>
      </c>
      <c r="M929" s="13">
        <f ca="1">SUMIF('2.3研究費'!D:E,C929,'2.3研究費'!E:E)</f>
        <v>0</v>
      </c>
      <c r="N929" s="13">
        <f ca="1">SUMIF('2.4販促費'!D:E,C929,'2.4販促費'!E:E)</f>
        <v>0</v>
      </c>
      <c r="O929" s="13">
        <f ca="1">SUMIF('2.5廃棄処分'!D:E,C929,'2.5廃棄処分'!E:E)</f>
        <v>0</v>
      </c>
      <c r="P929" s="13">
        <f ca="1">SUMIF('2.1④異種原液'!D:E,C929,'2.1④異種原液'!E:E)</f>
        <v>1302</v>
      </c>
      <c r="Q929" s="14">
        <f ca="1">SUMIF('2.7製造部生産分'!D:I,C929,'2.7製造部生産分'!H:H)</f>
        <v>0</v>
      </c>
      <c r="R929" s="15">
        <f ca="1">-(G929+H929+K929-L929-M929-N929-O929-P929-Q929-S929)</f>
        <v>-35.500000000000227</v>
      </c>
      <c r="S929" s="13">
        <f ca="1">SUMIF('2.9原液在庫'!B:H,C929,'2.9原液在庫'!H:H)</f>
        <v>-3.637978807091713E-12</v>
      </c>
      <c r="T929" s="16">
        <f ca="1">IFERROR(SUM(G930:K930)/(G929+H929+K929),0)</f>
        <v>29.999999999999496</v>
      </c>
      <c r="U929" s="17" t="str">
        <f>C929</f>
        <v>黒西</v>
      </c>
      <c r="V929" s="18">
        <f ca="1">IF(ISERROR(SUM(G930:K930)/SUM(L929:Q929,S929)),0,SUM(G930:K930)/SUM(L929:Q929,S929))</f>
        <v>30.817972350229901</v>
      </c>
      <c r="W929" s="19">
        <f ca="1">V929</f>
        <v>30.817972350229901</v>
      </c>
      <c r="X929" s="20">
        <f ca="1">W929/1000</f>
        <v>3.08179723502299E-2</v>
      </c>
    </row>
    <row r="930" spans="1:24">
      <c r="A930" s="201"/>
      <c r="B930" s="201"/>
      <c r="C930" s="201"/>
      <c r="D930" s="199"/>
      <c r="E930" s="199"/>
      <c r="F930" s="21" t="s">
        <v>247</v>
      </c>
      <c r="G930" s="22">
        <v>-6.7462019713862608E-10</v>
      </c>
      <c r="H930" s="184"/>
      <c r="I930" s="23">
        <f ca="1">I929*労務費経費単価SC!D$7</f>
        <v>0</v>
      </c>
      <c r="J930" s="23">
        <f ca="1">J929*労務費経費単価SC!D$11</f>
        <v>40124.999999999898</v>
      </c>
      <c r="K930" s="22">
        <f ca="1">K929*$E929</f>
        <v>0</v>
      </c>
      <c r="L930" s="22">
        <f ca="1">L929*$E929</f>
        <v>0</v>
      </c>
      <c r="M930" s="22">
        <f t="shared" ref="M930" ca="1" si="3228">M929*$E929</f>
        <v>0</v>
      </c>
      <c r="N930" s="22">
        <f t="shared" ref="N930" ca="1" si="3229">N929*$E929</f>
        <v>0</v>
      </c>
      <c r="O930" s="22">
        <f t="shared" ref="O930" ca="1" si="3230">O929*$E929</f>
        <v>0</v>
      </c>
      <c r="P930" s="22">
        <f t="shared" ref="P930" ca="1" si="3231">P929*$E929</f>
        <v>1406160</v>
      </c>
      <c r="Q930" s="22">
        <f t="shared" ref="Q930" ca="1" si="3232">Q929*$E929</f>
        <v>0</v>
      </c>
      <c r="R930" s="22">
        <f t="shared" ref="R930" ca="1" si="3233">R929*$E929</f>
        <v>-38340.000000000247</v>
      </c>
      <c r="S930" s="22">
        <f t="shared" ref="S930" ca="1" si="3234">S929*$E929</f>
        <v>-3.92901711165905E-9</v>
      </c>
      <c r="U930" s="17"/>
      <c r="V930" s="18"/>
      <c r="W930" s="19"/>
      <c r="X930" s="20"/>
    </row>
    <row r="931" spans="1:24">
      <c r="A931" s="200"/>
      <c r="B931" s="211"/>
      <c r="C931" s="200" t="s">
        <v>241</v>
      </c>
      <c r="D931" s="199" t="str">
        <f>VLOOKUP(C931,'仕掛品名寄（貼付）'!B:C,2,FALSE)</f>
        <v>その他</v>
      </c>
      <c r="E931" s="199">
        <f>VLOOKUP(D931,'仕掛品標準単価一覧表（貼付）'!B:G,6,FALSE)</f>
        <v>1080</v>
      </c>
      <c r="F931" s="12" t="s">
        <v>246</v>
      </c>
      <c r="G931" s="24">
        <v>0</v>
      </c>
      <c r="H931" s="13">
        <f ca="1">SUMIF('1.3②原材料使用'!B:E,C931,'1.3②原材料使用'!E:E)</f>
        <v>0</v>
      </c>
      <c r="I931" s="13">
        <f ca="1">SUMIF('2.10原液別作業時間'!A:B,C931,'2.10原液別作業時間'!B:B)</f>
        <v>0</v>
      </c>
      <c r="J931" s="13">
        <f ca="1">SUM(G931:H931,K931)</f>
        <v>0</v>
      </c>
      <c r="K931" s="13">
        <f ca="1">SUMIF('2.2⑤純増減→前工程費'!B:E,C931,'2.2⑤純増減→前工程費'!E:E)</f>
        <v>0</v>
      </c>
      <c r="L931" s="13">
        <f ca="1">SUMIF('2.6完成品'!C:D,C931,'2.6完成品'!D:D)</f>
        <v>0</v>
      </c>
      <c r="M931" s="13">
        <f ca="1">SUMIF('2.3研究費'!D:E,C931,'2.3研究費'!E:E)</f>
        <v>0</v>
      </c>
      <c r="N931" s="13">
        <f ca="1">SUMIF('2.4販促費'!D:E,C931,'2.4販促費'!E:E)</f>
        <v>0</v>
      </c>
      <c r="O931" s="13">
        <f ca="1">SUMIF('2.5廃棄処分'!D:E,C931,'2.5廃棄処分'!E:E)</f>
        <v>0</v>
      </c>
      <c r="P931" s="13">
        <f ca="1">SUMIF('2.1④異種原液'!D:E,C931,'2.1④異種原液'!E:E)</f>
        <v>0</v>
      </c>
      <c r="Q931" s="14">
        <f ca="1">SUMIF('2.7製造部生産分'!D:I,C931,'2.7製造部生産分'!H:H)</f>
        <v>0</v>
      </c>
      <c r="R931" s="15">
        <f ca="1">-(G931+H931+K931-L931-M931-N931-O931-P931-Q931-S931)</f>
        <v>0</v>
      </c>
      <c r="S931" s="13">
        <f ca="1">SUMIF('2.9原液在庫'!B:H,C931,'2.9原液在庫'!H:H)</f>
        <v>0</v>
      </c>
      <c r="T931" s="16">
        <f ca="1">IFERROR(SUM(G932:K932)/(G931+H931+K931),0)</f>
        <v>0</v>
      </c>
      <c r="U931" s="17" t="str">
        <f>C931</f>
        <v>再利用</v>
      </c>
      <c r="V931" s="18">
        <f ca="1">IF(ISERROR(SUM(G932:K932)/SUM(L931:Q931,S931)),0,SUM(G932:K932)/SUM(L931:Q931,S931))</f>
        <v>0</v>
      </c>
      <c r="W931" s="19">
        <f ca="1">V931</f>
        <v>0</v>
      </c>
      <c r="X931" s="20">
        <f ca="1">W931/1000</f>
        <v>0</v>
      </c>
    </row>
    <row r="932" spans="1:24">
      <c r="A932" s="201"/>
      <c r="B932" s="201"/>
      <c r="C932" s="201"/>
      <c r="D932" s="199"/>
      <c r="E932" s="199"/>
      <c r="F932" s="21" t="s">
        <v>247</v>
      </c>
      <c r="G932" s="22" t="s">
        <v>254</v>
      </c>
      <c r="H932" s="184"/>
      <c r="I932" s="23">
        <f ca="1">I931*労務費経費単価SC!D$7</f>
        <v>0</v>
      </c>
      <c r="J932" s="23">
        <f ca="1">J931*労務費経費単価SC!D$11</f>
        <v>0</v>
      </c>
      <c r="K932" s="22">
        <f ca="1">K931*$E931</f>
        <v>0</v>
      </c>
      <c r="L932" s="22">
        <f ca="1">L931*$E931</f>
        <v>0</v>
      </c>
      <c r="M932" s="22">
        <f t="shared" ref="M932" ca="1" si="3235">M931*$E931</f>
        <v>0</v>
      </c>
      <c r="N932" s="22">
        <f t="shared" ref="N932" ca="1" si="3236">N931*$E931</f>
        <v>0</v>
      </c>
      <c r="O932" s="22">
        <f t="shared" ref="O932" ca="1" si="3237">O931*$E931</f>
        <v>0</v>
      </c>
      <c r="P932" s="22">
        <f t="shared" ref="P932" ca="1" si="3238">P931*$E931</f>
        <v>0</v>
      </c>
      <c r="Q932" s="22">
        <f t="shared" ref="Q932" ca="1" si="3239">Q931*$E931</f>
        <v>0</v>
      </c>
      <c r="R932" s="22">
        <f t="shared" ref="R932" ca="1" si="3240">R931*$E931</f>
        <v>0</v>
      </c>
      <c r="S932" s="22">
        <f t="shared" ref="S932" ca="1" si="3241">S931*$E931</f>
        <v>0</v>
      </c>
      <c r="U932" s="17"/>
      <c r="V932" s="18"/>
      <c r="W932" s="19"/>
      <c r="X932" s="20"/>
    </row>
    <row r="933" spans="1:24">
      <c r="A933" s="200"/>
      <c r="B933" s="211"/>
      <c r="C933" s="200" t="s">
        <v>129</v>
      </c>
      <c r="D933" s="199" t="str">
        <f>VLOOKUP(C933,'仕掛品名寄（貼付）'!B:C,2,FALSE)</f>
        <v>その他</v>
      </c>
      <c r="E933" s="199">
        <f>VLOOKUP(D933,'仕掛品標準単価一覧表（貼付）'!B:G,6,FALSE)</f>
        <v>1080</v>
      </c>
      <c r="F933" s="12" t="s">
        <v>246</v>
      </c>
      <c r="G933" s="24">
        <v>379.5</v>
      </c>
      <c r="H933" s="13">
        <f ca="1">SUMIF('1.3②原材料使用'!B:E,C933,'1.3②原材料使用'!E:E)</f>
        <v>0</v>
      </c>
      <c r="I933" s="13">
        <f ca="1">SUMIF('2.10原液別作業時間'!A:B,C933,'2.10原液別作業時間'!B:B)</f>
        <v>0</v>
      </c>
      <c r="J933" s="13">
        <f ca="1">SUM(G933:H933,K933)</f>
        <v>379.5</v>
      </c>
      <c r="K933" s="13">
        <f ca="1">SUMIF('2.2⑤純増減→前工程費'!B:E,C933,'2.2⑤純増減→前工程費'!E:E)</f>
        <v>0</v>
      </c>
      <c r="L933" s="13">
        <f ca="1">SUMIF('2.6完成品'!C:D,C933,'2.6完成品'!D:D)</f>
        <v>0</v>
      </c>
      <c r="M933" s="13">
        <f ca="1">SUMIF('2.3研究費'!D:E,C933,'2.3研究費'!E:E)</f>
        <v>0</v>
      </c>
      <c r="N933" s="13">
        <f ca="1">SUMIF('2.4販促費'!D:E,C933,'2.4販促費'!E:E)</f>
        <v>0</v>
      </c>
      <c r="O933" s="13">
        <f ca="1">SUMIF('2.5廃棄処分'!D:E,C933,'2.5廃棄処分'!E:E)</f>
        <v>0</v>
      </c>
      <c r="P933" s="13">
        <f ca="1">SUMIF('2.1④異種原液'!D:E,C933,'2.1④異種原液'!E:E)</f>
        <v>0</v>
      </c>
      <c r="Q933" s="14">
        <f ca="1">SUMIF('2.7製造部生産分'!D:I,C933,'2.7製造部生産分'!H:H)</f>
        <v>0</v>
      </c>
      <c r="R933" s="15">
        <f ca="1">-(G933+H933+K933-L933-M933-N933-O933-P933-Q933-S933)</f>
        <v>-2.5</v>
      </c>
      <c r="S933" s="13">
        <f ca="1">SUMIF('2.9原液在庫'!B:H,C933,'2.9原液在庫'!H:H)</f>
        <v>377</v>
      </c>
      <c r="T933" s="16">
        <f ca="1">IFERROR(SUM(G934:K934)/(G933+H933+K933),0)</f>
        <v>7814.29179132423</v>
      </c>
      <c r="U933" s="17" t="str">
        <f>C933</f>
        <v>HIE</v>
      </c>
      <c r="V933" s="18">
        <f ca="1">IF(ISERROR(SUM(G934:K934)/SUM(L933:Q933,S933)),0,SUM(G934:K934)/SUM(L933:Q933,S933))</f>
        <v>7866.1107024072817</v>
      </c>
      <c r="W933" s="19">
        <f ca="1">V933</f>
        <v>7866.1107024072817</v>
      </c>
      <c r="X933" s="20">
        <f ca="1">W933/1000</f>
        <v>7.8661107024072816</v>
      </c>
    </row>
    <row r="934" spans="1:24">
      <c r="A934" s="212"/>
      <c r="B934" s="212"/>
      <c r="C934" s="201"/>
      <c r="D934" s="199"/>
      <c r="E934" s="199"/>
      <c r="F934" s="21" t="s">
        <v>247</v>
      </c>
      <c r="G934" s="22">
        <v>2954138.7348075453</v>
      </c>
      <c r="H934" s="184"/>
      <c r="I934" s="23">
        <f ca="1">I933*労務費経費単価SC!D$7</f>
        <v>0</v>
      </c>
      <c r="J934" s="23">
        <f ca="1">J933*労務費経費単価SC!D$11</f>
        <v>11385</v>
      </c>
      <c r="K934" s="22">
        <f ca="1">K933*$E933</f>
        <v>0</v>
      </c>
      <c r="L934" s="22">
        <f ca="1">L933*$E933</f>
        <v>0</v>
      </c>
      <c r="M934" s="22">
        <f t="shared" ref="M934" ca="1" si="3242">M933*$E933</f>
        <v>0</v>
      </c>
      <c r="N934" s="22">
        <f t="shared" ref="N934" ca="1" si="3243">N933*$E933</f>
        <v>0</v>
      </c>
      <c r="O934" s="22">
        <f t="shared" ref="O934" ca="1" si="3244">O933*$E933</f>
        <v>0</v>
      </c>
      <c r="P934" s="22">
        <f t="shared" ref="P934" ca="1" si="3245">P933*$E933</f>
        <v>0</v>
      </c>
      <c r="Q934" s="22">
        <f t="shared" ref="Q934" ca="1" si="3246">Q933*$E933</f>
        <v>0</v>
      </c>
      <c r="R934" s="22">
        <f t="shared" ref="R934" ca="1" si="3247">R933*$E933</f>
        <v>-2700</v>
      </c>
      <c r="S934" s="22">
        <f t="shared" ref="S934" ca="1" si="3248">S933*$E933</f>
        <v>407160</v>
      </c>
      <c r="U934" s="17"/>
      <c r="V934" s="18"/>
      <c r="W934" s="19"/>
      <c r="X934" s="20"/>
    </row>
    <row r="935" spans="1:24">
      <c r="A935" s="200"/>
      <c r="B935" s="211"/>
      <c r="C935" s="200" t="s">
        <v>130</v>
      </c>
      <c r="D935" s="199" t="str">
        <f>VLOOKUP(C935,'仕掛品名寄（貼付）'!B:C,2,FALSE)</f>
        <v>その他</v>
      </c>
      <c r="E935" s="199">
        <f>VLOOKUP(D935,'仕掛品標準単価一覧表（貼付）'!B:G,6,FALSE)</f>
        <v>1080</v>
      </c>
      <c r="F935" s="12" t="s">
        <v>246</v>
      </c>
      <c r="G935" s="24">
        <v>0</v>
      </c>
      <c r="H935" s="13">
        <f ca="1">SUMIF('1.3②原材料使用'!B:E,C935,'1.3②原材料使用'!E:E)</f>
        <v>0</v>
      </c>
      <c r="I935" s="13">
        <f ca="1">SUMIF('2.10原液別作業時間'!A:B,C935,'2.10原液別作業時間'!B:B)</f>
        <v>0</v>
      </c>
      <c r="J935" s="13">
        <f ca="1">SUM(G935:H935,K935)</f>
        <v>0</v>
      </c>
      <c r="K935" s="13">
        <f ca="1">SUMIF('2.2⑤純増減→前工程費'!B:E,C935,'2.2⑤純増減→前工程費'!E:E)</f>
        <v>0</v>
      </c>
      <c r="L935" s="13">
        <f ca="1">SUMIF('2.6完成品'!C:D,C935,'2.6完成品'!D:D)</f>
        <v>0</v>
      </c>
      <c r="M935" s="13">
        <f ca="1">SUMIF('2.3研究費'!D:E,C935,'2.3研究費'!E:E)</f>
        <v>0</v>
      </c>
      <c r="N935" s="13">
        <f ca="1">SUMIF('2.4販促費'!D:E,C935,'2.4販促費'!E:E)</f>
        <v>0</v>
      </c>
      <c r="O935" s="13">
        <f ca="1">SUMIF('2.5廃棄処分'!D:E,C935,'2.5廃棄処分'!E:E)</f>
        <v>0</v>
      </c>
      <c r="P935" s="13">
        <f ca="1">SUMIF('2.1④異種原液'!D:E,C935,'2.1④異種原液'!E:E)</f>
        <v>0</v>
      </c>
      <c r="Q935" s="14">
        <f ca="1">SUMIF('2.7製造部生産分'!D:I,C935,'2.7製造部生産分'!H:H)</f>
        <v>0</v>
      </c>
      <c r="R935" s="15">
        <f ca="1">-(G935+H935+K935-L935-M935-N935-O935-P935-Q935-S935)</f>
        <v>0</v>
      </c>
      <c r="S935" s="13">
        <f ca="1">SUMIF('2.9原液在庫'!B:H,C935,'2.9原液在庫'!H:H)</f>
        <v>0</v>
      </c>
      <c r="T935" s="16">
        <f ca="1">IFERROR(SUM(G936:K936)/(G935+H935+K935),0)</f>
        <v>0</v>
      </c>
      <c r="U935" s="17" t="str">
        <f>C935</f>
        <v>HIEA</v>
      </c>
      <c r="V935" s="18">
        <f ca="1">IF(ISERROR(SUM(G936:K936)/SUM(L935:Q935,S935)),0,SUM(G936:K936)/SUM(L935:Q935,S935))</f>
        <v>0</v>
      </c>
      <c r="W935" s="19">
        <f ca="1">V935</f>
        <v>0</v>
      </c>
      <c r="X935" s="20">
        <f ca="1">W935/1000</f>
        <v>0</v>
      </c>
    </row>
    <row r="936" spans="1:24">
      <c r="A936" s="212"/>
      <c r="B936" s="212"/>
      <c r="C936" s="201"/>
      <c r="D936" s="199"/>
      <c r="E936" s="199"/>
      <c r="F936" s="21" t="s">
        <v>247</v>
      </c>
      <c r="G936" s="22">
        <v>0</v>
      </c>
      <c r="H936" s="184"/>
      <c r="I936" s="23">
        <f ca="1">I935*労務費経費単価SC!D$7</f>
        <v>0</v>
      </c>
      <c r="J936" s="23">
        <f ca="1">J935*労務費経費単価SC!D$11</f>
        <v>0</v>
      </c>
      <c r="K936" s="22">
        <f ca="1">K935*$E935</f>
        <v>0</v>
      </c>
      <c r="L936" s="22">
        <f ca="1">L935*$E935</f>
        <v>0</v>
      </c>
      <c r="M936" s="22">
        <f t="shared" ref="M936" ca="1" si="3249">M935*$E935</f>
        <v>0</v>
      </c>
      <c r="N936" s="22">
        <f t="shared" ref="N936" ca="1" si="3250">N935*$E935</f>
        <v>0</v>
      </c>
      <c r="O936" s="22">
        <f t="shared" ref="O936" ca="1" si="3251">O935*$E935</f>
        <v>0</v>
      </c>
      <c r="P936" s="22">
        <f t="shared" ref="P936" ca="1" si="3252">P935*$E935</f>
        <v>0</v>
      </c>
      <c r="Q936" s="22">
        <f t="shared" ref="Q936" ca="1" si="3253">Q935*$E935</f>
        <v>0</v>
      </c>
      <c r="R936" s="22">
        <f t="shared" ref="R936" ca="1" si="3254">R935*$E935</f>
        <v>0</v>
      </c>
      <c r="S936" s="22">
        <f t="shared" ref="S936" ca="1" si="3255">S935*$E935</f>
        <v>0</v>
      </c>
      <c r="U936" s="17"/>
      <c r="V936" s="18"/>
      <c r="W936" s="19"/>
      <c r="X936" s="20"/>
    </row>
    <row r="937" spans="1:24">
      <c r="A937" s="200"/>
      <c r="B937" s="211"/>
      <c r="C937" s="200" t="s">
        <v>229</v>
      </c>
      <c r="D937" s="199" t="str">
        <f>VLOOKUP(C937,'仕掛品名寄（貼付）'!B:C,2,FALSE)</f>
        <v>その他</v>
      </c>
      <c r="E937" s="199">
        <f>VLOOKUP(D937,'仕掛品標準単価一覧表（貼付）'!B:G,6,FALSE)</f>
        <v>1080</v>
      </c>
      <c r="F937" s="12" t="s">
        <v>246</v>
      </c>
      <c r="G937" s="24">
        <v>826.91000000000054</v>
      </c>
      <c r="H937" s="13">
        <f ca="1">SUMIF('1.3②原材料使用'!B:E,C937,'1.3②原材料使用'!E:E)</f>
        <v>0</v>
      </c>
      <c r="I937" s="13">
        <f ca="1">SUMIF('2.10原液別作業時間'!A:B,C937,'2.10原液別作業時間'!B:B)</f>
        <v>0</v>
      </c>
      <c r="J937" s="13">
        <f ca="1">SUM(G937:H937,K937)</f>
        <v>826.91000000000054</v>
      </c>
      <c r="K937" s="13">
        <f ca="1">SUMIF('2.2⑤純増減→前工程費'!B:E,C937,'2.2⑤純増減→前工程費'!E:E)</f>
        <v>0</v>
      </c>
      <c r="L937" s="13">
        <f ca="1">SUMIF('2.6完成品'!C:D,C937,'2.6完成品'!D:D)</f>
        <v>0</v>
      </c>
      <c r="M937" s="13">
        <f ca="1">SUMIF('2.3研究費'!D:E,C937,'2.3研究費'!E:E)</f>
        <v>0</v>
      </c>
      <c r="N937" s="13">
        <f ca="1">SUMIF('2.4販促費'!D:E,C937,'2.4販促費'!E:E)</f>
        <v>0</v>
      </c>
      <c r="O937" s="13">
        <f ca="1">SUMIF('2.5廃棄処分'!D:E,C937,'2.5廃棄処分'!E:E)</f>
        <v>0</v>
      </c>
      <c r="P937" s="13">
        <f ca="1">SUMIF('2.1④異種原液'!D:E,C937,'2.1④異種原液'!E:E)</f>
        <v>0</v>
      </c>
      <c r="Q937" s="14">
        <f ca="1">SUMIF('2.7製造部生産分'!D:I,C937,'2.7製造部生産分'!H:H)</f>
        <v>0</v>
      </c>
      <c r="R937" s="15">
        <f ca="1">-(G937+H937+K937-L937-M937-N937-O937-P937-Q937-S937)</f>
        <v>0</v>
      </c>
      <c r="S937" s="13">
        <f ca="1">SUMIF('2.9原液在庫'!B:H,C937,'2.9原液在庫'!H:H)</f>
        <v>826.91000000000054</v>
      </c>
      <c r="T937" s="16">
        <f ca="1">IFERROR(SUM(G938:K938)/(G937+H937+K937),0)</f>
        <v>9213.8264441664469</v>
      </c>
      <c r="U937" s="17" t="str">
        <f>C937</f>
        <v>USA</v>
      </c>
      <c r="V937" s="18">
        <f ca="1">IF(ISERROR(SUM(G938:K938)/SUM(L937:Q937,S937)),0,SUM(G938:K938)/SUM(L937:Q937,S937))</f>
        <v>9213.8264441664469</v>
      </c>
      <c r="W937" s="19">
        <f ca="1">V937</f>
        <v>9213.8264441664469</v>
      </c>
      <c r="X937" s="20">
        <f ca="1">W937/1000</f>
        <v>9.2138264441664468</v>
      </c>
    </row>
    <row r="938" spans="1:24">
      <c r="A938" s="212"/>
      <c r="B938" s="212"/>
      <c r="C938" s="201"/>
      <c r="D938" s="199"/>
      <c r="E938" s="199"/>
      <c r="F938" s="21" t="s">
        <v>247</v>
      </c>
      <c r="G938" s="22">
        <v>7594197.9249456814</v>
      </c>
      <c r="H938" s="184"/>
      <c r="I938" s="23">
        <f ca="1">I937*労務費経費単価SC!D$7</f>
        <v>0</v>
      </c>
      <c r="J938" s="23">
        <f ca="1">J937*労務費経費単価SC!D$11</f>
        <v>24807.300000000017</v>
      </c>
      <c r="K938" s="22">
        <f ca="1">K937*$E937</f>
        <v>0</v>
      </c>
      <c r="L938" s="22">
        <f ca="1">L937*$E937</f>
        <v>0</v>
      </c>
      <c r="M938" s="22">
        <f t="shared" ref="M938" ca="1" si="3256">M937*$E937</f>
        <v>0</v>
      </c>
      <c r="N938" s="22">
        <f t="shared" ref="N938" ca="1" si="3257">N937*$E937</f>
        <v>0</v>
      </c>
      <c r="O938" s="22">
        <f t="shared" ref="O938" ca="1" si="3258">O937*$E937</f>
        <v>0</v>
      </c>
      <c r="P938" s="22">
        <f t="shared" ref="P938" ca="1" si="3259">P937*$E937</f>
        <v>0</v>
      </c>
      <c r="Q938" s="22">
        <f t="shared" ref="Q938" ca="1" si="3260">Q937*$E937</f>
        <v>0</v>
      </c>
      <c r="R938" s="22">
        <f t="shared" ref="R938" ca="1" si="3261">R937*$E937</f>
        <v>0</v>
      </c>
      <c r="S938" s="22">
        <f t="shared" ref="S938" ca="1" si="3262">S937*$E937</f>
        <v>893062.80000000063</v>
      </c>
      <c r="U938" s="17"/>
      <c r="V938" s="18"/>
      <c r="W938" s="19"/>
      <c r="X938" s="20"/>
    </row>
    <row r="939" spans="1:24">
      <c r="A939" s="200"/>
      <c r="B939" s="211"/>
      <c r="C939" s="200" t="s">
        <v>167</v>
      </c>
      <c r="D939" s="199" t="str">
        <f>VLOOKUP(C939,'仕掛品名寄（貼付）'!B:C,2,FALSE)</f>
        <v>その他</v>
      </c>
      <c r="E939" s="199">
        <f>VLOOKUP(D939,'仕掛品標準単価一覧表（貼付）'!B:G,6,FALSE)</f>
        <v>1080</v>
      </c>
      <c r="F939" s="12" t="s">
        <v>246</v>
      </c>
      <c r="G939" s="24">
        <v>0</v>
      </c>
      <c r="H939" s="13">
        <f ca="1">SUMIF('1.3②原材料使用'!B:E,C939,'1.3②原材料使用'!E:E)</f>
        <v>0</v>
      </c>
      <c r="I939" s="13">
        <f ca="1">SUMIF('2.10原液別作業時間'!A:B,C939,'2.10原液別作業時間'!B:B)</f>
        <v>0</v>
      </c>
      <c r="J939" s="13">
        <f ca="1">SUM(G939:H939,K939)</f>
        <v>0</v>
      </c>
      <c r="K939" s="13">
        <f ca="1">SUMIF('2.2⑤純増減→前工程費'!B:E,C939,'2.2⑤純増減→前工程費'!E:E)</f>
        <v>0</v>
      </c>
      <c r="L939" s="13">
        <f ca="1">SUMIF('2.6完成品'!C:D,C939,'2.6完成品'!D:D)</f>
        <v>0</v>
      </c>
      <c r="M939" s="13">
        <f ca="1">SUMIF('2.3研究費'!D:E,C939,'2.3研究費'!E:E)</f>
        <v>0</v>
      </c>
      <c r="N939" s="13">
        <f ca="1">SUMIF('2.4販促費'!D:E,C939,'2.4販促費'!E:E)</f>
        <v>0</v>
      </c>
      <c r="O939" s="13">
        <f ca="1">SUMIF('2.5廃棄処分'!D:E,C939,'2.5廃棄処分'!E:E)</f>
        <v>0</v>
      </c>
      <c r="P939" s="13">
        <f ca="1">SUMIF('2.1④異種原液'!D:E,C939,'2.1④異種原液'!E:E)</f>
        <v>0</v>
      </c>
      <c r="Q939" s="14">
        <f ca="1">SUMIF('2.7製造部生産分'!D:I,C939,'2.7製造部生産分'!H:H)</f>
        <v>0</v>
      </c>
      <c r="R939" s="15">
        <f ca="1">-(G939+H939+K939-L939-M939-N939-O939-P939-Q939-S939)</f>
        <v>0</v>
      </c>
      <c r="S939" s="13">
        <f ca="1">SUMIF('2.9原液在庫'!B:H,C939,'2.9原液在庫'!H:H)</f>
        <v>0</v>
      </c>
      <c r="T939" s="16">
        <f ca="1">IFERROR(SUM(G940:K940)/(G939+H939+K939),0)</f>
        <v>0</v>
      </c>
      <c r="U939" s="17" t="str">
        <f>C939</f>
        <v>OWT</v>
      </c>
      <c r="V939" s="18">
        <f ca="1">IF(ISERROR(SUM(G940:K940)/SUM(L939:Q939,S939)),0,SUM(G940:K940)/SUM(L939:Q939,S939))</f>
        <v>0</v>
      </c>
      <c r="W939" s="19">
        <f ca="1">V939</f>
        <v>0</v>
      </c>
      <c r="X939" s="20">
        <f ca="1">W939/1000</f>
        <v>0</v>
      </c>
    </row>
    <row r="940" spans="1:24">
      <c r="A940" s="212"/>
      <c r="B940" s="212"/>
      <c r="C940" s="201"/>
      <c r="D940" s="199"/>
      <c r="E940" s="199"/>
      <c r="F940" s="21" t="s">
        <v>247</v>
      </c>
      <c r="G940" s="22" t="s">
        <v>254</v>
      </c>
      <c r="H940" s="184"/>
      <c r="I940" s="23">
        <f ca="1">I939*労務費経費単価SC!D$7</f>
        <v>0</v>
      </c>
      <c r="J940" s="23">
        <f ca="1">J939*労務費経費単価SC!D$11</f>
        <v>0</v>
      </c>
      <c r="K940" s="22">
        <f ca="1">K939*$E939</f>
        <v>0</v>
      </c>
      <c r="L940" s="22">
        <f ca="1">L939*$E939</f>
        <v>0</v>
      </c>
      <c r="M940" s="22">
        <f t="shared" ref="M940" ca="1" si="3263">M939*$E939</f>
        <v>0</v>
      </c>
      <c r="N940" s="22">
        <f t="shared" ref="N940" ca="1" si="3264">N939*$E939</f>
        <v>0</v>
      </c>
      <c r="O940" s="22">
        <f t="shared" ref="O940" ca="1" si="3265">O939*$E939</f>
        <v>0</v>
      </c>
      <c r="P940" s="22">
        <f t="shared" ref="P940" ca="1" si="3266">P939*$E939</f>
        <v>0</v>
      </c>
      <c r="Q940" s="22">
        <f t="shared" ref="Q940" ca="1" si="3267">Q939*$E939</f>
        <v>0</v>
      </c>
      <c r="R940" s="22">
        <f t="shared" ref="R940" ca="1" si="3268">R939*$E939</f>
        <v>0</v>
      </c>
      <c r="S940" s="22">
        <f t="shared" ref="S940" ca="1" si="3269">S939*$E939</f>
        <v>0</v>
      </c>
      <c r="U940" s="17"/>
      <c r="V940" s="18"/>
      <c r="W940" s="19"/>
      <c r="X940" s="20"/>
    </row>
    <row r="941" spans="1:24">
      <c r="A941" s="215"/>
      <c r="B941" s="217"/>
      <c r="C941" s="215" t="s">
        <v>568</v>
      </c>
      <c r="D941" s="199" t="str">
        <f>VLOOKUP(C941,'仕掛品名寄（貼付）'!B:C,2,FALSE)</f>
        <v>Rリ</v>
      </c>
      <c r="E941" s="199">
        <f>VLOOKUP(D941,'仕掛品標準単価一覧表（貼付）'!B:G,6,FALSE)</f>
        <v>996.11839999999995</v>
      </c>
      <c r="F941" s="12" t="s">
        <v>246</v>
      </c>
      <c r="G941" s="24">
        <v>0</v>
      </c>
      <c r="H941" s="13">
        <f ca="1">SUMIF('1.3②原材料使用'!B:E,C941,'1.3②原材料使用'!E:E)</f>
        <v>0</v>
      </c>
      <c r="I941" s="13">
        <f ca="1">SUMIF('2.10原液別作業時間'!A:B,C941,'2.10原液別作業時間'!B:B)</f>
        <v>660</v>
      </c>
      <c r="J941" s="13">
        <f ca="1">SUM(G941:H941,K941)</f>
        <v>0</v>
      </c>
      <c r="K941" s="13">
        <f ca="1">SUMIF('2.2⑤純増減→前工程費'!B:E,C941,'2.2⑤純増減→前工程費'!E:E)</f>
        <v>0</v>
      </c>
      <c r="L941" s="13">
        <f ca="1">SUMIF('2.6完成品'!C:D,C941,'2.6完成品'!D:D)</f>
        <v>0</v>
      </c>
      <c r="M941" s="13">
        <f ca="1">SUMIF('2.3研究費'!D:E,C941,'2.3研究費'!E:E)</f>
        <v>0</v>
      </c>
      <c r="N941" s="13">
        <f ca="1">SUMIF('2.4販促費'!D:E,C941,'2.4販促費'!E:E)</f>
        <v>0</v>
      </c>
      <c r="O941" s="13">
        <f ca="1">SUMIF('2.5廃棄処分'!D:E,C941,'2.5廃棄処分'!E:E)</f>
        <v>0</v>
      </c>
      <c r="P941" s="13">
        <f ca="1">SUMIF('2.1④異種原液'!D:E,C941,'2.1④異種原液'!E:E)</f>
        <v>0</v>
      </c>
      <c r="Q941" s="14">
        <f ca="1">SUMIF('2.7製造部生産分'!D:I,C941,'2.7製造部生産分'!H:H)</f>
        <v>0</v>
      </c>
      <c r="R941" s="15">
        <f ca="1">-(G941+H941+K941-L941-M941-N941-O941-P941-Q941-S941)</f>
        <v>0</v>
      </c>
      <c r="S941" s="13">
        <f ca="1">SUMIF('2.9原液在庫'!B:H,C941,'2.9原液在庫'!H:H)</f>
        <v>0</v>
      </c>
      <c r="T941" s="16">
        <f ca="1">IFERROR(SUM(G942:K942)/(G941+H941+K941),0)</f>
        <v>0</v>
      </c>
      <c r="U941" s="17" t="str">
        <f>C941</f>
        <v>Rﾘ</v>
      </c>
      <c r="V941" s="18">
        <f ca="1">IF(ISERROR(SUM(G942:K942)/SUM(L941:Q941,S941)),0,SUM(G942:K942)/SUM(L941:Q941,S941))</f>
        <v>0</v>
      </c>
      <c r="W941" s="19">
        <f ca="1">V941</f>
        <v>0</v>
      </c>
      <c r="X941" s="20">
        <f ca="1">W941/1000</f>
        <v>0</v>
      </c>
    </row>
    <row r="942" spans="1:24">
      <c r="A942" s="216"/>
      <c r="B942" s="216"/>
      <c r="C942" s="218"/>
      <c r="D942" s="199"/>
      <c r="E942" s="199"/>
      <c r="F942" s="21" t="s">
        <v>247</v>
      </c>
      <c r="G942" s="22" t="s">
        <v>254</v>
      </c>
      <c r="H942" s="184"/>
      <c r="I942" s="23">
        <f ca="1">I941*労務費経費単価SC!D$7</f>
        <v>303600</v>
      </c>
      <c r="J942" s="23">
        <f ca="1">J941*労務費経費単価SC!D$11</f>
        <v>0</v>
      </c>
      <c r="K942" s="22">
        <f ca="1">K941*$E941</f>
        <v>0</v>
      </c>
      <c r="L942" s="22">
        <f ca="1">L941*$E941</f>
        <v>0</v>
      </c>
      <c r="M942" s="22">
        <f t="shared" ref="M942" ca="1" si="3270">M941*$E941</f>
        <v>0</v>
      </c>
      <c r="N942" s="22">
        <f t="shared" ref="N942" ca="1" si="3271">N941*$E941</f>
        <v>0</v>
      </c>
      <c r="O942" s="22">
        <f t="shared" ref="O942" ca="1" si="3272">O941*$E941</f>
        <v>0</v>
      </c>
      <c r="P942" s="22">
        <f t="shared" ref="P942" ca="1" si="3273">P941*$E941</f>
        <v>0</v>
      </c>
      <c r="Q942" s="22">
        <f t="shared" ref="Q942" ca="1" si="3274">Q941*$E941</f>
        <v>0</v>
      </c>
      <c r="R942" s="22">
        <f t="shared" ref="R942" ca="1" si="3275">R941*$E941</f>
        <v>0</v>
      </c>
      <c r="S942" s="22">
        <f t="shared" ref="S942" ca="1" si="3276">S941*$E941</f>
        <v>0</v>
      </c>
      <c r="U942" s="17"/>
      <c r="V942" s="18"/>
      <c r="W942" s="19"/>
      <c r="X942" s="20"/>
    </row>
    <row r="943" spans="1:24">
      <c r="A943" s="200"/>
      <c r="B943" s="211"/>
      <c r="C943" s="200"/>
      <c r="D943" s="200"/>
      <c r="E943" s="200"/>
      <c r="F943" s="12"/>
      <c r="G943" s="24"/>
      <c r="H943" s="13"/>
      <c r="I943" s="13"/>
      <c r="J943" s="13"/>
      <c r="K943" s="13"/>
      <c r="L943" s="13"/>
      <c r="M943" s="13"/>
      <c r="N943" s="13"/>
      <c r="O943" s="13"/>
      <c r="P943" s="13"/>
      <c r="Q943" s="14"/>
      <c r="R943" s="15"/>
      <c r="S943" s="13"/>
      <c r="U943" s="17"/>
      <c r="V943" s="18"/>
      <c r="W943" s="19"/>
      <c r="X943" s="20"/>
    </row>
    <row r="944" spans="1:24">
      <c r="A944" s="201"/>
      <c r="B944" s="201"/>
      <c r="C944" s="201"/>
      <c r="D944" s="201"/>
      <c r="E944" s="201"/>
      <c r="F944" s="21"/>
      <c r="G944" s="22"/>
      <c r="H944" s="23"/>
      <c r="I944" s="23"/>
      <c r="J944" s="23"/>
      <c r="K944" s="23"/>
      <c r="L944" s="22"/>
      <c r="M944" s="22"/>
      <c r="N944" s="22"/>
      <c r="O944" s="22"/>
      <c r="P944" s="22"/>
      <c r="Q944" s="22"/>
      <c r="R944" s="22"/>
      <c r="S944" s="22"/>
      <c r="U944" s="17"/>
      <c r="V944" s="18"/>
      <c r="W944" s="19"/>
      <c r="X944" s="20"/>
    </row>
    <row r="945" spans="1:24">
      <c r="A945" s="11" t="s">
        <v>569</v>
      </c>
      <c r="B945" s="11"/>
      <c r="C945" s="11"/>
      <c r="D945" s="11"/>
      <c r="E945" s="11"/>
      <c r="F945" s="12" t="s">
        <v>246</v>
      </c>
      <c r="G945" s="24">
        <f t="shared" ref="G945:P945" si="3277">SUMIF($F$5:$F$944,"数量",G5:G944)</f>
        <v>5556625.4949999694</v>
      </c>
      <c r="H945" s="13">
        <f t="shared" ca="1" si="3277"/>
        <v>114478.11099999999</v>
      </c>
      <c r="I945" s="13">
        <f t="shared" ca="1" si="3277"/>
        <v>246945</v>
      </c>
      <c r="J945" s="13">
        <f t="shared" ca="1" si="3277"/>
        <v>6057785.3159999717</v>
      </c>
      <c r="K945" s="13">
        <f t="shared" ca="1" si="3277"/>
        <v>386681.71000000054</v>
      </c>
      <c r="L945" s="13">
        <f t="shared" ca="1" si="3277"/>
        <v>111416.6</v>
      </c>
      <c r="M945" s="13">
        <f t="shared" ca="1" si="3277"/>
        <v>162.24999999999991</v>
      </c>
      <c r="N945" s="13">
        <f t="shared" ca="1" si="3277"/>
        <v>306.7</v>
      </c>
      <c r="O945" s="13">
        <f t="shared" ca="1" si="3277"/>
        <v>6118.1</v>
      </c>
      <c r="P945" s="13">
        <f t="shared" ca="1" si="3277"/>
        <v>400779.63</v>
      </c>
      <c r="Q945" s="13">
        <f t="shared" ref="Q945:S945" ca="1" si="3278">SUMIF($F$5:$F$944,"数量",Q5:Q944)</f>
        <v>65228</v>
      </c>
      <c r="R945" s="13">
        <f t="shared" ca="1" si="3278"/>
        <v>9682.0870000005198</v>
      </c>
      <c r="S945" s="13">
        <f t="shared" ca="1" si="3278"/>
        <v>5483456.1229999736</v>
      </c>
      <c r="U945" s="28" t="str">
        <f ca="1">IF(J945-SUM(L945:Q945)+R945=S945,"ok",(J945-SUM(L945:Q945)+R945-S945))</f>
        <v>ok</v>
      </c>
      <c r="W945" s="19">
        <f>V945</f>
        <v>0</v>
      </c>
    </row>
    <row r="946" spans="1:24" s="160" customFormat="1">
      <c r="A946" s="130"/>
      <c r="B946" s="130"/>
      <c r="C946" s="130"/>
      <c r="D946" s="130"/>
      <c r="E946" s="130"/>
      <c r="F946" s="157" t="s">
        <v>247</v>
      </c>
      <c r="G946" s="158">
        <f>SUMIF($F$5:$F$944,"金額",G5:G944)</f>
        <v>5002428150.0704803</v>
      </c>
      <c r="H946" s="182">
        <v>83005479.881534502</v>
      </c>
      <c r="I946" s="158">
        <f t="shared" ref="I946:J946" ca="1" si="3279">SUMIF($F$5:$F$944,"金額",I5:I944)</f>
        <v>113594700</v>
      </c>
      <c r="J946" s="158">
        <f t="shared" ca="1" si="3279"/>
        <v>181733559.47999915</v>
      </c>
      <c r="K946" s="158">
        <f t="shared" ref="K946:O946" ca="1" si="3280">SUMIF($F$5:$F$944,"金額",K5:K944)</f>
        <v>508557443.41160029</v>
      </c>
      <c r="L946" s="159">
        <f t="shared" ca="1" si="3280"/>
        <v>156736337.31176004</v>
      </c>
      <c r="M946" s="159">
        <f t="shared" ca="1" si="3280"/>
        <v>223806.18455999999</v>
      </c>
      <c r="N946" s="159">
        <f t="shared" ca="1" si="3280"/>
        <v>322538.83540439472</v>
      </c>
      <c r="O946" s="159">
        <f t="shared" ca="1" si="3280"/>
        <v>6606711.9440039089</v>
      </c>
      <c r="P946" s="159">
        <f t="shared" ref="P946:S946" ca="1" si="3281">SUMIF($F$5:$F$944,"金額",P5:P944)</f>
        <v>446397147.4576</v>
      </c>
      <c r="Q946" s="159">
        <f t="shared" ca="1" si="3281"/>
        <v>83224532.84799999</v>
      </c>
      <c r="R946" s="159">
        <f t="shared" ca="1" si="3281"/>
        <v>1830940.6568106669</v>
      </c>
      <c r="S946" s="159">
        <f t="shared" ca="1" si="3281"/>
        <v>5309904651.2622843</v>
      </c>
      <c r="U946" s="161">
        <f ca="1">IF(SUM(G946:K946)-SUM(L946:P946)+R946=S946,"ok",(SUM(G946:K946)-SUM(L946:P946)+R946-S946))</f>
        <v>-29040919.495186806</v>
      </c>
      <c r="V946" s="162" t="s">
        <v>570</v>
      </c>
      <c r="W946" s="163"/>
      <c r="X946" s="164"/>
    </row>
    <row r="947" spans="1:24">
      <c r="H947" s="183" t="s">
        <v>1723</v>
      </c>
    </row>
    <row r="948" spans="1:24" s="122" customFormat="1">
      <c r="A948" s="121"/>
      <c r="B948" s="121"/>
      <c r="C948" s="121" t="s">
        <v>1717</v>
      </c>
      <c r="D948" s="121"/>
      <c r="E948" s="121"/>
      <c r="G948" s="123"/>
      <c r="H948" s="124" t="b">
        <f ca="1">仕掛品SC明細!H945=SUM('1.3②原材料使用'!E:E)</f>
        <v>1</v>
      </c>
      <c r="I948" s="122" t="b">
        <f ca="1">I945='2.10原液別作業時間'!B4</f>
        <v>1</v>
      </c>
      <c r="K948" s="124" t="b">
        <f ca="1">K945=SUM('2.2⑤純増減→前工程費'!E:E)</f>
        <v>1</v>
      </c>
      <c r="L948" s="124" t="b">
        <f ca="1">L945=SUM('2.6完成品'!D:D)</f>
        <v>1</v>
      </c>
      <c r="M948" s="124" t="b">
        <f ca="1">M945=SUM('2.3研究費'!E:E)</f>
        <v>1</v>
      </c>
      <c r="N948" s="124" t="b">
        <f ca="1">N945=SUM('2.4販促費'!E:E)</f>
        <v>1</v>
      </c>
      <c r="O948" s="124" t="b">
        <f ca="1">O945=SUM('2.5廃棄処分'!E:E)</f>
        <v>1</v>
      </c>
      <c r="P948" s="122" t="b">
        <f ca="1">P945=SUM('2.1④異種原液'!E:E)</f>
        <v>1</v>
      </c>
      <c r="Q948" s="122" t="b">
        <f ca="1">Q945=SUM('2.7製造部生産分'!H35)</f>
        <v>1</v>
      </c>
      <c r="R948" s="124" t="b">
        <f ca="1">ROUND(G945+H945+K945-L945-M945-N945-O945-P945-Q945-S945,0)=ROUND(-R945,0)</f>
        <v>1</v>
      </c>
      <c r="S948" s="124" t="b">
        <f ca="1">S945=SUM('2.9原液在庫'!H:H)</f>
        <v>1</v>
      </c>
      <c r="U948" s="125"/>
      <c r="V948" s="126"/>
      <c r="W948" s="127"/>
      <c r="X948" s="128"/>
    </row>
    <row r="949" spans="1:24" s="168" customFormat="1">
      <c r="A949" s="167"/>
      <c r="B949" s="167"/>
      <c r="C949" s="167" t="s">
        <v>1718</v>
      </c>
      <c r="D949" s="167"/>
      <c r="E949" s="167"/>
      <c r="G949" s="169"/>
      <c r="H949" s="170"/>
      <c r="I949" s="168" t="b">
        <f ca="1">I945*労務費経費単価SC!D7=仕掛品SC明細!I946</f>
        <v>1</v>
      </c>
      <c r="J949" s="168" t="b">
        <f ca="1">J945*労務費経費単価SC!D11=仕掛品SC明細!J946</f>
        <v>1</v>
      </c>
      <c r="K949" s="170"/>
      <c r="L949" s="170"/>
      <c r="M949" s="170"/>
      <c r="N949" s="170"/>
      <c r="O949" s="170"/>
      <c r="R949" s="170"/>
      <c r="S949" s="170"/>
      <c r="U949" s="171"/>
      <c r="V949" s="172"/>
      <c r="W949" s="173"/>
      <c r="X949" s="174"/>
    </row>
  </sheetData>
  <autoFilter ref="A4:Y942" xr:uid="{00000000-0009-0000-0000-000002000000}"/>
  <mergeCells count="1999">
    <mergeCell ref="A941:A942"/>
    <mergeCell ref="B941:B942"/>
    <mergeCell ref="C941:C942"/>
    <mergeCell ref="A943:A944"/>
    <mergeCell ref="B943:B944"/>
    <mergeCell ref="C943:C944"/>
    <mergeCell ref="A937:A938"/>
    <mergeCell ref="B937:B938"/>
    <mergeCell ref="C937:C938"/>
    <mergeCell ref="A939:A940"/>
    <mergeCell ref="B939:B940"/>
    <mergeCell ref="C939:C940"/>
    <mergeCell ref="A933:A934"/>
    <mergeCell ref="B933:B934"/>
    <mergeCell ref="C933:C934"/>
    <mergeCell ref="A935:A936"/>
    <mergeCell ref="B935:B936"/>
    <mergeCell ref="C935:C936"/>
    <mergeCell ref="A929:A930"/>
    <mergeCell ref="B929:B930"/>
    <mergeCell ref="C929:C930"/>
    <mergeCell ref="A931:A932"/>
    <mergeCell ref="B931:B932"/>
    <mergeCell ref="C931:C932"/>
    <mergeCell ref="A925:A926"/>
    <mergeCell ref="B925:B926"/>
    <mergeCell ref="C925:C926"/>
    <mergeCell ref="A927:A928"/>
    <mergeCell ref="B927:B928"/>
    <mergeCell ref="C927:C928"/>
    <mergeCell ref="A921:A922"/>
    <mergeCell ref="B921:B922"/>
    <mergeCell ref="C921:C922"/>
    <mergeCell ref="A923:A924"/>
    <mergeCell ref="B923:B924"/>
    <mergeCell ref="C923:C924"/>
    <mergeCell ref="A917:A918"/>
    <mergeCell ref="B917:B918"/>
    <mergeCell ref="C917:C918"/>
    <mergeCell ref="A919:A920"/>
    <mergeCell ref="B919:B920"/>
    <mergeCell ref="C919:C920"/>
    <mergeCell ref="A913:A914"/>
    <mergeCell ref="B913:B914"/>
    <mergeCell ref="C913:C914"/>
    <mergeCell ref="A915:A916"/>
    <mergeCell ref="B915:B916"/>
    <mergeCell ref="C915:C916"/>
    <mergeCell ref="A909:A910"/>
    <mergeCell ref="B909:B910"/>
    <mergeCell ref="C909:C910"/>
    <mergeCell ref="A911:A912"/>
    <mergeCell ref="B911:B912"/>
    <mergeCell ref="C911:C912"/>
    <mergeCell ref="A905:A906"/>
    <mergeCell ref="B905:B906"/>
    <mergeCell ref="C905:C906"/>
    <mergeCell ref="A907:A908"/>
    <mergeCell ref="B907:B908"/>
    <mergeCell ref="C907:C908"/>
    <mergeCell ref="A901:A902"/>
    <mergeCell ref="B901:B902"/>
    <mergeCell ref="C901:C902"/>
    <mergeCell ref="A903:A904"/>
    <mergeCell ref="B903:B904"/>
    <mergeCell ref="C903:C904"/>
    <mergeCell ref="A897:A898"/>
    <mergeCell ref="B897:B898"/>
    <mergeCell ref="C897:C898"/>
    <mergeCell ref="A899:A900"/>
    <mergeCell ref="B899:B900"/>
    <mergeCell ref="C899:C900"/>
    <mergeCell ref="A893:A894"/>
    <mergeCell ref="B893:B894"/>
    <mergeCell ref="C893:C894"/>
    <mergeCell ref="A895:A896"/>
    <mergeCell ref="B895:B896"/>
    <mergeCell ref="C895:C896"/>
    <mergeCell ref="A889:A890"/>
    <mergeCell ref="B889:B890"/>
    <mergeCell ref="C889:C890"/>
    <mergeCell ref="A891:A892"/>
    <mergeCell ref="B891:B892"/>
    <mergeCell ref="C891:C892"/>
    <mergeCell ref="A885:A886"/>
    <mergeCell ref="B885:B886"/>
    <mergeCell ref="C885:C886"/>
    <mergeCell ref="A887:A888"/>
    <mergeCell ref="B887:B888"/>
    <mergeCell ref="C887:C888"/>
    <mergeCell ref="A881:A882"/>
    <mergeCell ref="B881:B882"/>
    <mergeCell ref="C881:C882"/>
    <mergeCell ref="A883:A884"/>
    <mergeCell ref="B883:B884"/>
    <mergeCell ref="C883:C884"/>
    <mergeCell ref="A877:A878"/>
    <mergeCell ref="B877:B878"/>
    <mergeCell ref="C877:C878"/>
    <mergeCell ref="A879:A880"/>
    <mergeCell ref="B879:B880"/>
    <mergeCell ref="C879:C880"/>
    <mergeCell ref="A873:A874"/>
    <mergeCell ref="B873:B874"/>
    <mergeCell ref="C873:C874"/>
    <mergeCell ref="A875:A876"/>
    <mergeCell ref="B875:B876"/>
    <mergeCell ref="C875:C876"/>
    <mergeCell ref="A869:A870"/>
    <mergeCell ref="B869:B870"/>
    <mergeCell ref="C869:C870"/>
    <mergeCell ref="A871:A872"/>
    <mergeCell ref="B871:B872"/>
    <mergeCell ref="C871:C872"/>
    <mergeCell ref="A865:A866"/>
    <mergeCell ref="B865:B866"/>
    <mergeCell ref="C865:C866"/>
    <mergeCell ref="A867:A868"/>
    <mergeCell ref="B867:B868"/>
    <mergeCell ref="C867:C868"/>
    <mergeCell ref="A861:A862"/>
    <mergeCell ref="B861:B862"/>
    <mergeCell ref="C861:C862"/>
    <mergeCell ref="A863:A864"/>
    <mergeCell ref="B863:B864"/>
    <mergeCell ref="C863:C864"/>
    <mergeCell ref="A857:A858"/>
    <mergeCell ref="B857:B858"/>
    <mergeCell ref="C857:C858"/>
    <mergeCell ref="A859:A860"/>
    <mergeCell ref="B859:B860"/>
    <mergeCell ref="C859:C860"/>
    <mergeCell ref="A853:A854"/>
    <mergeCell ref="B853:B854"/>
    <mergeCell ref="C853:C854"/>
    <mergeCell ref="A855:A856"/>
    <mergeCell ref="B855:B856"/>
    <mergeCell ref="C855:C856"/>
    <mergeCell ref="A849:A850"/>
    <mergeCell ref="B849:B850"/>
    <mergeCell ref="C849:C850"/>
    <mergeCell ref="A851:A852"/>
    <mergeCell ref="B851:B852"/>
    <mergeCell ref="C851:C852"/>
    <mergeCell ref="A845:A846"/>
    <mergeCell ref="B845:B846"/>
    <mergeCell ref="C845:C846"/>
    <mergeCell ref="A847:A848"/>
    <mergeCell ref="B847:B848"/>
    <mergeCell ref="C847:C848"/>
    <mergeCell ref="A841:A842"/>
    <mergeCell ref="B841:B842"/>
    <mergeCell ref="C841:C842"/>
    <mergeCell ref="A843:A844"/>
    <mergeCell ref="B843:B844"/>
    <mergeCell ref="C843:C844"/>
    <mergeCell ref="A837:A838"/>
    <mergeCell ref="B837:B838"/>
    <mergeCell ref="C837:C838"/>
    <mergeCell ref="A839:A840"/>
    <mergeCell ref="B839:B840"/>
    <mergeCell ref="C839:C840"/>
    <mergeCell ref="A833:A834"/>
    <mergeCell ref="B833:B834"/>
    <mergeCell ref="C833:C834"/>
    <mergeCell ref="A835:A836"/>
    <mergeCell ref="B835:B836"/>
    <mergeCell ref="C835:C836"/>
    <mergeCell ref="A829:A830"/>
    <mergeCell ref="B829:B830"/>
    <mergeCell ref="C829:C830"/>
    <mergeCell ref="A831:A832"/>
    <mergeCell ref="B831:B832"/>
    <mergeCell ref="C831:C832"/>
    <mergeCell ref="A825:A826"/>
    <mergeCell ref="B825:B826"/>
    <mergeCell ref="C825:C826"/>
    <mergeCell ref="A827:A828"/>
    <mergeCell ref="B827:B828"/>
    <mergeCell ref="C827:C828"/>
    <mergeCell ref="A821:A822"/>
    <mergeCell ref="B821:B822"/>
    <mergeCell ref="C821:C822"/>
    <mergeCell ref="A823:A824"/>
    <mergeCell ref="B823:B824"/>
    <mergeCell ref="C823:C824"/>
    <mergeCell ref="A817:A818"/>
    <mergeCell ref="B817:B818"/>
    <mergeCell ref="C817:C818"/>
    <mergeCell ref="A819:A820"/>
    <mergeCell ref="B819:B820"/>
    <mergeCell ref="C819:C820"/>
    <mergeCell ref="A813:A814"/>
    <mergeCell ref="B813:B814"/>
    <mergeCell ref="C813:C814"/>
    <mergeCell ref="A815:A816"/>
    <mergeCell ref="B815:B816"/>
    <mergeCell ref="C815:C816"/>
    <mergeCell ref="A809:A810"/>
    <mergeCell ref="B809:B810"/>
    <mergeCell ref="C809:C810"/>
    <mergeCell ref="A811:A812"/>
    <mergeCell ref="B811:B812"/>
    <mergeCell ref="C811:C812"/>
    <mergeCell ref="A805:A806"/>
    <mergeCell ref="B805:B806"/>
    <mergeCell ref="C805:C806"/>
    <mergeCell ref="A807:A808"/>
    <mergeCell ref="B807:B808"/>
    <mergeCell ref="C807:C808"/>
    <mergeCell ref="A801:A802"/>
    <mergeCell ref="B801:B802"/>
    <mergeCell ref="C801:C802"/>
    <mergeCell ref="A803:A804"/>
    <mergeCell ref="B803:B804"/>
    <mergeCell ref="C803:C804"/>
    <mergeCell ref="A797:A798"/>
    <mergeCell ref="B797:B798"/>
    <mergeCell ref="C797:C798"/>
    <mergeCell ref="A799:A800"/>
    <mergeCell ref="B799:B800"/>
    <mergeCell ref="C799:C800"/>
    <mergeCell ref="A793:A794"/>
    <mergeCell ref="B793:B794"/>
    <mergeCell ref="C793:C794"/>
    <mergeCell ref="A795:A796"/>
    <mergeCell ref="B795:B796"/>
    <mergeCell ref="C795:C796"/>
    <mergeCell ref="A789:A790"/>
    <mergeCell ref="B789:B790"/>
    <mergeCell ref="C789:C790"/>
    <mergeCell ref="A791:A792"/>
    <mergeCell ref="B791:B792"/>
    <mergeCell ref="C791:C792"/>
    <mergeCell ref="A785:A786"/>
    <mergeCell ref="B785:B786"/>
    <mergeCell ref="C785:C786"/>
    <mergeCell ref="A787:A788"/>
    <mergeCell ref="B787:B788"/>
    <mergeCell ref="C787:C788"/>
    <mergeCell ref="C777:C778"/>
    <mergeCell ref="C779:C780"/>
    <mergeCell ref="A781:A782"/>
    <mergeCell ref="B781:B782"/>
    <mergeCell ref="C781:C782"/>
    <mergeCell ref="A783:A784"/>
    <mergeCell ref="B783:B784"/>
    <mergeCell ref="C783:C784"/>
    <mergeCell ref="A773:A774"/>
    <mergeCell ref="B773:B774"/>
    <mergeCell ref="C773:C774"/>
    <mergeCell ref="A775:A776"/>
    <mergeCell ref="B775:B776"/>
    <mergeCell ref="C775:C776"/>
    <mergeCell ref="A769:A770"/>
    <mergeCell ref="B769:B770"/>
    <mergeCell ref="C769:C770"/>
    <mergeCell ref="A771:A772"/>
    <mergeCell ref="B771:B772"/>
    <mergeCell ref="C771:C772"/>
    <mergeCell ref="A765:A766"/>
    <mergeCell ref="B765:B766"/>
    <mergeCell ref="C765:C766"/>
    <mergeCell ref="A767:A768"/>
    <mergeCell ref="B767:B768"/>
    <mergeCell ref="C767:C768"/>
    <mergeCell ref="A761:A762"/>
    <mergeCell ref="B761:B762"/>
    <mergeCell ref="C761:C762"/>
    <mergeCell ref="A763:A764"/>
    <mergeCell ref="B763:B764"/>
    <mergeCell ref="C763:C764"/>
    <mergeCell ref="A757:A758"/>
    <mergeCell ref="B757:B758"/>
    <mergeCell ref="C757:C758"/>
    <mergeCell ref="A759:A760"/>
    <mergeCell ref="B759:B760"/>
    <mergeCell ref="C759:C760"/>
    <mergeCell ref="A753:A754"/>
    <mergeCell ref="B753:B754"/>
    <mergeCell ref="C753:C754"/>
    <mergeCell ref="A755:A756"/>
    <mergeCell ref="B755:B756"/>
    <mergeCell ref="C755:C756"/>
    <mergeCell ref="A749:A750"/>
    <mergeCell ref="B749:B750"/>
    <mergeCell ref="C749:C750"/>
    <mergeCell ref="A751:A752"/>
    <mergeCell ref="B751:B752"/>
    <mergeCell ref="C751:C752"/>
    <mergeCell ref="A745:A746"/>
    <mergeCell ref="B745:B746"/>
    <mergeCell ref="C745:C746"/>
    <mergeCell ref="A747:A748"/>
    <mergeCell ref="B747:B748"/>
    <mergeCell ref="C747:C748"/>
    <mergeCell ref="A741:A742"/>
    <mergeCell ref="B741:B742"/>
    <mergeCell ref="C741:C742"/>
    <mergeCell ref="A743:A744"/>
    <mergeCell ref="B743:B744"/>
    <mergeCell ref="C743:C744"/>
    <mergeCell ref="A737:A738"/>
    <mergeCell ref="B737:B738"/>
    <mergeCell ref="C737:C738"/>
    <mergeCell ref="A739:A740"/>
    <mergeCell ref="B739:B740"/>
    <mergeCell ref="C739:C740"/>
    <mergeCell ref="A733:A734"/>
    <mergeCell ref="B733:B734"/>
    <mergeCell ref="C733:C734"/>
    <mergeCell ref="A735:A736"/>
    <mergeCell ref="B735:B736"/>
    <mergeCell ref="C735:C736"/>
    <mergeCell ref="A729:A730"/>
    <mergeCell ref="B729:B730"/>
    <mergeCell ref="C729:C730"/>
    <mergeCell ref="A731:A732"/>
    <mergeCell ref="B731:B732"/>
    <mergeCell ref="C731:C732"/>
    <mergeCell ref="A725:A726"/>
    <mergeCell ref="B725:B726"/>
    <mergeCell ref="C725:C726"/>
    <mergeCell ref="A727:A728"/>
    <mergeCell ref="B727:B728"/>
    <mergeCell ref="C727:C728"/>
    <mergeCell ref="A721:A722"/>
    <mergeCell ref="B721:B722"/>
    <mergeCell ref="C721:C722"/>
    <mergeCell ref="A723:A724"/>
    <mergeCell ref="B723:B724"/>
    <mergeCell ref="C723:C724"/>
    <mergeCell ref="A717:A718"/>
    <mergeCell ref="B717:B718"/>
    <mergeCell ref="C717:C718"/>
    <mergeCell ref="A719:A720"/>
    <mergeCell ref="B719:B720"/>
    <mergeCell ref="C719:C720"/>
    <mergeCell ref="A713:A714"/>
    <mergeCell ref="B713:B714"/>
    <mergeCell ref="C713:C714"/>
    <mergeCell ref="A715:A716"/>
    <mergeCell ref="B715:B716"/>
    <mergeCell ref="C715:C716"/>
    <mergeCell ref="A709:A710"/>
    <mergeCell ref="B709:B710"/>
    <mergeCell ref="C709:C710"/>
    <mergeCell ref="A711:A712"/>
    <mergeCell ref="B711:B712"/>
    <mergeCell ref="C711:C712"/>
    <mergeCell ref="A705:A706"/>
    <mergeCell ref="B705:B706"/>
    <mergeCell ref="C705:C706"/>
    <mergeCell ref="A707:A708"/>
    <mergeCell ref="B707:B708"/>
    <mergeCell ref="C707:C708"/>
    <mergeCell ref="A701:A702"/>
    <mergeCell ref="B701:B702"/>
    <mergeCell ref="C701:C702"/>
    <mergeCell ref="A703:A704"/>
    <mergeCell ref="B703:B704"/>
    <mergeCell ref="C703:C704"/>
    <mergeCell ref="A697:A698"/>
    <mergeCell ref="B697:B698"/>
    <mergeCell ref="C697:C698"/>
    <mergeCell ref="A699:A700"/>
    <mergeCell ref="B699:B700"/>
    <mergeCell ref="C699:C700"/>
    <mergeCell ref="A693:A694"/>
    <mergeCell ref="B693:B694"/>
    <mergeCell ref="C693:C694"/>
    <mergeCell ref="A695:A696"/>
    <mergeCell ref="B695:B696"/>
    <mergeCell ref="C695:C696"/>
    <mergeCell ref="A689:A690"/>
    <mergeCell ref="B689:B690"/>
    <mergeCell ref="C689:C690"/>
    <mergeCell ref="A691:A692"/>
    <mergeCell ref="B691:B692"/>
    <mergeCell ref="C691:C692"/>
    <mergeCell ref="A685:A686"/>
    <mergeCell ref="B685:B686"/>
    <mergeCell ref="C685:C686"/>
    <mergeCell ref="A687:A688"/>
    <mergeCell ref="B687:B688"/>
    <mergeCell ref="C687:C688"/>
    <mergeCell ref="A681:A682"/>
    <mergeCell ref="B681:B682"/>
    <mergeCell ref="C681:C682"/>
    <mergeCell ref="A683:A684"/>
    <mergeCell ref="B683:B684"/>
    <mergeCell ref="C683:C684"/>
    <mergeCell ref="A677:A678"/>
    <mergeCell ref="B677:B678"/>
    <mergeCell ref="C677:C678"/>
    <mergeCell ref="A679:A680"/>
    <mergeCell ref="B679:B680"/>
    <mergeCell ref="C679:C680"/>
    <mergeCell ref="A673:A674"/>
    <mergeCell ref="B673:B674"/>
    <mergeCell ref="C673:C674"/>
    <mergeCell ref="A675:A676"/>
    <mergeCell ref="B675:B676"/>
    <mergeCell ref="C675:C676"/>
    <mergeCell ref="A669:A670"/>
    <mergeCell ref="B669:B670"/>
    <mergeCell ref="C669:C670"/>
    <mergeCell ref="A671:A672"/>
    <mergeCell ref="B671:B672"/>
    <mergeCell ref="C671:C672"/>
    <mergeCell ref="A665:A666"/>
    <mergeCell ref="B665:B666"/>
    <mergeCell ref="C665:C666"/>
    <mergeCell ref="A667:A668"/>
    <mergeCell ref="B667:B668"/>
    <mergeCell ref="C667:C668"/>
    <mergeCell ref="A661:A662"/>
    <mergeCell ref="B661:B662"/>
    <mergeCell ref="C661:C662"/>
    <mergeCell ref="A663:A664"/>
    <mergeCell ref="B663:B664"/>
    <mergeCell ref="C663:C664"/>
    <mergeCell ref="A657:A658"/>
    <mergeCell ref="B657:B658"/>
    <mergeCell ref="C657:C658"/>
    <mergeCell ref="A659:A660"/>
    <mergeCell ref="B659:B660"/>
    <mergeCell ref="C659:C660"/>
    <mergeCell ref="A653:A654"/>
    <mergeCell ref="B653:B654"/>
    <mergeCell ref="C653:C654"/>
    <mergeCell ref="A655:A656"/>
    <mergeCell ref="B655:B656"/>
    <mergeCell ref="C655:C656"/>
    <mergeCell ref="A649:A650"/>
    <mergeCell ref="B649:B650"/>
    <mergeCell ref="C649:C650"/>
    <mergeCell ref="A651:A652"/>
    <mergeCell ref="B651:B652"/>
    <mergeCell ref="C651:C652"/>
    <mergeCell ref="A645:A646"/>
    <mergeCell ref="B645:B646"/>
    <mergeCell ref="C645:C646"/>
    <mergeCell ref="A647:A648"/>
    <mergeCell ref="B647:B648"/>
    <mergeCell ref="C647:C648"/>
    <mergeCell ref="A641:A642"/>
    <mergeCell ref="B641:B642"/>
    <mergeCell ref="C641:C642"/>
    <mergeCell ref="A643:A644"/>
    <mergeCell ref="B643:B644"/>
    <mergeCell ref="C643:C644"/>
    <mergeCell ref="A637:A638"/>
    <mergeCell ref="B637:B638"/>
    <mergeCell ref="C637:C638"/>
    <mergeCell ref="A639:A640"/>
    <mergeCell ref="B639:B640"/>
    <mergeCell ref="C639:C640"/>
    <mergeCell ref="A633:A634"/>
    <mergeCell ref="B633:B634"/>
    <mergeCell ref="C633:C634"/>
    <mergeCell ref="A635:A636"/>
    <mergeCell ref="B635:B636"/>
    <mergeCell ref="C635:C636"/>
    <mergeCell ref="A629:A630"/>
    <mergeCell ref="B629:B630"/>
    <mergeCell ref="C629:C630"/>
    <mergeCell ref="A631:A632"/>
    <mergeCell ref="B631:B632"/>
    <mergeCell ref="C631:C632"/>
    <mergeCell ref="A625:A626"/>
    <mergeCell ref="B625:B626"/>
    <mergeCell ref="C625:C626"/>
    <mergeCell ref="A627:A628"/>
    <mergeCell ref="B627:B628"/>
    <mergeCell ref="C627:C628"/>
    <mergeCell ref="A621:A622"/>
    <mergeCell ref="B621:B622"/>
    <mergeCell ref="C621:C622"/>
    <mergeCell ref="A623:A624"/>
    <mergeCell ref="B623:B624"/>
    <mergeCell ref="C623:C624"/>
    <mergeCell ref="A617:A618"/>
    <mergeCell ref="B617:B618"/>
    <mergeCell ref="C617:C618"/>
    <mergeCell ref="A619:A620"/>
    <mergeCell ref="B619:B620"/>
    <mergeCell ref="C619:C620"/>
    <mergeCell ref="A613:A614"/>
    <mergeCell ref="B613:B614"/>
    <mergeCell ref="C613:C614"/>
    <mergeCell ref="A615:A616"/>
    <mergeCell ref="B615:B616"/>
    <mergeCell ref="C615:C616"/>
    <mergeCell ref="A609:A610"/>
    <mergeCell ref="B609:B610"/>
    <mergeCell ref="C609:C610"/>
    <mergeCell ref="A611:A612"/>
    <mergeCell ref="B611:B612"/>
    <mergeCell ref="C611:C612"/>
    <mergeCell ref="A605:A606"/>
    <mergeCell ref="B605:B606"/>
    <mergeCell ref="C605:C606"/>
    <mergeCell ref="A607:A608"/>
    <mergeCell ref="B607:B608"/>
    <mergeCell ref="C607:C608"/>
    <mergeCell ref="A601:A602"/>
    <mergeCell ref="B601:B602"/>
    <mergeCell ref="C601:C602"/>
    <mergeCell ref="A603:A604"/>
    <mergeCell ref="B603:B604"/>
    <mergeCell ref="C603:C604"/>
    <mergeCell ref="A597:A598"/>
    <mergeCell ref="B597:B598"/>
    <mergeCell ref="C597:C598"/>
    <mergeCell ref="A599:A600"/>
    <mergeCell ref="B599:B600"/>
    <mergeCell ref="C599:C600"/>
    <mergeCell ref="A593:A594"/>
    <mergeCell ref="B593:B594"/>
    <mergeCell ref="C593:C594"/>
    <mergeCell ref="A595:A596"/>
    <mergeCell ref="B595:B596"/>
    <mergeCell ref="C595:C596"/>
    <mergeCell ref="A589:A590"/>
    <mergeCell ref="B589:B590"/>
    <mergeCell ref="C589:C590"/>
    <mergeCell ref="A591:A592"/>
    <mergeCell ref="B591:B592"/>
    <mergeCell ref="C591:C592"/>
    <mergeCell ref="A585:A586"/>
    <mergeCell ref="B585:B586"/>
    <mergeCell ref="C585:C586"/>
    <mergeCell ref="A587:A588"/>
    <mergeCell ref="B587:B588"/>
    <mergeCell ref="C587:C588"/>
    <mergeCell ref="A581:A582"/>
    <mergeCell ref="B581:B582"/>
    <mergeCell ref="C581:C582"/>
    <mergeCell ref="A583:A584"/>
    <mergeCell ref="B583:B584"/>
    <mergeCell ref="C583:C584"/>
    <mergeCell ref="A577:A578"/>
    <mergeCell ref="B577:B578"/>
    <mergeCell ref="C577:C578"/>
    <mergeCell ref="A579:A580"/>
    <mergeCell ref="B579:B580"/>
    <mergeCell ref="C579:C580"/>
    <mergeCell ref="A573:A574"/>
    <mergeCell ref="B573:B574"/>
    <mergeCell ref="C573:C574"/>
    <mergeCell ref="A575:A576"/>
    <mergeCell ref="B575:B576"/>
    <mergeCell ref="C575:C576"/>
    <mergeCell ref="A569:A570"/>
    <mergeCell ref="B569:B570"/>
    <mergeCell ref="C569:C570"/>
    <mergeCell ref="A571:A572"/>
    <mergeCell ref="B571:B572"/>
    <mergeCell ref="C571:C572"/>
    <mergeCell ref="A565:A566"/>
    <mergeCell ref="B565:B566"/>
    <mergeCell ref="C565:C566"/>
    <mergeCell ref="A567:A568"/>
    <mergeCell ref="B567:B568"/>
    <mergeCell ref="C567:C568"/>
    <mergeCell ref="A561:A562"/>
    <mergeCell ref="B561:B562"/>
    <mergeCell ref="C561:C562"/>
    <mergeCell ref="A563:A564"/>
    <mergeCell ref="B563:B564"/>
    <mergeCell ref="C563:C564"/>
    <mergeCell ref="A557:A558"/>
    <mergeCell ref="B557:B558"/>
    <mergeCell ref="C557:C558"/>
    <mergeCell ref="A559:A560"/>
    <mergeCell ref="B559:B560"/>
    <mergeCell ref="C559:C560"/>
    <mergeCell ref="A553:A554"/>
    <mergeCell ref="B553:B554"/>
    <mergeCell ref="C553:C554"/>
    <mergeCell ref="A555:A556"/>
    <mergeCell ref="B555:B556"/>
    <mergeCell ref="C555:C556"/>
    <mergeCell ref="A549:A550"/>
    <mergeCell ref="B549:B550"/>
    <mergeCell ref="C549:C550"/>
    <mergeCell ref="A551:A552"/>
    <mergeCell ref="B551:B552"/>
    <mergeCell ref="C551:C552"/>
    <mergeCell ref="A545:A546"/>
    <mergeCell ref="B545:B546"/>
    <mergeCell ref="C545:C546"/>
    <mergeCell ref="A547:A548"/>
    <mergeCell ref="B547:B548"/>
    <mergeCell ref="C547:C548"/>
    <mergeCell ref="A541:A542"/>
    <mergeCell ref="B541:B542"/>
    <mergeCell ref="C541:C542"/>
    <mergeCell ref="A543:A544"/>
    <mergeCell ref="B543:B544"/>
    <mergeCell ref="C543:C544"/>
    <mergeCell ref="A537:A538"/>
    <mergeCell ref="B537:B538"/>
    <mergeCell ref="C537:C538"/>
    <mergeCell ref="A539:A540"/>
    <mergeCell ref="B539:B540"/>
    <mergeCell ref="C539:C540"/>
    <mergeCell ref="C529:C530"/>
    <mergeCell ref="A531:A532"/>
    <mergeCell ref="B531:B532"/>
    <mergeCell ref="C531:C532"/>
    <mergeCell ref="C533:C534"/>
    <mergeCell ref="A535:A536"/>
    <mergeCell ref="B535:B536"/>
    <mergeCell ref="C535:C536"/>
    <mergeCell ref="A525:A526"/>
    <mergeCell ref="B525:B526"/>
    <mergeCell ref="C525:C526"/>
    <mergeCell ref="A527:A528"/>
    <mergeCell ref="B527:B528"/>
    <mergeCell ref="C527:C528"/>
    <mergeCell ref="A521:A522"/>
    <mergeCell ref="B521:B522"/>
    <mergeCell ref="C521:C522"/>
    <mergeCell ref="A523:A524"/>
    <mergeCell ref="B523:B524"/>
    <mergeCell ref="C523:C524"/>
    <mergeCell ref="A517:A518"/>
    <mergeCell ref="B517:B518"/>
    <mergeCell ref="C517:C518"/>
    <mergeCell ref="A519:A520"/>
    <mergeCell ref="B519:B520"/>
    <mergeCell ref="C519:C520"/>
    <mergeCell ref="A513:A514"/>
    <mergeCell ref="B513:B514"/>
    <mergeCell ref="C513:C514"/>
    <mergeCell ref="A515:A516"/>
    <mergeCell ref="B515:B516"/>
    <mergeCell ref="C515:C516"/>
    <mergeCell ref="A509:A510"/>
    <mergeCell ref="B509:B510"/>
    <mergeCell ref="C509:C510"/>
    <mergeCell ref="A511:A512"/>
    <mergeCell ref="B511:B512"/>
    <mergeCell ref="C511:C512"/>
    <mergeCell ref="A505:A506"/>
    <mergeCell ref="B505:B506"/>
    <mergeCell ref="C505:C506"/>
    <mergeCell ref="A507:A508"/>
    <mergeCell ref="B507:B508"/>
    <mergeCell ref="C507:C508"/>
    <mergeCell ref="A501:A502"/>
    <mergeCell ref="B501:B502"/>
    <mergeCell ref="C501:C502"/>
    <mergeCell ref="A503:A504"/>
    <mergeCell ref="B503:B504"/>
    <mergeCell ref="C503:C504"/>
    <mergeCell ref="A497:A498"/>
    <mergeCell ref="B497:B498"/>
    <mergeCell ref="C497:C498"/>
    <mergeCell ref="A499:A500"/>
    <mergeCell ref="B499:B500"/>
    <mergeCell ref="C499:C500"/>
    <mergeCell ref="A493:A494"/>
    <mergeCell ref="B493:B494"/>
    <mergeCell ref="C493:C494"/>
    <mergeCell ref="A495:A496"/>
    <mergeCell ref="B495:B496"/>
    <mergeCell ref="C495:C496"/>
    <mergeCell ref="A489:A490"/>
    <mergeCell ref="B489:B490"/>
    <mergeCell ref="C489:C490"/>
    <mergeCell ref="A491:A492"/>
    <mergeCell ref="B491:B492"/>
    <mergeCell ref="C491:C492"/>
    <mergeCell ref="A485:A486"/>
    <mergeCell ref="B485:B486"/>
    <mergeCell ref="C485:C486"/>
    <mergeCell ref="A487:A488"/>
    <mergeCell ref="B487:B488"/>
    <mergeCell ref="C487:C488"/>
    <mergeCell ref="A481:A482"/>
    <mergeCell ref="B481:B482"/>
    <mergeCell ref="C481:C482"/>
    <mergeCell ref="A483:A484"/>
    <mergeCell ref="B483:B484"/>
    <mergeCell ref="C483:C484"/>
    <mergeCell ref="A477:A478"/>
    <mergeCell ref="B477:B478"/>
    <mergeCell ref="C477:C478"/>
    <mergeCell ref="A479:A480"/>
    <mergeCell ref="B479:B480"/>
    <mergeCell ref="C479:C480"/>
    <mergeCell ref="A473:A474"/>
    <mergeCell ref="B473:B474"/>
    <mergeCell ref="C473:C474"/>
    <mergeCell ref="A475:A476"/>
    <mergeCell ref="B475:B476"/>
    <mergeCell ref="C475:C476"/>
    <mergeCell ref="A469:A470"/>
    <mergeCell ref="B469:B470"/>
    <mergeCell ref="C469:C470"/>
    <mergeCell ref="A471:A472"/>
    <mergeCell ref="B471:B472"/>
    <mergeCell ref="C471:C472"/>
    <mergeCell ref="A465:A466"/>
    <mergeCell ref="B465:B466"/>
    <mergeCell ref="C465:C466"/>
    <mergeCell ref="A467:A468"/>
    <mergeCell ref="B467:B468"/>
    <mergeCell ref="C467:C468"/>
    <mergeCell ref="A461:A462"/>
    <mergeCell ref="B461:B462"/>
    <mergeCell ref="C461:C462"/>
    <mergeCell ref="A463:A464"/>
    <mergeCell ref="B463:B464"/>
    <mergeCell ref="C463:C464"/>
    <mergeCell ref="A457:A458"/>
    <mergeCell ref="B457:B458"/>
    <mergeCell ref="C457:C458"/>
    <mergeCell ref="A459:A460"/>
    <mergeCell ref="B459:B460"/>
    <mergeCell ref="C459:C460"/>
    <mergeCell ref="A453:A454"/>
    <mergeCell ref="B453:B454"/>
    <mergeCell ref="C453:C454"/>
    <mergeCell ref="A455:A456"/>
    <mergeCell ref="B455:B456"/>
    <mergeCell ref="C455:C456"/>
    <mergeCell ref="A449:A450"/>
    <mergeCell ref="B449:B450"/>
    <mergeCell ref="C449:C450"/>
    <mergeCell ref="A451:A452"/>
    <mergeCell ref="B451:B452"/>
    <mergeCell ref="C451:C452"/>
    <mergeCell ref="A445:A446"/>
    <mergeCell ref="B445:B446"/>
    <mergeCell ref="C445:C446"/>
    <mergeCell ref="A447:A448"/>
    <mergeCell ref="B447:B448"/>
    <mergeCell ref="C447:C448"/>
    <mergeCell ref="A441:A442"/>
    <mergeCell ref="B441:B442"/>
    <mergeCell ref="C441:C442"/>
    <mergeCell ref="A443:A444"/>
    <mergeCell ref="B443:B444"/>
    <mergeCell ref="C443:C444"/>
    <mergeCell ref="A437:A438"/>
    <mergeCell ref="B437:B438"/>
    <mergeCell ref="C437:C438"/>
    <mergeCell ref="A439:A440"/>
    <mergeCell ref="B439:B440"/>
    <mergeCell ref="C439:C440"/>
    <mergeCell ref="A433:A434"/>
    <mergeCell ref="B433:B434"/>
    <mergeCell ref="C433:C434"/>
    <mergeCell ref="A435:A436"/>
    <mergeCell ref="B435:B436"/>
    <mergeCell ref="C435:C436"/>
    <mergeCell ref="A429:A430"/>
    <mergeCell ref="B429:B430"/>
    <mergeCell ref="C429:C430"/>
    <mergeCell ref="A431:A432"/>
    <mergeCell ref="B431:B432"/>
    <mergeCell ref="C431:C432"/>
    <mergeCell ref="A425:A426"/>
    <mergeCell ref="B425:B426"/>
    <mergeCell ref="C425:C426"/>
    <mergeCell ref="A427:A428"/>
    <mergeCell ref="B427:B428"/>
    <mergeCell ref="C427:C428"/>
    <mergeCell ref="A421:A422"/>
    <mergeCell ref="B421:B422"/>
    <mergeCell ref="C421:C422"/>
    <mergeCell ref="A423:A424"/>
    <mergeCell ref="B423:B424"/>
    <mergeCell ref="C423:C424"/>
    <mergeCell ref="C413:C414"/>
    <mergeCell ref="C415:C416"/>
    <mergeCell ref="C417:C418"/>
    <mergeCell ref="A419:A420"/>
    <mergeCell ref="B419:B420"/>
    <mergeCell ref="C419:C420"/>
    <mergeCell ref="C397:C398"/>
    <mergeCell ref="C399:C400"/>
    <mergeCell ref="A401:A418"/>
    <mergeCell ref="B401:B418"/>
    <mergeCell ref="C401:C402"/>
    <mergeCell ref="C403:C404"/>
    <mergeCell ref="C405:C406"/>
    <mergeCell ref="C407:C408"/>
    <mergeCell ref="C409:C410"/>
    <mergeCell ref="C411:C412"/>
    <mergeCell ref="C381:C382"/>
    <mergeCell ref="A383:A400"/>
    <mergeCell ref="B383:B400"/>
    <mergeCell ref="C383:C384"/>
    <mergeCell ref="C385:C386"/>
    <mergeCell ref="C387:C388"/>
    <mergeCell ref="C389:C390"/>
    <mergeCell ref="C391:C392"/>
    <mergeCell ref="C393:C394"/>
    <mergeCell ref="C395:C396"/>
    <mergeCell ref="A365:A382"/>
    <mergeCell ref="B365:B382"/>
    <mergeCell ref="C365:C366"/>
    <mergeCell ref="C367:C368"/>
    <mergeCell ref="C369:C370"/>
    <mergeCell ref="C371:C372"/>
    <mergeCell ref="C373:C374"/>
    <mergeCell ref="C375:C376"/>
    <mergeCell ref="C377:C378"/>
    <mergeCell ref="C379:C380"/>
    <mergeCell ref="A357:A364"/>
    <mergeCell ref="B357:B364"/>
    <mergeCell ref="C357:C358"/>
    <mergeCell ref="C359:C360"/>
    <mergeCell ref="C361:C362"/>
    <mergeCell ref="C363:C364"/>
    <mergeCell ref="A349:A356"/>
    <mergeCell ref="B349:B356"/>
    <mergeCell ref="C349:C350"/>
    <mergeCell ref="C351:C352"/>
    <mergeCell ref="C353:C354"/>
    <mergeCell ref="C355:C356"/>
    <mergeCell ref="A341:A344"/>
    <mergeCell ref="B341:B344"/>
    <mergeCell ref="C341:C342"/>
    <mergeCell ref="C343:C344"/>
    <mergeCell ref="A345:A348"/>
    <mergeCell ref="B345:B348"/>
    <mergeCell ref="C345:C346"/>
    <mergeCell ref="C347:C348"/>
    <mergeCell ref="A329:A334"/>
    <mergeCell ref="B329:B334"/>
    <mergeCell ref="C329:C330"/>
    <mergeCell ref="C331:C332"/>
    <mergeCell ref="C333:C334"/>
    <mergeCell ref="A335:A340"/>
    <mergeCell ref="B335:B340"/>
    <mergeCell ref="C335:C336"/>
    <mergeCell ref="C337:C338"/>
    <mergeCell ref="C339:C340"/>
    <mergeCell ref="A319:A320"/>
    <mergeCell ref="B319:B320"/>
    <mergeCell ref="C319:C320"/>
    <mergeCell ref="A321:A328"/>
    <mergeCell ref="B321:B328"/>
    <mergeCell ref="C321:C322"/>
    <mergeCell ref="C323:C324"/>
    <mergeCell ref="C325:C326"/>
    <mergeCell ref="C327:C328"/>
    <mergeCell ref="A303:A318"/>
    <mergeCell ref="B303:B318"/>
    <mergeCell ref="C303:C304"/>
    <mergeCell ref="C305:C306"/>
    <mergeCell ref="C307:C308"/>
    <mergeCell ref="C309:C310"/>
    <mergeCell ref="C311:C312"/>
    <mergeCell ref="C313:C314"/>
    <mergeCell ref="C315:C316"/>
    <mergeCell ref="C317:C318"/>
    <mergeCell ref="A295:A302"/>
    <mergeCell ref="B295:B302"/>
    <mergeCell ref="C295:C296"/>
    <mergeCell ref="C297:C298"/>
    <mergeCell ref="C299:C300"/>
    <mergeCell ref="C301:C302"/>
    <mergeCell ref="A283:A294"/>
    <mergeCell ref="B283:B294"/>
    <mergeCell ref="C283:C284"/>
    <mergeCell ref="C285:C286"/>
    <mergeCell ref="C287:C288"/>
    <mergeCell ref="C289:C290"/>
    <mergeCell ref="C291:C292"/>
    <mergeCell ref="C293:C294"/>
    <mergeCell ref="A273:A282"/>
    <mergeCell ref="B273:B282"/>
    <mergeCell ref="C273:C274"/>
    <mergeCell ref="C275:C276"/>
    <mergeCell ref="C277:C278"/>
    <mergeCell ref="C279:C280"/>
    <mergeCell ref="C281:C282"/>
    <mergeCell ref="A265:A272"/>
    <mergeCell ref="B265:B272"/>
    <mergeCell ref="C265:C266"/>
    <mergeCell ref="C267:C268"/>
    <mergeCell ref="C269:C270"/>
    <mergeCell ref="C271:C272"/>
    <mergeCell ref="C251:C252"/>
    <mergeCell ref="C253:C254"/>
    <mergeCell ref="A255:A264"/>
    <mergeCell ref="B255:B264"/>
    <mergeCell ref="C255:C256"/>
    <mergeCell ref="C257:C258"/>
    <mergeCell ref="C259:C260"/>
    <mergeCell ref="C261:C262"/>
    <mergeCell ref="C263:C264"/>
    <mergeCell ref="C235:C236"/>
    <mergeCell ref="C237:C238"/>
    <mergeCell ref="A239:A254"/>
    <mergeCell ref="B239:B254"/>
    <mergeCell ref="C239:C240"/>
    <mergeCell ref="C241:C242"/>
    <mergeCell ref="C243:C244"/>
    <mergeCell ref="C245:C246"/>
    <mergeCell ref="C247:C248"/>
    <mergeCell ref="C249:C250"/>
    <mergeCell ref="C223:C224"/>
    <mergeCell ref="C225:C226"/>
    <mergeCell ref="C227:C228"/>
    <mergeCell ref="C229:C230"/>
    <mergeCell ref="C231:C232"/>
    <mergeCell ref="C233:C234"/>
    <mergeCell ref="C207:C208"/>
    <mergeCell ref="A209:A238"/>
    <mergeCell ref="B209:B238"/>
    <mergeCell ref="C209:C210"/>
    <mergeCell ref="C211:C212"/>
    <mergeCell ref="C213:C214"/>
    <mergeCell ref="C215:C216"/>
    <mergeCell ref="C217:C218"/>
    <mergeCell ref="C219:C220"/>
    <mergeCell ref="C221:C222"/>
    <mergeCell ref="C191:C192"/>
    <mergeCell ref="C193:C194"/>
    <mergeCell ref="C195:C196"/>
    <mergeCell ref="C197:C198"/>
    <mergeCell ref="A199:A208"/>
    <mergeCell ref="B199:B208"/>
    <mergeCell ref="C199:C200"/>
    <mergeCell ref="C201:C202"/>
    <mergeCell ref="C203:C204"/>
    <mergeCell ref="C205:C206"/>
    <mergeCell ref="C179:C180"/>
    <mergeCell ref="C181:C182"/>
    <mergeCell ref="C183:C184"/>
    <mergeCell ref="C185:C186"/>
    <mergeCell ref="C187:C188"/>
    <mergeCell ref="C189:C190"/>
    <mergeCell ref="C163:C164"/>
    <mergeCell ref="C165:C166"/>
    <mergeCell ref="C167:C168"/>
    <mergeCell ref="C169:C170"/>
    <mergeCell ref="A171:A198"/>
    <mergeCell ref="B171:B198"/>
    <mergeCell ref="C171:C172"/>
    <mergeCell ref="C173:C174"/>
    <mergeCell ref="C175:C176"/>
    <mergeCell ref="C177:C178"/>
    <mergeCell ref="C151:C152"/>
    <mergeCell ref="C153:C154"/>
    <mergeCell ref="C155:C156"/>
    <mergeCell ref="C157:C158"/>
    <mergeCell ref="C159:C160"/>
    <mergeCell ref="C161:C162"/>
    <mergeCell ref="C135:C136"/>
    <mergeCell ref="C137:C138"/>
    <mergeCell ref="A139:A170"/>
    <mergeCell ref="B139:B170"/>
    <mergeCell ref="C139:C140"/>
    <mergeCell ref="C141:C142"/>
    <mergeCell ref="C143:C144"/>
    <mergeCell ref="C145:C146"/>
    <mergeCell ref="C147:C148"/>
    <mergeCell ref="C149:C150"/>
    <mergeCell ref="C123:C124"/>
    <mergeCell ref="C125:C126"/>
    <mergeCell ref="C127:C128"/>
    <mergeCell ref="C129:C130"/>
    <mergeCell ref="C131:C132"/>
    <mergeCell ref="C133:C134"/>
    <mergeCell ref="C109:C110"/>
    <mergeCell ref="C111:C112"/>
    <mergeCell ref="C113:C114"/>
    <mergeCell ref="A115:A138"/>
    <mergeCell ref="B115:B138"/>
    <mergeCell ref="C115:C116"/>
    <mergeCell ref="C117:C118"/>
    <mergeCell ref="C119:C120"/>
    <mergeCell ref="C121:C122"/>
    <mergeCell ref="C95:C96"/>
    <mergeCell ref="C97:C98"/>
    <mergeCell ref="C99:C100"/>
    <mergeCell ref="C101:C102"/>
    <mergeCell ref="C103:C104"/>
    <mergeCell ref="C105:C106"/>
    <mergeCell ref="C83:C84"/>
    <mergeCell ref="C85:C86"/>
    <mergeCell ref="C87:C88"/>
    <mergeCell ref="C89:C90"/>
    <mergeCell ref="C91:C92"/>
    <mergeCell ref="C93:C94"/>
    <mergeCell ref="L3:L4"/>
    <mergeCell ref="M3:M4"/>
    <mergeCell ref="N3:N4"/>
    <mergeCell ref="O3:O4"/>
    <mergeCell ref="S3:S4"/>
    <mergeCell ref="C67:C68"/>
    <mergeCell ref="C69:C70"/>
    <mergeCell ref="A71:A114"/>
    <mergeCell ref="B71:B114"/>
    <mergeCell ref="C71:C72"/>
    <mergeCell ref="C73:C74"/>
    <mergeCell ref="C75:C76"/>
    <mergeCell ref="C77:C78"/>
    <mergeCell ref="C79:C80"/>
    <mergeCell ref="C81:C82"/>
    <mergeCell ref="C55:C56"/>
    <mergeCell ref="C57:C58"/>
    <mergeCell ref="C59:C60"/>
    <mergeCell ref="C61:C62"/>
    <mergeCell ref="C63:C64"/>
    <mergeCell ref="C65:C66"/>
    <mergeCell ref="C39:C40"/>
    <mergeCell ref="A41:A70"/>
    <mergeCell ref="B41:B70"/>
    <mergeCell ref="C41:C42"/>
    <mergeCell ref="C43:C44"/>
    <mergeCell ref="C45:C46"/>
    <mergeCell ref="C47:C48"/>
    <mergeCell ref="C49:C50"/>
    <mergeCell ref="C51:C52"/>
    <mergeCell ref="C53:C54"/>
    <mergeCell ref="C107:C108"/>
    <mergeCell ref="U1:X2"/>
    <mergeCell ref="A3:A4"/>
    <mergeCell ref="B3:B4"/>
    <mergeCell ref="G3:G4"/>
    <mergeCell ref="H3:H4"/>
    <mergeCell ref="I3:I4"/>
    <mergeCell ref="J3:J4"/>
    <mergeCell ref="C27:C28"/>
    <mergeCell ref="C29:C30"/>
    <mergeCell ref="C31:C32"/>
    <mergeCell ref="C33:C34"/>
    <mergeCell ref="C35:C36"/>
    <mergeCell ref="C37:C38"/>
    <mergeCell ref="A11:A40"/>
    <mergeCell ref="B11:B40"/>
    <mergeCell ref="C11:C12"/>
    <mergeCell ref="C13:C14"/>
    <mergeCell ref="C15:C16"/>
    <mergeCell ref="C17:C18"/>
    <mergeCell ref="C19:C20"/>
    <mergeCell ref="C21:C22"/>
    <mergeCell ref="C23:C24"/>
    <mergeCell ref="C25:C26"/>
    <mergeCell ref="U3:U4"/>
    <mergeCell ref="A5:A6"/>
    <mergeCell ref="B5:B6"/>
    <mergeCell ref="C5:C6"/>
    <mergeCell ref="A7:A10"/>
    <mergeCell ref="B7:B10"/>
    <mergeCell ref="C7:C8"/>
    <mergeCell ref="C9:C10"/>
    <mergeCell ref="K3:K4"/>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D53:D54"/>
    <mergeCell ref="D55:D56"/>
    <mergeCell ref="D57:D58"/>
    <mergeCell ref="D59:D60"/>
    <mergeCell ref="D61:D62"/>
    <mergeCell ref="D63:D64"/>
    <mergeCell ref="D65:D66"/>
    <mergeCell ref="D67:D68"/>
    <mergeCell ref="D69:D70"/>
    <mergeCell ref="D71:D72"/>
    <mergeCell ref="D73:D74"/>
    <mergeCell ref="D75:D76"/>
    <mergeCell ref="D77:D78"/>
    <mergeCell ref="D79:D80"/>
    <mergeCell ref="D81:D82"/>
    <mergeCell ref="D83:D84"/>
    <mergeCell ref="D85:D86"/>
    <mergeCell ref="D87:D88"/>
    <mergeCell ref="D89:D90"/>
    <mergeCell ref="D91:D92"/>
    <mergeCell ref="D93:D94"/>
    <mergeCell ref="D95:D96"/>
    <mergeCell ref="D97:D98"/>
    <mergeCell ref="D99:D100"/>
    <mergeCell ref="D101:D102"/>
    <mergeCell ref="D103:D104"/>
    <mergeCell ref="D105:D106"/>
    <mergeCell ref="D107:D108"/>
    <mergeCell ref="D109:D110"/>
    <mergeCell ref="D111:D112"/>
    <mergeCell ref="D113:D114"/>
    <mergeCell ref="D115:D116"/>
    <mergeCell ref="D117:D118"/>
    <mergeCell ref="D119:D120"/>
    <mergeCell ref="D121:D122"/>
    <mergeCell ref="D123:D124"/>
    <mergeCell ref="D125:D126"/>
    <mergeCell ref="D127:D128"/>
    <mergeCell ref="D129:D130"/>
    <mergeCell ref="D131:D132"/>
    <mergeCell ref="D133:D134"/>
    <mergeCell ref="D135:D136"/>
    <mergeCell ref="D137:D138"/>
    <mergeCell ref="D139:D140"/>
    <mergeCell ref="D141:D142"/>
    <mergeCell ref="D143:D144"/>
    <mergeCell ref="D145:D146"/>
    <mergeCell ref="D147:D148"/>
    <mergeCell ref="D149:D150"/>
    <mergeCell ref="D151:D152"/>
    <mergeCell ref="D153:D154"/>
    <mergeCell ref="D155:D156"/>
    <mergeCell ref="D157:D158"/>
    <mergeCell ref="D159:D160"/>
    <mergeCell ref="D161:D162"/>
    <mergeCell ref="D163:D164"/>
    <mergeCell ref="D165:D166"/>
    <mergeCell ref="D167:D168"/>
    <mergeCell ref="D169:D170"/>
    <mergeCell ref="D171:D172"/>
    <mergeCell ref="D173:D174"/>
    <mergeCell ref="D175:D176"/>
    <mergeCell ref="D177:D178"/>
    <mergeCell ref="D179:D180"/>
    <mergeCell ref="D181:D182"/>
    <mergeCell ref="D183:D184"/>
    <mergeCell ref="D185:D186"/>
    <mergeCell ref="D187:D188"/>
    <mergeCell ref="D189:D190"/>
    <mergeCell ref="D191:D192"/>
    <mergeCell ref="D193:D194"/>
    <mergeCell ref="D195:D196"/>
    <mergeCell ref="D197:D198"/>
    <mergeCell ref="D199:D200"/>
    <mergeCell ref="D201:D202"/>
    <mergeCell ref="D203:D204"/>
    <mergeCell ref="D205:D206"/>
    <mergeCell ref="D207:D208"/>
    <mergeCell ref="D209:D210"/>
    <mergeCell ref="D211:D212"/>
    <mergeCell ref="D213:D214"/>
    <mergeCell ref="D215:D216"/>
    <mergeCell ref="D217:D218"/>
    <mergeCell ref="D219:D220"/>
    <mergeCell ref="D221:D222"/>
    <mergeCell ref="D223:D224"/>
    <mergeCell ref="D225:D226"/>
    <mergeCell ref="D227:D228"/>
    <mergeCell ref="D229:D230"/>
    <mergeCell ref="D231:D232"/>
    <mergeCell ref="D233:D234"/>
    <mergeCell ref="D235:D236"/>
    <mergeCell ref="D237:D238"/>
    <mergeCell ref="D239:D240"/>
    <mergeCell ref="D241:D242"/>
    <mergeCell ref="D243:D244"/>
    <mergeCell ref="D245:D246"/>
    <mergeCell ref="D247:D248"/>
    <mergeCell ref="D249:D250"/>
    <mergeCell ref="D251:D252"/>
    <mergeCell ref="D253:D254"/>
    <mergeCell ref="D255:D256"/>
    <mergeCell ref="D257:D258"/>
    <mergeCell ref="D259:D260"/>
    <mergeCell ref="D261:D262"/>
    <mergeCell ref="D263:D264"/>
    <mergeCell ref="D265:D266"/>
    <mergeCell ref="D267:D268"/>
    <mergeCell ref="D269:D270"/>
    <mergeCell ref="D271:D272"/>
    <mergeCell ref="D273:D274"/>
    <mergeCell ref="D275:D276"/>
    <mergeCell ref="D277:D278"/>
    <mergeCell ref="D279:D280"/>
    <mergeCell ref="D281:D282"/>
    <mergeCell ref="D283:D284"/>
    <mergeCell ref="D285:D286"/>
    <mergeCell ref="D287:D288"/>
    <mergeCell ref="D289:D290"/>
    <mergeCell ref="D291:D292"/>
    <mergeCell ref="D293:D294"/>
    <mergeCell ref="D295:D296"/>
    <mergeCell ref="D297:D298"/>
    <mergeCell ref="D299:D300"/>
    <mergeCell ref="D301:D302"/>
    <mergeCell ref="D303:D304"/>
    <mergeCell ref="D305:D306"/>
    <mergeCell ref="D307:D308"/>
    <mergeCell ref="D309:D310"/>
    <mergeCell ref="D311:D312"/>
    <mergeCell ref="D313:D314"/>
    <mergeCell ref="D315:D316"/>
    <mergeCell ref="D317:D318"/>
    <mergeCell ref="D319:D320"/>
    <mergeCell ref="D321:D322"/>
    <mergeCell ref="D323:D324"/>
    <mergeCell ref="D325:D326"/>
    <mergeCell ref="D327:D328"/>
    <mergeCell ref="D329:D330"/>
    <mergeCell ref="D331:D332"/>
    <mergeCell ref="D333:D334"/>
    <mergeCell ref="D335:D336"/>
    <mergeCell ref="D337:D338"/>
    <mergeCell ref="D339:D340"/>
    <mergeCell ref="D341:D342"/>
    <mergeCell ref="D343:D344"/>
    <mergeCell ref="D345:D346"/>
    <mergeCell ref="D347:D348"/>
    <mergeCell ref="D349:D350"/>
    <mergeCell ref="D351:D352"/>
    <mergeCell ref="D353:D354"/>
    <mergeCell ref="D355:D356"/>
    <mergeCell ref="D357:D358"/>
    <mergeCell ref="D359:D360"/>
    <mergeCell ref="D361:D362"/>
    <mergeCell ref="D363:D364"/>
    <mergeCell ref="D365:D366"/>
    <mergeCell ref="D367:D368"/>
    <mergeCell ref="D369:D370"/>
    <mergeCell ref="D371:D372"/>
    <mergeCell ref="D373:D374"/>
    <mergeCell ref="D375:D376"/>
    <mergeCell ref="D377:D378"/>
    <mergeCell ref="D379:D380"/>
    <mergeCell ref="D381:D382"/>
    <mergeCell ref="D383:D384"/>
    <mergeCell ref="D385:D386"/>
    <mergeCell ref="D387:D388"/>
    <mergeCell ref="D389:D390"/>
    <mergeCell ref="D391:D392"/>
    <mergeCell ref="D393:D394"/>
    <mergeCell ref="D395:D396"/>
    <mergeCell ref="D397:D398"/>
    <mergeCell ref="D399:D400"/>
    <mergeCell ref="D401:D402"/>
    <mergeCell ref="D403:D404"/>
    <mergeCell ref="D405:D406"/>
    <mergeCell ref="D407:D408"/>
    <mergeCell ref="D409:D410"/>
    <mergeCell ref="D411:D412"/>
    <mergeCell ref="D413:D414"/>
    <mergeCell ref="D415:D416"/>
    <mergeCell ref="D417:D418"/>
    <mergeCell ref="D419:D420"/>
    <mergeCell ref="D421:D422"/>
    <mergeCell ref="D423:D424"/>
    <mergeCell ref="D425:D426"/>
    <mergeCell ref="D427:D428"/>
    <mergeCell ref="D429:D430"/>
    <mergeCell ref="D431:D432"/>
    <mergeCell ref="D433:D434"/>
    <mergeCell ref="D435:D436"/>
    <mergeCell ref="D437:D438"/>
    <mergeCell ref="D439:D440"/>
    <mergeCell ref="D441:D442"/>
    <mergeCell ref="D443:D444"/>
    <mergeCell ref="D445:D446"/>
    <mergeCell ref="D447:D448"/>
    <mergeCell ref="D449:D450"/>
    <mergeCell ref="D451:D452"/>
    <mergeCell ref="D453:D454"/>
    <mergeCell ref="D455:D456"/>
    <mergeCell ref="D457:D458"/>
    <mergeCell ref="D459:D460"/>
    <mergeCell ref="D461:D462"/>
    <mergeCell ref="D463:D464"/>
    <mergeCell ref="D465:D466"/>
    <mergeCell ref="D467:D468"/>
    <mergeCell ref="D469:D470"/>
    <mergeCell ref="D471:D472"/>
    <mergeCell ref="D473:D474"/>
    <mergeCell ref="D475:D476"/>
    <mergeCell ref="D477:D478"/>
    <mergeCell ref="D479:D480"/>
    <mergeCell ref="D481:D482"/>
    <mergeCell ref="D483:D484"/>
    <mergeCell ref="D485:D486"/>
    <mergeCell ref="D487:D488"/>
    <mergeCell ref="D489:D490"/>
    <mergeCell ref="D491:D492"/>
    <mergeCell ref="D493:D494"/>
    <mergeCell ref="D495:D496"/>
    <mergeCell ref="D497:D498"/>
    <mergeCell ref="D499:D500"/>
    <mergeCell ref="D501:D502"/>
    <mergeCell ref="D503:D504"/>
    <mergeCell ref="D505:D506"/>
    <mergeCell ref="D507:D508"/>
    <mergeCell ref="D509:D510"/>
    <mergeCell ref="D511:D512"/>
    <mergeCell ref="D513:D514"/>
    <mergeCell ref="D515:D516"/>
    <mergeCell ref="D517:D518"/>
    <mergeCell ref="D519:D520"/>
    <mergeCell ref="D521:D522"/>
    <mergeCell ref="D523:D524"/>
    <mergeCell ref="D525:D526"/>
    <mergeCell ref="D527:D528"/>
    <mergeCell ref="D529:D530"/>
    <mergeCell ref="D531:D532"/>
    <mergeCell ref="D533:D534"/>
    <mergeCell ref="D535:D536"/>
    <mergeCell ref="D537:D538"/>
    <mergeCell ref="D539:D540"/>
    <mergeCell ref="D541:D542"/>
    <mergeCell ref="D543:D544"/>
    <mergeCell ref="D545:D546"/>
    <mergeCell ref="D547:D548"/>
    <mergeCell ref="D549:D550"/>
    <mergeCell ref="D551:D552"/>
    <mergeCell ref="D553:D554"/>
    <mergeCell ref="D555:D556"/>
    <mergeCell ref="D557:D558"/>
    <mergeCell ref="D559:D560"/>
    <mergeCell ref="D561:D562"/>
    <mergeCell ref="D563:D564"/>
    <mergeCell ref="D565:D566"/>
    <mergeCell ref="D567:D568"/>
    <mergeCell ref="D569:D570"/>
    <mergeCell ref="D571:D572"/>
    <mergeCell ref="D573:D574"/>
    <mergeCell ref="D575:D576"/>
    <mergeCell ref="D577:D578"/>
    <mergeCell ref="D579:D580"/>
    <mergeCell ref="D581:D582"/>
    <mergeCell ref="D583:D584"/>
    <mergeCell ref="D585:D586"/>
    <mergeCell ref="D587:D588"/>
    <mergeCell ref="D589:D590"/>
    <mergeCell ref="D591:D592"/>
    <mergeCell ref="D593:D594"/>
    <mergeCell ref="D595:D596"/>
    <mergeCell ref="D597:D598"/>
    <mergeCell ref="D599:D600"/>
    <mergeCell ref="D601:D602"/>
    <mergeCell ref="D603:D604"/>
    <mergeCell ref="D605:D606"/>
    <mergeCell ref="D607:D608"/>
    <mergeCell ref="D609:D610"/>
    <mergeCell ref="D611:D612"/>
    <mergeCell ref="D613:D614"/>
    <mergeCell ref="D615:D616"/>
    <mergeCell ref="D617:D618"/>
    <mergeCell ref="D619:D620"/>
    <mergeCell ref="D621:D622"/>
    <mergeCell ref="D623:D624"/>
    <mergeCell ref="D625:D626"/>
    <mergeCell ref="D627:D628"/>
    <mergeCell ref="D629:D630"/>
    <mergeCell ref="D631:D632"/>
    <mergeCell ref="D633:D634"/>
    <mergeCell ref="D635:D636"/>
    <mergeCell ref="D637:D638"/>
    <mergeCell ref="D639:D640"/>
    <mergeCell ref="D641:D642"/>
    <mergeCell ref="D643:D644"/>
    <mergeCell ref="D645:D646"/>
    <mergeCell ref="D647:D648"/>
    <mergeCell ref="D649:D650"/>
    <mergeCell ref="D651:D652"/>
    <mergeCell ref="D653:D654"/>
    <mergeCell ref="D655:D656"/>
    <mergeCell ref="D657:D658"/>
    <mergeCell ref="D659:D660"/>
    <mergeCell ref="D661:D662"/>
    <mergeCell ref="D663:D664"/>
    <mergeCell ref="D665:D666"/>
    <mergeCell ref="D667:D668"/>
    <mergeCell ref="D669:D670"/>
    <mergeCell ref="D671:D672"/>
    <mergeCell ref="D673:D674"/>
    <mergeCell ref="D675:D676"/>
    <mergeCell ref="D677:D678"/>
    <mergeCell ref="D679:D680"/>
    <mergeCell ref="D681:D682"/>
    <mergeCell ref="D683:D684"/>
    <mergeCell ref="D685:D686"/>
    <mergeCell ref="D687:D688"/>
    <mergeCell ref="D689:D690"/>
    <mergeCell ref="D691:D692"/>
    <mergeCell ref="D693:D694"/>
    <mergeCell ref="D695:D696"/>
    <mergeCell ref="D697:D698"/>
    <mergeCell ref="D699:D700"/>
    <mergeCell ref="D701:D702"/>
    <mergeCell ref="D703:D704"/>
    <mergeCell ref="D705:D706"/>
    <mergeCell ref="D707:D708"/>
    <mergeCell ref="D709:D710"/>
    <mergeCell ref="D711:D712"/>
    <mergeCell ref="D713:D714"/>
    <mergeCell ref="D715:D716"/>
    <mergeCell ref="D717:D718"/>
    <mergeCell ref="D719:D720"/>
    <mergeCell ref="D721:D722"/>
    <mergeCell ref="D723:D724"/>
    <mergeCell ref="D725:D726"/>
    <mergeCell ref="D727:D728"/>
    <mergeCell ref="D729:D730"/>
    <mergeCell ref="D731:D732"/>
    <mergeCell ref="D733:D734"/>
    <mergeCell ref="D735:D736"/>
    <mergeCell ref="D737:D738"/>
    <mergeCell ref="D739:D740"/>
    <mergeCell ref="D741:D742"/>
    <mergeCell ref="D743:D744"/>
    <mergeCell ref="D745:D746"/>
    <mergeCell ref="D747:D748"/>
    <mergeCell ref="D749:D750"/>
    <mergeCell ref="D751:D752"/>
    <mergeCell ref="D753:D754"/>
    <mergeCell ref="D755:D756"/>
    <mergeCell ref="D757:D758"/>
    <mergeCell ref="D759:D760"/>
    <mergeCell ref="D761:D762"/>
    <mergeCell ref="D763:D764"/>
    <mergeCell ref="D765:D766"/>
    <mergeCell ref="D767:D768"/>
    <mergeCell ref="D769:D770"/>
    <mergeCell ref="D771:D772"/>
    <mergeCell ref="D773:D774"/>
    <mergeCell ref="D775:D776"/>
    <mergeCell ref="D777:D778"/>
    <mergeCell ref="D779:D780"/>
    <mergeCell ref="D781:D782"/>
    <mergeCell ref="D783:D784"/>
    <mergeCell ref="D785:D786"/>
    <mergeCell ref="D787:D788"/>
    <mergeCell ref="D789:D790"/>
    <mergeCell ref="D791:D792"/>
    <mergeCell ref="D793:D794"/>
    <mergeCell ref="D795:D796"/>
    <mergeCell ref="D797:D798"/>
    <mergeCell ref="D799:D800"/>
    <mergeCell ref="D801:D802"/>
    <mergeCell ref="D803:D804"/>
    <mergeCell ref="D805:D806"/>
    <mergeCell ref="D807:D808"/>
    <mergeCell ref="D809:D810"/>
    <mergeCell ref="D811:D812"/>
    <mergeCell ref="D813:D814"/>
    <mergeCell ref="D815:D816"/>
    <mergeCell ref="D817:D818"/>
    <mergeCell ref="D819:D820"/>
    <mergeCell ref="D821:D822"/>
    <mergeCell ref="D823:D824"/>
    <mergeCell ref="D825:D826"/>
    <mergeCell ref="D827:D828"/>
    <mergeCell ref="D829:D830"/>
    <mergeCell ref="D831:D832"/>
    <mergeCell ref="D833:D834"/>
    <mergeCell ref="D835:D836"/>
    <mergeCell ref="D837:D838"/>
    <mergeCell ref="D839:D840"/>
    <mergeCell ref="D841:D842"/>
    <mergeCell ref="D843:D844"/>
    <mergeCell ref="D845:D846"/>
    <mergeCell ref="D847:D848"/>
    <mergeCell ref="D849:D850"/>
    <mergeCell ref="D851:D852"/>
    <mergeCell ref="D853:D854"/>
    <mergeCell ref="D855:D856"/>
    <mergeCell ref="D857:D858"/>
    <mergeCell ref="D859:D860"/>
    <mergeCell ref="D861:D862"/>
    <mergeCell ref="D863:D864"/>
    <mergeCell ref="D865:D866"/>
    <mergeCell ref="D867:D868"/>
    <mergeCell ref="D869:D870"/>
    <mergeCell ref="D871:D872"/>
    <mergeCell ref="D873:D874"/>
    <mergeCell ref="D875:D876"/>
    <mergeCell ref="D877:D878"/>
    <mergeCell ref="D879:D880"/>
    <mergeCell ref="D881:D882"/>
    <mergeCell ref="D883:D884"/>
    <mergeCell ref="D885:D886"/>
    <mergeCell ref="D887:D888"/>
    <mergeCell ref="D889:D890"/>
    <mergeCell ref="D891:D892"/>
    <mergeCell ref="D893:D894"/>
    <mergeCell ref="D895:D896"/>
    <mergeCell ref="D897:D898"/>
    <mergeCell ref="D899:D900"/>
    <mergeCell ref="D901:D902"/>
    <mergeCell ref="D903:D904"/>
    <mergeCell ref="D905:D906"/>
    <mergeCell ref="D907:D908"/>
    <mergeCell ref="D909:D910"/>
    <mergeCell ref="D911:D912"/>
    <mergeCell ref="D913:D914"/>
    <mergeCell ref="D915:D916"/>
    <mergeCell ref="D917:D918"/>
    <mergeCell ref="D919:D920"/>
    <mergeCell ref="D921:D922"/>
    <mergeCell ref="D923:D924"/>
    <mergeCell ref="D925:D926"/>
    <mergeCell ref="D927:D928"/>
    <mergeCell ref="D929:D930"/>
    <mergeCell ref="D931:D932"/>
    <mergeCell ref="D933:D934"/>
    <mergeCell ref="D935:D936"/>
    <mergeCell ref="D937:D938"/>
    <mergeCell ref="D939:D940"/>
    <mergeCell ref="D941:D942"/>
    <mergeCell ref="D943:D944"/>
    <mergeCell ref="E5:E6"/>
    <mergeCell ref="E7:E8"/>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2"/>
    <mergeCell ref="E43:E44"/>
    <mergeCell ref="E45:E46"/>
    <mergeCell ref="E47:E48"/>
    <mergeCell ref="E49:E50"/>
    <mergeCell ref="E51:E52"/>
    <mergeCell ref="E53:E54"/>
    <mergeCell ref="E55:E56"/>
    <mergeCell ref="E57:E58"/>
    <mergeCell ref="E59:E60"/>
    <mergeCell ref="E61:E62"/>
    <mergeCell ref="E63:E64"/>
    <mergeCell ref="E65:E66"/>
    <mergeCell ref="E67:E68"/>
    <mergeCell ref="E69:E70"/>
    <mergeCell ref="E71:E72"/>
    <mergeCell ref="E73:E74"/>
    <mergeCell ref="E75:E76"/>
    <mergeCell ref="E77:E78"/>
    <mergeCell ref="E79:E80"/>
    <mergeCell ref="E81:E82"/>
    <mergeCell ref="E83:E84"/>
    <mergeCell ref="E85:E86"/>
    <mergeCell ref="E87:E88"/>
    <mergeCell ref="E89:E90"/>
    <mergeCell ref="E91:E92"/>
    <mergeCell ref="E93:E94"/>
    <mergeCell ref="E95:E96"/>
    <mergeCell ref="E97:E98"/>
    <mergeCell ref="E99:E100"/>
    <mergeCell ref="E101:E102"/>
    <mergeCell ref="E103:E104"/>
    <mergeCell ref="E105:E106"/>
    <mergeCell ref="E107:E108"/>
    <mergeCell ref="E109:E110"/>
    <mergeCell ref="E111:E112"/>
    <mergeCell ref="E113:E114"/>
    <mergeCell ref="E115:E116"/>
    <mergeCell ref="E117:E118"/>
    <mergeCell ref="E119:E120"/>
    <mergeCell ref="E121:E122"/>
    <mergeCell ref="E123:E124"/>
    <mergeCell ref="E125:E126"/>
    <mergeCell ref="E127:E128"/>
    <mergeCell ref="E129:E130"/>
    <mergeCell ref="E131:E132"/>
    <mergeCell ref="E133:E134"/>
    <mergeCell ref="E135:E136"/>
    <mergeCell ref="E137:E138"/>
    <mergeCell ref="E139:E140"/>
    <mergeCell ref="E141:E142"/>
    <mergeCell ref="E143:E144"/>
    <mergeCell ref="E145:E146"/>
    <mergeCell ref="E147:E148"/>
    <mergeCell ref="E149:E150"/>
    <mergeCell ref="E151:E152"/>
    <mergeCell ref="E153:E154"/>
    <mergeCell ref="E155:E156"/>
    <mergeCell ref="E157:E158"/>
    <mergeCell ref="E159:E160"/>
    <mergeCell ref="E161:E162"/>
    <mergeCell ref="E163:E164"/>
    <mergeCell ref="E165:E166"/>
    <mergeCell ref="E167:E168"/>
    <mergeCell ref="E169:E170"/>
    <mergeCell ref="E171:E172"/>
    <mergeCell ref="E173:E174"/>
    <mergeCell ref="E175:E176"/>
    <mergeCell ref="E177:E178"/>
    <mergeCell ref="E179:E180"/>
    <mergeCell ref="E181:E182"/>
    <mergeCell ref="E183:E184"/>
    <mergeCell ref="E185:E186"/>
    <mergeCell ref="E187:E188"/>
    <mergeCell ref="E189:E190"/>
    <mergeCell ref="E191:E192"/>
    <mergeCell ref="E193:E194"/>
    <mergeCell ref="E195:E196"/>
    <mergeCell ref="E197:E198"/>
    <mergeCell ref="E199:E200"/>
    <mergeCell ref="E201:E202"/>
    <mergeCell ref="E203:E204"/>
    <mergeCell ref="E205:E206"/>
    <mergeCell ref="E207:E208"/>
    <mergeCell ref="E209:E210"/>
    <mergeCell ref="E211:E212"/>
    <mergeCell ref="E213:E214"/>
    <mergeCell ref="E215:E216"/>
    <mergeCell ref="E217:E218"/>
    <mergeCell ref="E219:E220"/>
    <mergeCell ref="E221:E222"/>
    <mergeCell ref="E223:E224"/>
    <mergeCell ref="E225:E226"/>
    <mergeCell ref="E227:E228"/>
    <mergeCell ref="E229:E230"/>
    <mergeCell ref="E231:E232"/>
    <mergeCell ref="E233:E234"/>
    <mergeCell ref="E235:E236"/>
    <mergeCell ref="E237:E238"/>
    <mergeCell ref="E239:E240"/>
    <mergeCell ref="E241:E242"/>
    <mergeCell ref="E243:E244"/>
    <mergeCell ref="E245:E246"/>
    <mergeCell ref="E247:E248"/>
    <mergeCell ref="E249:E250"/>
    <mergeCell ref="E251:E252"/>
    <mergeCell ref="E253:E254"/>
    <mergeCell ref="E255:E256"/>
    <mergeCell ref="E257:E258"/>
    <mergeCell ref="E259:E260"/>
    <mergeCell ref="E261:E262"/>
    <mergeCell ref="E263:E264"/>
    <mergeCell ref="E265:E266"/>
    <mergeCell ref="E267:E268"/>
    <mergeCell ref="E269:E270"/>
    <mergeCell ref="E271:E272"/>
    <mergeCell ref="E273:E274"/>
    <mergeCell ref="E275:E276"/>
    <mergeCell ref="E277:E278"/>
    <mergeCell ref="E279:E280"/>
    <mergeCell ref="E281:E282"/>
    <mergeCell ref="E283:E284"/>
    <mergeCell ref="E285:E286"/>
    <mergeCell ref="E287:E288"/>
    <mergeCell ref="E289:E290"/>
    <mergeCell ref="E291:E292"/>
    <mergeCell ref="E293:E294"/>
    <mergeCell ref="E295:E296"/>
    <mergeCell ref="E297:E298"/>
    <mergeCell ref="E299:E300"/>
    <mergeCell ref="E301:E302"/>
    <mergeCell ref="E303:E304"/>
    <mergeCell ref="E305:E306"/>
    <mergeCell ref="E307:E308"/>
    <mergeCell ref="E309:E310"/>
    <mergeCell ref="E311:E312"/>
    <mergeCell ref="E313:E314"/>
    <mergeCell ref="E315:E316"/>
    <mergeCell ref="E317:E318"/>
    <mergeCell ref="E319:E320"/>
    <mergeCell ref="E321:E322"/>
    <mergeCell ref="E323:E324"/>
    <mergeCell ref="E325:E326"/>
    <mergeCell ref="E327:E328"/>
    <mergeCell ref="E329:E330"/>
    <mergeCell ref="E331:E332"/>
    <mergeCell ref="E333:E334"/>
    <mergeCell ref="E335:E336"/>
    <mergeCell ref="E337:E338"/>
    <mergeCell ref="E339:E340"/>
    <mergeCell ref="E341:E342"/>
    <mergeCell ref="E343:E344"/>
    <mergeCell ref="E345:E346"/>
    <mergeCell ref="E347:E348"/>
    <mergeCell ref="E349:E350"/>
    <mergeCell ref="E351:E352"/>
    <mergeCell ref="E353:E354"/>
    <mergeCell ref="E355:E356"/>
    <mergeCell ref="E357:E358"/>
    <mergeCell ref="E359:E360"/>
    <mergeCell ref="E361:E362"/>
    <mergeCell ref="E363:E364"/>
    <mergeCell ref="E365:E366"/>
    <mergeCell ref="E367:E368"/>
    <mergeCell ref="E369:E370"/>
    <mergeCell ref="E371:E372"/>
    <mergeCell ref="E373:E374"/>
    <mergeCell ref="E375:E376"/>
    <mergeCell ref="E377:E378"/>
    <mergeCell ref="E379:E380"/>
    <mergeCell ref="E381:E382"/>
    <mergeCell ref="E383:E384"/>
    <mergeCell ref="E385:E386"/>
    <mergeCell ref="E387:E388"/>
    <mergeCell ref="E389:E390"/>
    <mergeCell ref="E391:E392"/>
    <mergeCell ref="E393:E394"/>
    <mergeCell ref="E395:E396"/>
    <mergeCell ref="E397:E398"/>
    <mergeCell ref="E399:E400"/>
    <mergeCell ref="E401:E402"/>
    <mergeCell ref="E403:E404"/>
    <mergeCell ref="E405:E406"/>
    <mergeCell ref="E407:E408"/>
    <mergeCell ref="E409:E410"/>
    <mergeCell ref="E411:E412"/>
    <mergeCell ref="E413:E414"/>
    <mergeCell ref="E415:E416"/>
    <mergeCell ref="E417:E418"/>
    <mergeCell ref="E419:E420"/>
    <mergeCell ref="E421:E422"/>
    <mergeCell ref="E423:E424"/>
    <mergeCell ref="E425:E426"/>
    <mergeCell ref="E427:E428"/>
    <mergeCell ref="E429:E430"/>
    <mergeCell ref="E431:E432"/>
    <mergeCell ref="E433:E434"/>
    <mergeCell ref="E435:E436"/>
    <mergeCell ref="E437:E438"/>
    <mergeCell ref="E439:E440"/>
    <mergeCell ref="E441:E442"/>
    <mergeCell ref="E443:E444"/>
    <mergeCell ref="E445:E446"/>
    <mergeCell ref="E447:E448"/>
    <mergeCell ref="E449:E450"/>
    <mergeCell ref="E451:E452"/>
    <mergeCell ref="E453:E454"/>
    <mergeCell ref="E455:E456"/>
    <mergeCell ref="E457:E458"/>
    <mergeCell ref="E459:E460"/>
    <mergeCell ref="E461:E462"/>
    <mergeCell ref="E463:E464"/>
    <mergeCell ref="E465:E466"/>
    <mergeCell ref="E467:E468"/>
    <mergeCell ref="E469:E470"/>
    <mergeCell ref="E471:E472"/>
    <mergeCell ref="E473:E474"/>
    <mergeCell ref="E475:E476"/>
    <mergeCell ref="E477:E478"/>
    <mergeCell ref="E479:E480"/>
    <mergeCell ref="E481:E482"/>
    <mergeCell ref="E483:E484"/>
    <mergeCell ref="E485:E486"/>
    <mergeCell ref="E487:E488"/>
    <mergeCell ref="E489:E490"/>
    <mergeCell ref="E491:E492"/>
    <mergeCell ref="E493:E494"/>
    <mergeCell ref="E495:E496"/>
    <mergeCell ref="E497:E498"/>
    <mergeCell ref="E499:E500"/>
    <mergeCell ref="E501:E502"/>
    <mergeCell ref="E503:E504"/>
    <mergeCell ref="E505:E506"/>
    <mergeCell ref="E507:E508"/>
    <mergeCell ref="E509:E510"/>
    <mergeCell ref="E511:E512"/>
    <mergeCell ref="E513:E514"/>
    <mergeCell ref="E515:E516"/>
    <mergeCell ref="E517:E518"/>
    <mergeCell ref="E519:E520"/>
    <mergeCell ref="E521:E522"/>
    <mergeCell ref="E523:E524"/>
    <mergeCell ref="E525:E526"/>
    <mergeCell ref="E527:E528"/>
    <mergeCell ref="E529:E530"/>
    <mergeCell ref="E531:E532"/>
    <mergeCell ref="E533:E534"/>
    <mergeCell ref="E535:E536"/>
    <mergeCell ref="E537:E538"/>
    <mergeCell ref="E539:E540"/>
    <mergeCell ref="E541:E542"/>
    <mergeCell ref="E543:E544"/>
    <mergeCell ref="E545:E546"/>
    <mergeCell ref="E547:E548"/>
    <mergeCell ref="E549:E550"/>
    <mergeCell ref="E551:E552"/>
    <mergeCell ref="E553:E554"/>
    <mergeCell ref="E555:E556"/>
    <mergeCell ref="E557:E558"/>
    <mergeCell ref="E559:E560"/>
    <mergeCell ref="E561:E562"/>
    <mergeCell ref="E563:E564"/>
    <mergeCell ref="E565:E566"/>
    <mergeCell ref="E567:E568"/>
    <mergeCell ref="E569:E570"/>
    <mergeCell ref="E571:E572"/>
    <mergeCell ref="E573:E574"/>
    <mergeCell ref="E575:E576"/>
    <mergeCell ref="E577:E578"/>
    <mergeCell ref="E579:E580"/>
    <mergeCell ref="E581:E582"/>
    <mergeCell ref="E583:E584"/>
    <mergeCell ref="E585:E586"/>
    <mergeCell ref="E587:E588"/>
    <mergeCell ref="E589:E590"/>
    <mergeCell ref="E591:E592"/>
    <mergeCell ref="E593:E594"/>
    <mergeCell ref="E595:E596"/>
    <mergeCell ref="E597:E598"/>
    <mergeCell ref="E599:E600"/>
    <mergeCell ref="E601:E602"/>
    <mergeCell ref="E603:E604"/>
    <mergeCell ref="E605:E606"/>
    <mergeCell ref="E607:E608"/>
    <mergeCell ref="E609:E610"/>
    <mergeCell ref="E611:E612"/>
    <mergeCell ref="E613:E614"/>
    <mergeCell ref="E615:E616"/>
    <mergeCell ref="E617:E618"/>
    <mergeCell ref="E619:E620"/>
    <mergeCell ref="E621:E622"/>
    <mergeCell ref="E623:E624"/>
    <mergeCell ref="E625:E626"/>
    <mergeCell ref="E627:E628"/>
    <mergeCell ref="E629:E630"/>
    <mergeCell ref="E631:E632"/>
    <mergeCell ref="E633:E634"/>
    <mergeCell ref="E635:E636"/>
    <mergeCell ref="E637:E638"/>
    <mergeCell ref="E639:E640"/>
    <mergeCell ref="E641:E642"/>
    <mergeCell ref="E643:E644"/>
    <mergeCell ref="E645:E646"/>
    <mergeCell ref="E647:E648"/>
    <mergeCell ref="E649:E650"/>
    <mergeCell ref="E651:E652"/>
    <mergeCell ref="E653:E654"/>
    <mergeCell ref="E655:E656"/>
    <mergeCell ref="E657:E658"/>
    <mergeCell ref="E659:E660"/>
    <mergeCell ref="E661:E662"/>
    <mergeCell ref="E663:E664"/>
    <mergeCell ref="E665:E666"/>
    <mergeCell ref="E667:E668"/>
    <mergeCell ref="E669:E670"/>
    <mergeCell ref="E671:E672"/>
    <mergeCell ref="E673:E674"/>
    <mergeCell ref="E675:E676"/>
    <mergeCell ref="E677:E678"/>
    <mergeCell ref="E679:E680"/>
    <mergeCell ref="E681:E682"/>
    <mergeCell ref="E683:E684"/>
    <mergeCell ref="E685:E686"/>
    <mergeCell ref="E687:E688"/>
    <mergeCell ref="E689:E690"/>
    <mergeCell ref="E691:E692"/>
    <mergeCell ref="E693:E694"/>
    <mergeCell ref="E695:E696"/>
    <mergeCell ref="E697:E698"/>
    <mergeCell ref="E699:E700"/>
    <mergeCell ref="E701:E702"/>
    <mergeCell ref="E703:E704"/>
    <mergeCell ref="E705:E706"/>
    <mergeCell ref="E707:E708"/>
    <mergeCell ref="E709:E710"/>
    <mergeCell ref="E711:E712"/>
    <mergeCell ref="E713:E714"/>
    <mergeCell ref="E715:E716"/>
    <mergeCell ref="E717:E718"/>
    <mergeCell ref="E719:E720"/>
    <mergeCell ref="E721:E722"/>
    <mergeCell ref="E723:E724"/>
    <mergeCell ref="E725:E726"/>
    <mergeCell ref="E727:E728"/>
    <mergeCell ref="E729:E730"/>
    <mergeCell ref="E731:E732"/>
    <mergeCell ref="E733:E734"/>
    <mergeCell ref="E735:E736"/>
    <mergeCell ref="E737:E738"/>
    <mergeCell ref="E739:E740"/>
    <mergeCell ref="E741:E742"/>
    <mergeCell ref="E743:E744"/>
    <mergeCell ref="E745:E746"/>
    <mergeCell ref="E747:E748"/>
    <mergeCell ref="E749:E750"/>
    <mergeCell ref="E751:E752"/>
    <mergeCell ref="E753:E754"/>
    <mergeCell ref="E755:E756"/>
    <mergeCell ref="E757:E758"/>
    <mergeCell ref="E759:E760"/>
    <mergeCell ref="E761:E762"/>
    <mergeCell ref="E763:E764"/>
    <mergeCell ref="E765:E766"/>
    <mergeCell ref="E767:E768"/>
    <mergeCell ref="E769:E770"/>
    <mergeCell ref="E771:E772"/>
    <mergeCell ref="E773:E774"/>
    <mergeCell ref="E775:E776"/>
    <mergeCell ref="E777:E778"/>
    <mergeCell ref="E779:E780"/>
    <mergeCell ref="E781:E782"/>
    <mergeCell ref="E783:E784"/>
    <mergeCell ref="E785:E786"/>
    <mergeCell ref="E787:E788"/>
    <mergeCell ref="E789:E790"/>
    <mergeCell ref="E791:E792"/>
    <mergeCell ref="E793:E794"/>
    <mergeCell ref="E795:E796"/>
    <mergeCell ref="E797:E798"/>
    <mergeCell ref="E799:E800"/>
    <mergeCell ref="E801:E802"/>
    <mergeCell ref="E803:E804"/>
    <mergeCell ref="E805:E806"/>
    <mergeCell ref="E807:E808"/>
    <mergeCell ref="E809:E810"/>
    <mergeCell ref="E811:E812"/>
    <mergeCell ref="E813:E814"/>
    <mergeCell ref="E815:E816"/>
    <mergeCell ref="E817:E818"/>
    <mergeCell ref="E819:E820"/>
    <mergeCell ref="E821:E822"/>
    <mergeCell ref="E823:E824"/>
    <mergeCell ref="E825:E826"/>
    <mergeCell ref="E827:E828"/>
    <mergeCell ref="E877:E878"/>
    <mergeCell ref="E879:E880"/>
    <mergeCell ref="E881:E882"/>
    <mergeCell ref="E883:E884"/>
    <mergeCell ref="E885:E886"/>
    <mergeCell ref="E887:E888"/>
    <mergeCell ref="E889:E890"/>
    <mergeCell ref="E891:E892"/>
    <mergeCell ref="E893:E894"/>
    <mergeCell ref="E895:E896"/>
    <mergeCell ref="E829:E830"/>
    <mergeCell ref="E831:E832"/>
    <mergeCell ref="E833:E834"/>
    <mergeCell ref="E835:E836"/>
    <mergeCell ref="E837:E838"/>
    <mergeCell ref="E839:E840"/>
    <mergeCell ref="E841:E842"/>
    <mergeCell ref="E843:E844"/>
    <mergeCell ref="E845:E846"/>
    <mergeCell ref="E847:E848"/>
    <mergeCell ref="E849:E850"/>
    <mergeCell ref="E851:E852"/>
    <mergeCell ref="E853:E854"/>
    <mergeCell ref="E855:E856"/>
    <mergeCell ref="E857:E858"/>
    <mergeCell ref="E859:E860"/>
    <mergeCell ref="E861:E862"/>
    <mergeCell ref="P3:P4"/>
    <mergeCell ref="E931:E932"/>
    <mergeCell ref="E933:E934"/>
    <mergeCell ref="E935:E936"/>
    <mergeCell ref="E937:E938"/>
    <mergeCell ref="E939:E940"/>
    <mergeCell ref="E941:E942"/>
    <mergeCell ref="E943:E944"/>
    <mergeCell ref="E897:E898"/>
    <mergeCell ref="E899:E900"/>
    <mergeCell ref="E901:E902"/>
    <mergeCell ref="E903:E904"/>
    <mergeCell ref="E905:E906"/>
    <mergeCell ref="E907:E908"/>
    <mergeCell ref="E909:E910"/>
    <mergeCell ref="E911:E912"/>
    <mergeCell ref="E913:E914"/>
    <mergeCell ref="E915:E916"/>
    <mergeCell ref="E917:E918"/>
    <mergeCell ref="E919:E920"/>
    <mergeCell ref="E921:E922"/>
    <mergeCell ref="E923:E924"/>
    <mergeCell ref="E925:E926"/>
    <mergeCell ref="E927:E928"/>
    <mergeCell ref="E929:E930"/>
    <mergeCell ref="E863:E864"/>
    <mergeCell ref="E865:E866"/>
    <mergeCell ref="E867:E868"/>
    <mergeCell ref="E869:E870"/>
    <mergeCell ref="E871:E872"/>
    <mergeCell ref="E873:E874"/>
    <mergeCell ref="E875:E876"/>
  </mergeCells>
  <phoneticPr fontId="3"/>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3:D15"/>
  <sheetViews>
    <sheetView workbookViewId="0">
      <selection activeCell="I18" sqref="I18"/>
    </sheetView>
  </sheetViews>
  <sheetFormatPr defaultRowHeight="13"/>
  <cols>
    <col min="1" max="2" width="8.6640625" style="165"/>
    <col min="3" max="3" width="18.25" style="165" bestFit="1" customWidth="1"/>
    <col min="4" max="4" width="15.5" style="166" bestFit="1" customWidth="1"/>
    <col min="5" max="16384" width="8.6640625" style="165"/>
  </cols>
  <sheetData>
    <row r="3" spans="1:4">
      <c r="B3" s="165" t="s">
        <v>1709</v>
      </c>
    </row>
    <row r="5" spans="1:4">
      <c r="B5" s="165" t="s">
        <v>1576</v>
      </c>
      <c r="C5" s="165" t="s">
        <v>1710</v>
      </c>
      <c r="D5" s="166">
        <f>'[1]仕掛品（製造課）'!H947</f>
        <v>113608993.69890645</v>
      </c>
    </row>
    <row r="6" spans="1:4">
      <c r="C6" s="165" t="s">
        <v>1711</v>
      </c>
      <c r="D6" s="166">
        <f>'[1]仕掛品（製造課）'!H946</f>
        <v>246945</v>
      </c>
    </row>
    <row r="7" spans="1:4">
      <c r="C7" s="165" t="s">
        <v>1712</v>
      </c>
      <c r="D7" s="166">
        <f>ROUND(D5/D6,0)</f>
        <v>460</v>
      </c>
    </row>
    <row r="9" spans="1:4">
      <c r="B9" s="165" t="s">
        <v>1577</v>
      </c>
      <c r="C9" s="165" t="s">
        <v>1710</v>
      </c>
      <c r="D9" s="166">
        <f>'[1]仕掛品（製造課）'!I947</f>
        <v>178875254</v>
      </c>
    </row>
    <row r="10" spans="1:4">
      <c r="C10" s="165" t="s">
        <v>1713</v>
      </c>
      <c r="D10" s="166">
        <f>'[1]仕掛品（製造課）'!I946</f>
        <v>6057785.3159999717</v>
      </c>
    </row>
    <row r="11" spans="1:4">
      <c r="C11" s="165" t="s">
        <v>1714</v>
      </c>
      <c r="D11" s="166">
        <f>ROUND(D9/D10,0)</f>
        <v>30</v>
      </c>
    </row>
    <row r="13" spans="1:4">
      <c r="A13" s="165" t="s">
        <v>1715</v>
      </c>
      <c r="B13" s="165" t="s">
        <v>1716</v>
      </c>
      <c r="C13" s="165" t="s">
        <v>1710</v>
      </c>
      <c r="D13" s="166">
        <f>'[1]仕掛品（製造課）'!I947</f>
        <v>178875254</v>
      </c>
    </row>
    <row r="14" spans="1:4">
      <c r="C14" s="165" t="s">
        <v>1713</v>
      </c>
      <c r="D14" s="166">
        <f>'[1]仕掛品（製造課）'!I946</f>
        <v>6057785.3159999717</v>
      </c>
    </row>
    <row r="15" spans="1:4">
      <c r="C15" s="165" t="s">
        <v>1714</v>
      </c>
      <c r="D15" s="166">
        <f>ROUND(D13/D14,0)</f>
        <v>30</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2:I41"/>
  <sheetViews>
    <sheetView workbookViewId="0">
      <selection activeCell="H12" sqref="H12"/>
    </sheetView>
  </sheetViews>
  <sheetFormatPr defaultRowHeight="16.5"/>
  <cols>
    <col min="1" max="1" width="5.33203125" style="142" customWidth="1"/>
    <col min="2" max="5" width="8.6640625" style="143"/>
    <col min="6" max="6" width="15.9140625" style="142" customWidth="1"/>
    <col min="7" max="16384" width="8.6640625" style="142"/>
  </cols>
  <sheetData>
    <row r="2" spans="2:9">
      <c r="B2" s="139" t="s">
        <v>1573</v>
      </c>
      <c r="C2" s="140" t="s">
        <v>1574</v>
      </c>
      <c r="D2" s="141" t="s">
        <v>1575</v>
      </c>
      <c r="E2" s="141" t="s">
        <v>1576</v>
      </c>
      <c r="F2" s="140" t="s">
        <v>1577</v>
      </c>
      <c r="G2" s="140" t="s">
        <v>1578</v>
      </c>
    </row>
    <row r="3" spans="2:9">
      <c r="B3" s="143" t="s">
        <v>1579</v>
      </c>
      <c r="C3" s="144" t="s">
        <v>1615</v>
      </c>
      <c r="D3" s="144">
        <v>296.32651614758896</v>
      </c>
      <c r="E3" s="144">
        <v>251.17110715064339</v>
      </c>
      <c r="F3" s="144">
        <v>30</v>
      </c>
      <c r="G3" s="145">
        <v>577.49762329823238</v>
      </c>
      <c r="I3" s="142" t="b">
        <v>1</v>
      </c>
    </row>
    <row r="4" spans="2:9">
      <c r="B4" s="143" t="s">
        <v>1580</v>
      </c>
      <c r="C4" s="144" t="s">
        <v>1615</v>
      </c>
      <c r="D4" s="144">
        <v>541.39680617619649</v>
      </c>
      <c r="E4" s="144">
        <v>269.58919480097472</v>
      </c>
      <c r="F4" s="144">
        <v>60</v>
      </c>
      <c r="G4" s="145">
        <v>870.98600097717122</v>
      </c>
      <c r="I4" s="142" t="b">
        <v>1</v>
      </c>
    </row>
    <row r="5" spans="2:9">
      <c r="B5" s="143" t="s">
        <v>1581</v>
      </c>
      <c r="C5" s="144" t="s">
        <v>1615</v>
      </c>
      <c r="D5" s="144">
        <v>531.7133540935256</v>
      </c>
      <c r="E5" s="144">
        <v>476.89975401418718</v>
      </c>
      <c r="F5" s="144">
        <v>90</v>
      </c>
      <c r="G5" s="145">
        <v>1098.6131081077128</v>
      </c>
      <c r="I5" s="142" t="b">
        <v>1</v>
      </c>
    </row>
    <row r="6" spans="2:9">
      <c r="B6" s="143" t="s">
        <v>1582</v>
      </c>
      <c r="C6" s="144">
        <v>878</v>
      </c>
      <c r="D6" s="144">
        <v>0</v>
      </c>
      <c r="E6" s="144">
        <v>0</v>
      </c>
      <c r="F6" s="144">
        <v>30</v>
      </c>
      <c r="G6" s="145">
        <v>908</v>
      </c>
      <c r="I6" s="142" t="b">
        <v>1</v>
      </c>
    </row>
    <row r="7" spans="2:9">
      <c r="B7" s="143" t="s">
        <v>1583</v>
      </c>
      <c r="C7" s="144">
        <v>908</v>
      </c>
      <c r="D7" s="144">
        <v>14.118399999999999</v>
      </c>
      <c r="E7" s="144">
        <v>44</v>
      </c>
      <c r="F7" s="144">
        <v>30</v>
      </c>
      <c r="G7" s="145">
        <v>996.11839999999995</v>
      </c>
      <c r="I7" s="142" t="b">
        <v>1</v>
      </c>
    </row>
    <row r="8" spans="2:9">
      <c r="B8" s="143" t="s">
        <v>1584</v>
      </c>
      <c r="C8" s="144">
        <v>996.11839999999995</v>
      </c>
      <c r="D8" s="144">
        <v>0</v>
      </c>
      <c r="E8" s="144">
        <v>0.4</v>
      </c>
      <c r="F8" s="144">
        <v>30</v>
      </c>
      <c r="G8" s="145">
        <v>1026.5183999999999</v>
      </c>
      <c r="I8" s="142" t="b">
        <v>1</v>
      </c>
    </row>
    <row r="9" spans="2:9">
      <c r="B9" s="146" t="s">
        <v>1045</v>
      </c>
      <c r="C9" s="144">
        <v>1026.5183999999999</v>
      </c>
      <c r="D9" s="144">
        <v>0</v>
      </c>
      <c r="E9" s="144">
        <v>237</v>
      </c>
      <c r="F9" s="144">
        <v>30</v>
      </c>
      <c r="G9" s="145">
        <v>1293.5183999999999</v>
      </c>
      <c r="I9" s="142" t="b">
        <v>1</v>
      </c>
    </row>
    <row r="10" spans="2:9">
      <c r="B10" s="143" t="s">
        <v>1585</v>
      </c>
      <c r="C10" s="144">
        <v>996.11839999999995</v>
      </c>
      <c r="D10" s="144">
        <v>79</v>
      </c>
      <c r="E10" s="144">
        <v>69.900000000000006</v>
      </c>
      <c r="F10" s="144">
        <v>30</v>
      </c>
      <c r="G10" s="145">
        <v>1175.0183999999999</v>
      </c>
      <c r="I10" s="142" t="b">
        <v>1</v>
      </c>
    </row>
    <row r="11" spans="2:9">
      <c r="B11" s="146" t="s">
        <v>1586</v>
      </c>
      <c r="C11" s="144">
        <v>1175.0183999999999</v>
      </c>
      <c r="D11" s="144">
        <v>0</v>
      </c>
      <c r="E11" s="144">
        <v>168.3</v>
      </c>
      <c r="F11" s="144">
        <v>30</v>
      </c>
      <c r="G11" s="145">
        <v>1373.3183999999999</v>
      </c>
      <c r="I11" s="142" t="b">
        <v>1</v>
      </c>
    </row>
    <row r="12" spans="2:9">
      <c r="B12" s="143" t="s">
        <v>1587</v>
      </c>
      <c r="C12" s="144">
        <v>996.11839999999995</v>
      </c>
      <c r="D12" s="144">
        <v>41</v>
      </c>
      <c r="E12" s="144">
        <v>61.3</v>
      </c>
      <c r="F12" s="144">
        <v>30</v>
      </c>
      <c r="G12" s="145">
        <v>1128.4183999999998</v>
      </c>
      <c r="I12" s="142" t="b">
        <v>1</v>
      </c>
    </row>
    <row r="13" spans="2:9">
      <c r="B13" s="143" t="s">
        <v>1588</v>
      </c>
      <c r="C13" s="144">
        <v>1128.4183999999998</v>
      </c>
      <c r="D13" s="144">
        <v>0</v>
      </c>
      <c r="E13" s="144">
        <v>228.8</v>
      </c>
      <c r="F13" s="144">
        <v>30</v>
      </c>
      <c r="G13" s="145">
        <v>1387.2183999999997</v>
      </c>
      <c r="I13" s="142" t="b">
        <v>1</v>
      </c>
    </row>
    <row r="14" spans="2:9">
      <c r="B14" s="146" t="s">
        <v>1589</v>
      </c>
      <c r="C14" s="144">
        <v>1387.2183999999997</v>
      </c>
      <c r="D14" s="144">
        <v>0</v>
      </c>
      <c r="E14" s="144">
        <v>105.9</v>
      </c>
      <c r="F14" s="144">
        <v>30</v>
      </c>
      <c r="G14" s="145">
        <v>1523.1183999999998</v>
      </c>
      <c r="I14" s="142" t="b">
        <v>1</v>
      </c>
    </row>
    <row r="15" spans="2:9">
      <c r="B15" s="146" t="s">
        <v>1590</v>
      </c>
      <c r="C15" s="144">
        <v>996.11839999999995</v>
      </c>
      <c r="D15" s="144">
        <v>0</v>
      </c>
      <c r="E15" s="144">
        <v>469.5</v>
      </c>
      <c r="F15" s="144">
        <v>30</v>
      </c>
      <c r="G15" s="145">
        <v>1495.6183999999998</v>
      </c>
      <c r="I15" s="142" t="b">
        <v>1</v>
      </c>
    </row>
    <row r="16" spans="2:9">
      <c r="B16" s="143" t="s">
        <v>1591</v>
      </c>
      <c r="C16" s="144">
        <v>908</v>
      </c>
      <c r="D16" s="144">
        <v>0</v>
      </c>
      <c r="E16" s="144">
        <v>53</v>
      </c>
      <c r="F16" s="144">
        <v>30</v>
      </c>
      <c r="G16" s="145">
        <v>991</v>
      </c>
      <c r="I16" s="142" t="b">
        <v>1</v>
      </c>
    </row>
    <row r="17" spans="2:9">
      <c r="B17" s="146" t="s">
        <v>1592</v>
      </c>
      <c r="C17" s="144">
        <v>991</v>
      </c>
      <c r="D17" s="144">
        <v>0</v>
      </c>
      <c r="E17" s="144">
        <v>192</v>
      </c>
      <c r="F17" s="144">
        <v>30</v>
      </c>
      <c r="G17" s="145">
        <v>1213</v>
      </c>
      <c r="I17" s="142" t="b">
        <v>1</v>
      </c>
    </row>
    <row r="18" spans="2:9">
      <c r="B18" s="143" t="s">
        <v>1593</v>
      </c>
      <c r="C18" s="144">
        <v>908</v>
      </c>
      <c r="D18" s="144">
        <v>0</v>
      </c>
      <c r="E18" s="144">
        <v>478</v>
      </c>
      <c r="F18" s="144">
        <v>30</v>
      </c>
      <c r="G18" s="145">
        <v>1416</v>
      </c>
      <c r="I18" s="142" t="b">
        <v>1</v>
      </c>
    </row>
    <row r="19" spans="2:9">
      <c r="B19" s="146" t="s">
        <v>1058</v>
      </c>
      <c r="C19" s="144">
        <v>1416</v>
      </c>
      <c r="D19" s="144">
        <v>0</v>
      </c>
      <c r="E19" s="144">
        <v>137</v>
      </c>
      <c r="F19" s="144">
        <v>30</v>
      </c>
      <c r="G19" s="145">
        <v>1583</v>
      </c>
      <c r="I19" s="142" t="b">
        <v>1</v>
      </c>
    </row>
    <row r="20" spans="2:9">
      <c r="B20" s="146" t="s">
        <v>1594</v>
      </c>
      <c r="C20" s="144">
        <v>735</v>
      </c>
      <c r="D20" s="144">
        <v>0</v>
      </c>
      <c r="E20" s="144">
        <v>82</v>
      </c>
      <c r="F20" s="144">
        <v>30</v>
      </c>
      <c r="G20" s="145">
        <v>847</v>
      </c>
      <c r="I20" s="142" t="b">
        <v>1</v>
      </c>
    </row>
    <row r="21" spans="2:9">
      <c r="B21" s="143" t="s">
        <v>1595</v>
      </c>
      <c r="C21" s="144">
        <v>1142</v>
      </c>
      <c r="D21" s="144">
        <v>0</v>
      </c>
      <c r="E21" s="144">
        <v>4</v>
      </c>
      <c r="F21" s="144">
        <v>30</v>
      </c>
      <c r="G21" s="145">
        <v>1176</v>
      </c>
      <c r="I21" s="142" t="b">
        <v>1</v>
      </c>
    </row>
    <row r="22" spans="2:9">
      <c r="B22" s="143" t="s">
        <v>1596</v>
      </c>
      <c r="C22" s="144">
        <v>1176</v>
      </c>
      <c r="D22" s="144">
        <v>0</v>
      </c>
      <c r="E22" s="144">
        <v>8</v>
      </c>
      <c r="F22" s="144">
        <v>30</v>
      </c>
      <c r="G22" s="145">
        <v>1214</v>
      </c>
      <c r="I22" s="142" t="b">
        <v>1</v>
      </c>
    </row>
    <row r="23" spans="2:9">
      <c r="B23" s="143" t="s">
        <v>1597</v>
      </c>
      <c r="C23" s="144">
        <v>1214</v>
      </c>
      <c r="D23" s="144">
        <v>0</v>
      </c>
      <c r="E23" s="144">
        <v>96</v>
      </c>
      <c r="F23" s="144">
        <v>30</v>
      </c>
      <c r="G23" s="145">
        <v>1340</v>
      </c>
      <c r="I23" s="142" t="b">
        <v>1</v>
      </c>
    </row>
    <row r="24" spans="2:9">
      <c r="B24" s="146" t="s">
        <v>1598</v>
      </c>
      <c r="C24" s="144">
        <v>1340</v>
      </c>
      <c r="D24" s="144">
        <v>0</v>
      </c>
      <c r="E24" s="144">
        <v>424</v>
      </c>
      <c r="F24" s="144">
        <v>30</v>
      </c>
      <c r="G24" s="145">
        <v>1794</v>
      </c>
      <c r="I24" s="142" t="b">
        <v>1</v>
      </c>
    </row>
    <row r="25" spans="2:9">
      <c r="B25" s="143" t="s">
        <v>1599</v>
      </c>
      <c r="C25" s="144">
        <v>1176</v>
      </c>
      <c r="D25" s="144">
        <v>0</v>
      </c>
      <c r="E25" s="144">
        <v>48</v>
      </c>
      <c r="F25" s="144">
        <v>30</v>
      </c>
      <c r="G25" s="145">
        <v>1254</v>
      </c>
      <c r="I25" s="142" t="b">
        <v>1</v>
      </c>
    </row>
    <row r="26" spans="2:9">
      <c r="B26" s="143" t="s">
        <v>1600</v>
      </c>
      <c r="C26" s="144">
        <v>1254</v>
      </c>
      <c r="D26" s="144">
        <v>0</v>
      </c>
      <c r="E26" s="144">
        <v>0</v>
      </c>
      <c r="F26" s="144">
        <v>30</v>
      </c>
      <c r="G26" s="145">
        <v>1284</v>
      </c>
      <c r="I26" s="142" t="b">
        <v>1</v>
      </c>
    </row>
    <row r="27" spans="2:9">
      <c r="B27" s="143" t="s">
        <v>1601</v>
      </c>
      <c r="C27" s="144">
        <v>1253</v>
      </c>
      <c r="D27" s="144">
        <v>0</v>
      </c>
      <c r="E27" s="144">
        <v>0</v>
      </c>
      <c r="F27" s="144">
        <v>30</v>
      </c>
      <c r="G27" s="145">
        <v>1283</v>
      </c>
      <c r="I27" s="142" t="b">
        <v>1</v>
      </c>
    </row>
    <row r="28" spans="2:9">
      <c r="B28" s="143" t="s">
        <v>1602</v>
      </c>
      <c r="C28" s="144">
        <v>1284</v>
      </c>
      <c r="D28" s="144">
        <v>0</v>
      </c>
      <c r="E28" s="144">
        <v>0</v>
      </c>
      <c r="F28" s="144">
        <v>30</v>
      </c>
      <c r="G28" s="145">
        <v>1314</v>
      </c>
      <c r="I28" s="142" t="b">
        <v>1</v>
      </c>
    </row>
    <row r="29" spans="2:9">
      <c r="B29" s="143" t="s">
        <v>1055</v>
      </c>
      <c r="C29" s="144">
        <v>1314</v>
      </c>
      <c r="D29" s="144">
        <v>0</v>
      </c>
      <c r="E29" s="144">
        <v>94</v>
      </c>
      <c r="F29" s="144">
        <v>30</v>
      </c>
      <c r="G29" s="145">
        <v>1438</v>
      </c>
      <c r="I29" s="142" t="b">
        <v>1</v>
      </c>
    </row>
    <row r="30" spans="2:9">
      <c r="B30" s="146" t="s">
        <v>1603</v>
      </c>
      <c r="C30" s="144">
        <v>1438</v>
      </c>
      <c r="D30" s="144">
        <v>832</v>
      </c>
      <c r="E30" s="144">
        <v>114</v>
      </c>
      <c r="F30" s="144">
        <v>30</v>
      </c>
      <c r="G30" s="145">
        <v>2414</v>
      </c>
      <c r="I30" s="142" t="b">
        <v>1</v>
      </c>
    </row>
    <row r="31" spans="2:9">
      <c r="B31" s="143" t="s">
        <v>1604</v>
      </c>
      <c r="C31" s="144">
        <v>1284</v>
      </c>
      <c r="D31" s="144">
        <v>0</v>
      </c>
      <c r="E31" s="144">
        <v>141</v>
      </c>
      <c r="F31" s="144">
        <v>30</v>
      </c>
      <c r="G31" s="145">
        <v>1455</v>
      </c>
      <c r="I31" s="142" t="b">
        <v>1</v>
      </c>
    </row>
    <row r="32" spans="2:9">
      <c r="B32" s="146" t="s">
        <v>1605</v>
      </c>
      <c r="C32" s="144">
        <v>1455</v>
      </c>
      <c r="D32" s="144">
        <v>3792</v>
      </c>
      <c r="E32" s="144">
        <v>503</v>
      </c>
      <c r="F32" s="144">
        <v>30</v>
      </c>
      <c r="G32" s="145">
        <v>5780</v>
      </c>
      <c r="I32" s="142" t="b">
        <v>1</v>
      </c>
    </row>
    <row r="33" spans="2:9">
      <c r="B33" s="143" t="s">
        <v>1606</v>
      </c>
      <c r="C33" s="144">
        <v>1293.5183999999999</v>
      </c>
      <c r="D33" s="144">
        <v>967.2</v>
      </c>
      <c r="E33" s="144">
        <v>54</v>
      </c>
      <c r="F33" s="144">
        <v>30</v>
      </c>
      <c r="G33" s="145">
        <v>2344.7183999999997</v>
      </c>
      <c r="I33" s="142" t="b">
        <v>1</v>
      </c>
    </row>
    <row r="34" spans="2:9">
      <c r="B34" s="143" t="s">
        <v>1607</v>
      </c>
      <c r="C34" s="144">
        <v>2344.7183999999997</v>
      </c>
      <c r="D34" s="144">
        <v>0</v>
      </c>
      <c r="E34" s="144">
        <v>0</v>
      </c>
      <c r="F34" s="144">
        <v>30</v>
      </c>
      <c r="G34" s="145">
        <v>2374.7183999999997</v>
      </c>
      <c r="I34" s="142" t="b">
        <v>1</v>
      </c>
    </row>
    <row r="35" spans="2:9">
      <c r="B35" s="143" t="s">
        <v>1608</v>
      </c>
      <c r="C35" s="144">
        <v>2374.7183999999997</v>
      </c>
      <c r="D35" s="144">
        <v>0</v>
      </c>
      <c r="E35" s="144">
        <v>0</v>
      </c>
      <c r="F35" s="144">
        <v>30</v>
      </c>
      <c r="G35" s="145">
        <v>2404.7183999999997</v>
      </c>
      <c r="I35" s="142" t="b">
        <v>1</v>
      </c>
    </row>
    <row r="36" spans="2:9">
      <c r="B36" s="143" t="s">
        <v>1609</v>
      </c>
      <c r="C36" s="144">
        <v>2404.7183999999997</v>
      </c>
      <c r="D36" s="144">
        <v>0</v>
      </c>
      <c r="E36" s="144">
        <v>110</v>
      </c>
      <c r="F36" s="144">
        <v>30</v>
      </c>
      <c r="G36" s="145">
        <v>2544.7183999999997</v>
      </c>
      <c r="I36" s="142" t="b">
        <v>1</v>
      </c>
    </row>
    <row r="37" spans="2:9">
      <c r="B37" s="146" t="s">
        <v>1610</v>
      </c>
      <c r="C37" s="144">
        <v>2544.7183999999997</v>
      </c>
      <c r="D37" s="144">
        <v>333</v>
      </c>
      <c r="E37" s="144">
        <v>85</v>
      </c>
      <c r="F37" s="144">
        <v>30</v>
      </c>
      <c r="G37" s="145">
        <v>2992.7183999999997</v>
      </c>
      <c r="I37" s="142" t="b">
        <v>1</v>
      </c>
    </row>
    <row r="38" spans="2:9">
      <c r="B38" s="143" t="s">
        <v>1611</v>
      </c>
      <c r="C38" s="144">
        <v>1217</v>
      </c>
      <c r="D38" s="144" t="s">
        <v>1615</v>
      </c>
      <c r="E38" s="144" t="s">
        <v>1615</v>
      </c>
      <c r="F38" s="144">
        <v>30</v>
      </c>
      <c r="G38" s="145">
        <v>1247</v>
      </c>
      <c r="I38" s="142" t="b">
        <v>1</v>
      </c>
    </row>
    <row r="39" spans="2:9">
      <c r="B39" s="146" t="s">
        <v>1612</v>
      </c>
      <c r="C39" s="144">
        <v>1972.0805494321223</v>
      </c>
      <c r="D39" s="144">
        <v>0</v>
      </c>
      <c r="E39" s="144">
        <v>0</v>
      </c>
      <c r="F39" s="144">
        <v>30</v>
      </c>
      <c r="G39" s="145">
        <v>2002.0805494321223</v>
      </c>
      <c r="I39" s="142" t="b">
        <v>1</v>
      </c>
    </row>
    <row r="40" spans="2:9">
      <c r="B40" s="143" t="s">
        <v>1613</v>
      </c>
      <c r="C40" s="144">
        <v>0</v>
      </c>
      <c r="D40" s="144">
        <v>0</v>
      </c>
      <c r="E40" s="144">
        <v>0</v>
      </c>
      <c r="F40" s="144">
        <v>0</v>
      </c>
      <c r="G40" s="145">
        <v>359.30243945602575</v>
      </c>
    </row>
    <row r="41" spans="2:9">
      <c r="B41" s="143" t="s">
        <v>1614</v>
      </c>
      <c r="C41" s="144">
        <v>0</v>
      </c>
      <c r="D41" s="144">
        <v>0</v>
      </c>
      <c r="E41" s="144">
        <v>0</v>
      </c>
      <c r="F41" s="144">
        <v>0</v>
      </c>
      <c r="G41" s="145">
        <v>1080</v>
      </c>
      <c r="I41" s="145"/>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B1:C473"/>
  <sheetViews>
    <sheetView workbookViewId="0">
      <selection activeCell="H12" sqref="H12"/>
    </sheetView>
  </sheetViews>
  <sheetFormatPr defaultRowHeight="18"/>
  <cols>
    <col min="2" max="3" width="23.5" style="156" bestFit="1" customWidth="1"/>
  </cols>
  <sheetData>
    <row r="1" spans="2:3" ht="21">
      <c r="B1" s="147"/>
      <c r="C1" s="148"/>
    </row>
    <row r="2" spans="2:3" ht="21">
      <c r="B2" s="149"/>
      <c r="C2" s="149"/>
    </row>
    <row r="3" spans="2:3">
      <c r="B3" s="150" t="s">
        <v>1616</v>
      </c>
      <c r="C3" s="150"/>
    </row>
    <row r="4" spans="2:3">
      <c r="B4" s="151" t="s">
        <v>245</v>
      </c>
      <c r="C4" s="151" t="s">
        <v>505</v>
      </c>
    </row>
    <row r="5" spans="2:3">
      <c r="B5" s="151" t="s">
        <v>249</v>
      </c>
      <c r="C5" s="151" t="s">
        <v>505</v>
      </c>
    </row>
    <row r="6" spans="2:3">
      <c r="B6" s="151" t="s">
        <v>250</v>
      </c>
      <c r="C6" s="151" t="s">
        <v>157</v>
      </c>
    </row>
    <row r="7" spans="2:3">
      <c r="B7" s="151" t="s">
        <v>252</v>
      </c>
      <c r="C7" s="151" t="s">
        <v>505</v>
      </c>
    </row>
    <row r="8" spans="2:3">
      <c r="B8" s="148" t="s">
        <v>1617</v>
      </c>
      <c r="C8" s="148" t="s">
        <v>1618</v>
      </c>
    </row>
    <row r="9" spans="2:3">
      <c r="B9" s="151" t="s">
        <v>1619</v>
      </c>
      <c r="C9" s="148" t="s">
        <v>1618</v>
      </c>
    </row>
    <row r="10" spans="2:3">
      <c r="B10" s="151" t="s">
        <v>1620</v>
      </c>
      <c r="C10" s="148" t="s">
        <v>1618</v>
      </c>
    </row>
    <row r="11" spans="2:3">
      <c r="B11" s="148" t="s">
        <v>257</v>
      </c>
      <c r="C11" s="148" t="s">
        <v>1618</v>
      </c>
    </row>
    <row r="12" spans="2:3">
      <c r="B12" s="148" t="s">
        <v>22</v>
      </c>
      <c r="C12" s="148" t="s">
        <v>1618</v>
      </c>
    </row>
    <row r="13" spans="2:3">
      <c r="B13" s="148" t="s">
        <v>258</v>
      </c>
      <c r="C13" s="148" t="s">
        <v>1618</v>
      </c>
    </row>
    <row r="14" spans="2:3">
      <c r="B14" s="151" t="s">
        <v>259</v>
      </c>
      <c r="C14" s="151" t="s">
        <v>545</v>
      </c>
    </row>
    <row r="15" spans="2:3">
      <c r="B15" s="151" t="s">
        <v>260</v>
      </c>
      <c r="C15" s="148" t="s">
        <v>1618</v>
      </c>
    </row>
    <row r="16" spans="2:3">
      <c r="B16" s="151" t="s">
        <v>1621</v>
      </c>
      <c r="C16" s="148" t="s">
        <v>1618</v>
      </c>
    </row>
    <row r="17" spans="2:3">
      <c r="B17" s="151" t="s">
        <v>1622</v>
      </c>
      <c r="C17" s="148" t="s">
        <v>1618</v>
      </c>
    </row>
    <row r="18" spans="2:3">
      <c r="B18" s="148" t="s">
        <v>263</v>
      </c>
      <c r="C18" s="148" t="s">
        <v>1618</v>
      </c>
    </row>
    <row r="19" spans="2:3">
      <c r="B19" s="151" t="s">
        <v>21</v>
      </c>
      <c r="C19" s="148" t="s">
        <v>1618</v>
      </c>
    </row>
    <row r="20" spans="2:3">
      <c r="B20" s="151" t="s">
        <v>20</v>
      </c>
      <c r="C20" s="148" t="s">
        <v>1623</v>
      </c>
    </row>
    <row r="21" spans="2:3">
      <c r="B21" s="151" t="s">
        <v>264</v>
      </c>
      <c r="C21" s="151" t="s">
        <v>157</v>
      </c>
    </row>
    <row r="22" spans="2:3">
      <c r="B22" s="151" t="s">
        <v>266</v>
      </c>
      <c r="C22" s="151" t="s">
        <v>505</v>
      </c>
    </row>
    <row r="23" spans="2:3">
      <c r="B23" s="151" t="s">
        <v>267</v>
      </c>
      <c r="C23" s="148" t="s">
        <v>1618</v>
      </c>
    </row>
    <row r="24" spans="2:3">
      <c r="B24" s="148" t="s">
        <v>1624</v>
      </c>
      <c r="C24" s="148" t="s">
        <v>1618</v>
      </c>
    </row>
    <row r="25" spans="2:3">
      <c r="B25" s="148" t="s">
        <v>25</v>
      </c>
      <c r="C25" s="148" t="s">
        <v>1618</v>
      </c>
    </row>
    <row r="26" spans="2:3">
      <c r="B26" s="151" t="s">
        <v>268</v>
      </c>
      <c r="C26" s="148" t="s">
        <v>1618</v>
      </c>
    </row>
    <row r="27" spans="2:3">
      <c r="B27" s="151" t="s">
        <v>1625</v>
      </c>
      <c r="C27" s="148" t="s">
        <v>1618</v>
      </c>
    </row>
    <row r="28" spans="2:3">
      <c r="B28" s="151" t="s">
        <v>269</v>
      </c>
      <c r="C28" s="151" t="s">
        <v>545</v>
      </c>
    </row>
    <row r="29" spans="2:3">
      <c r="B29" s="148" t="s">
        <v>23</v>
      </c>
      <c r="C29" s="148" t="s">
        <v>1618</v>
      </c>
    </row>
    <row r="30" spans="2:3">
      <c r="B30" s="151" t="s">
        <v>270</v>
      </c>
      <c r="C30" s="148" t="s">
        <v>1618</v>
      </c>
    </row>
    <row r="31" spans="2:3">
      <c r="B31" s="151" t="s">
        <v>271</v>
      </c>
      <c r="C31" s="148" t="s">
        <v>1626</v>
      </c>
    </row>
    <row r="32" spans="2:3">
      <c r="B32" s="151" t="s">
        <v>272</v>
      </c>
      <c r="C32" s="148" t="s">
        <v>1618</v>
      </c>
    </row>
    <row r="33" spans="2:3">
      <c r="B33" s="151" t="s">
        <v>273</v>
      </c>
      <c r="C33" s="148" t="s">
        <v>1618</v>
      </c>
    </row>
    <row r="34" spans="2:3">
      <c r="B34" s="148" t="s">
        <v>1627</v>
      </c>
      <c r="C34" s="148" t="s">
        <v>1618</v>
      </c>
    </row>
    <row r="35" spans="2:3">
      <c r="B35" s="151" t="s">
        <v>274</v>
      </c>
      <c r="C35" s="151" t="s">
        <v>157</v>
      </c>
    </row>
    <row r="36" spans="2:3">
      <c r="B36" s="151" t="s">
        <v>275</v>
      </c>
      <c r="C36" s="151" t="s">
        <v>1628</v>
      </c>
    </row>
    <row r="37" spans="2:3">
      <c r="B37" s="151" t="s">
        <v>277</v>
      </c>
      <c r="C37" s="151" t="s">
        <v>505</v>
      </c>
    </row>
    <row r="38" spans="2:3">
      <c r="B38" s="151" t="s">
        <v>278</v>
      </c>
      <c r="C38" s="148" t="s">
        <v>1618</v>
      </c>
    </row>
    <row r="39" spans="2:3">
      <c r="B39" s="151" t="s">
        <v>29</v>
      </c>
      <c r="C39" s="148" t="s">
        <v>1618</v>
      </c>
    </row>
    <row r="40" spans="2:3">
      <c r="B40" s="148" t="s">
        <v>1629</v>
      </c>
      <c r="C40" s="148" t="s">
        <v>1618</v>
      </c>
    </row>
    <row r="41" spans="2:3">
      <c r="B41" s="151" t="s">
        <v>1630</v>
      </c>
      <c r="C41" s="148" t="s">
        <v>1618</v>
      </c>
    </row>
    <row r="42" spans="2:3">
      <c r="B42" s="151" t="s">
        <v>280</v>
      </c>
      <c r="C42" s="151" t="s">
        <v>545</v>
      </c>
    </row>
    <row r="43" spans="2:3">
      <c r="B43" s="151" t="s">
        <v>281</v>
      </c>
      <c r="C43" s="151" t="s">
        <v>1631</v>
      </c>
    </row>
    <row r="44" spans="2:3">
      <c r="B44" s="148" t="s">
        <v>1632</v>
      </c>
      <c r="C44" s="148" t="s">
        <v>1618</v>
      </c>
    </row>
    <row r="45" spans="2:3">
      <c r="B45" s="148" t="s">
        <v>1633</v>
      </c>
      <c r="C45" s="148" t="s">
        <v>1618</v>
      </c>
    </row>
    <row r="46" spans="2:3">
      <c r="B46" s="151" t="s">
        <v>283</v>
      </c>
      <c r="C46" s="148" t="s">
        <v>1618</v>
      </c>
    </row>
    <row r="47" spans="2:3">
      <c r="B47" s="151" t="s">
        <v>1634</v>
      </c>
      <c r="C47" s="148" t="s">
        <v>1618</v>
      </c>
    </row>
    <row r="48" spans="2:3">
      <c r="B48" s="151" t="s">
        <v>1635</v>
      </c>
      <c r="C48" s="148" t="s">
        <v>1618</v>
      </c>
    </row>
    <row r="49" spans="2:3">
      <c r="B49" s="151" t="s">
        <v>285</v>
      </c>
      <c r="C49" s="148" t="s">
        <v>1618</v>
      </c>
    </row>
    <row r="50" spans="2:3">
      <c r="B50" s="148" t="s">
        <v>1636</v>
      </c>
      <c r="C50" s="148" t="s">
        <v>1618</v>
      </c>
    </row>
    <row r="51" spans="2:3">
      <c r="B51" s="151" t="s">
        <v>287</v>
      </c>
      <c r="C51" s="148" t="s">
        <v>1626</v>
      </c>
    </row>
    <row r="52" spans="2:3">
      <c r="B52" s="148" t="s">
        <v>1637</v>
      </c>
      <c r="C52" s="148" t="s">
        <v>1618</v>
      </c>
    </row>
    <row r="53" spans="2:3">
      <c r="B53" s="152" t="s">
        <v>32</v>
      </c>
      <c r="C53" s="148" t="s">
        <v>1618</v>
      </c>
    </row>
    <row r="54" spans="2:3">
      <c r="B54" s="151" t="s">
        <v>289</v>
      </c>
      <c r="C54" s="151" t="s">
        <v>442</v>
      </c>
    </row>
    <row r="55" spans="2:3">
      <c r="B55" s="151" t="s">
        <v>1638</v>
      </c>
      <c r="C55" s="148" t="s">
        <v>1618</v>
      </c>
    </row>
    <row r="56" spans="2:3">
      <c r="B56" s="148" t="s">
        <v>1639</v>
      </c>
      <c r="C56" s="148" t="s">
        <v>1618</v>
      </c>
    </row>
    <row r="57" spans="2:3">
      <c r="B57" s="151" t="s">
        <v>35</v>
      </c>
      <c r="C57" s="148" t="s">
        <v>1618</v>
      </c>
    </row>
    <row r="58" spans="2:3">
      <c r="B58" s="151" t="s">
        <v>292</v>
      </c>
      <c r="C58" s="148" t="s">
        <v>1618</v>
      </c>
    </row>
    <row r="59" spans="2:3">
      <c r="B59" s="151" t="s">
        <v>294</v>
      </c>
      <c r="C59" s="151" t="s">
        <v>505</v>
      </c>
    </row>
    <row r="60" spans="2:3">
      <c r="B60" s="151" t="s">
        <v>36</v>
      </c>
      <c r="C60" s="151" t="s">
        <v>157</v>
      </c>
    </row>
    <row r="61" spans="2:3">
      <c r="B61" s="151" t="s">
        <v>295</v>
      </c>
      <c r="C61" s="151" t="s">
        <v>1628</v>
      </c>
    </row>
    <row r="62" spans="2:3">
      <c r="B62" s="151" t="s">
        <v>38</v>
      </c>
      <c r="C62" s="148" t="s">
        <v>1618</v>
      </c>
    </row>
    <row r="63" spans="2:3">
      <c r="B63" s="151" t="s">
        <v>39</v>
      </c>
      <c r="C63" s="151" t="s">
        <v>545</v>
      </c>
    </row>
    <row r="64" spans="2:3">
      <c r="B64" s="148" t="s">
        <v>42</v>
      </c>
      <c r="C64" s="151" t="s">
        <v>1631</v>
      </c>
    </row>
    <row r="65" spans="2:3">
      <c r="B65" s="148" t="s">
        <v>296</v>
      </c>
      <c r="C65" s="148" t="s">
        <v>1640</v>
      </c>
    </row>
    <row r="66" spans="2:3">
      <c r="B66" s="148" t="s">
        <v>45</v>
      </c>
      <c r="C66" s="148" t="s">
        <v>1618</v>
      </c>
    </row>
    <row r="67" spans="2:3">
      <c r="B67" s="151" t="s">
        <v>40</v>
      </c>
      <c r="C67" s="148" t="s">
        <v>1626</v>
      </c>
    </row>
    <row r="68" spans="2:3">
      <c r="B68" s="151" t="s">
        <v>297</v>
      </c>
      <c r="C68" s="148" t="s">
        <v>1618</v>
      </c>
    </row>
    <row r="69" spans="2:3">
      <c r="B69" s="148" t="s">
        <v>1641</v>
      </c>
      <c r="C69" s="148" t="s">
        <v>1618</v>
      </c>
    </row>
    <row r="70" spans="2:3">
      <c r="B70" s="151" t="s">
        <v>299</v>
      </c>
      <c r="C70" s="151" t="s">
        <v>442</v>
      </c>
    </row>
    <row r="71" spans="2:3">
      <c r="B71" s="151" t="s">
        <v>46</v>
      </c>
      <c r="C71" s="151" t="s">
        <v>505</v>
      </c>
    </row>
    <row r="72" spans="2:3">
      <c r="B72" s="151" t="s">
        <v>302</v>
      </c>
      <c r="C72" s="148" t="s">
        <v>1618</v>
      </c>
    </row>
    <row r="73" spans="2:3">
      <c r="B73" s="151" t="s">
        <v>47</v>
      </c>
      <c r="C73" s="148" t="s">
        <v>1618</v>
      </c>
    </row>
    <row r="74" spans="2:3">
      <c r="B74" s="151" t="s">
        <v>50</v>
      </c>
      <c r="C74" s="148" t="s">
        <v>1618</v>
      </c>
    </row>
    <row r="75" spans="2:3">
      <c r="B75" s="151" t="s">
        <v>51</v>
      </c>
      <c r="C75" s="148" t="s">
        <v>1618</v>
      </c>
    </row>
    <row r="76" spans="2:3">
      <c r="B76" s="148" t="s">
        <v>1642</v>
      </c>
      <c r="C76" s="148" t="s">
        <v>1618</v>
      </c>
    </row>
    <row r="77" spans="2:3">
      <c r="B77" s="148" t="s">
        <v>1643</v>
      </c>
      <c r="C77" s="148" t="s">
        <v>1618</v>
      </c>
    </row>
    <row r="78" spans="2:3">
      <c r="B78" s="148" t="s">
        <v>1644</v>
      </c>
      <c r="C78" s="148" t="s">
        <v>1618</v>
      </c>
    </row>
    <row r="79" spans="2:3">
      <c r="B79" s="148" t="s">
        <v>52</v>
      </c>
      <c r="C79" s="151" t="s">
        <v>157</v>
      </c>
    </row>
    <row r="80" spans="2:3">
      <c r="B80" s="148" t="s">
        <v>53</v>
      </c>
      <c r="C80" s="151" t="s">
        <v>1628</v>
      </c>
    </row>
    <row r="81" spans="2:3">
      <c r="B81" s="151" t="s">
        <v>304</v>
      </c>
      <c r="C81" s="151" t="s">
        <v>545</v>
      </c>
    </row>
    <row r="82" spans="2:3">
      <c r="B82" s="148" t="s">
        <v>1645</v>
      </c>
      <c r="C82" s="151" t="s">
        <v>1631</v>
      </c>
    </row>
    <row r="83" spans="2:3">
      <c r="B83" s="148" t="s">
        <v>54</v>
      </c>
      <c r="C83" s="148" t="s">
        <v>1640</v>
      </c>
    </row>
    <row r="84" spans="2:3">
      <c r="B84" s="148" t="s">
        <v>1646</v>
      </c>
      <c r="C84" s="148" t="s">
        <v>1618</v>
      </c>
    </row>
    <row r="85" spans="2:3">
      <c r="B85" s="151" t="s">
        <v>56</v>
      </c>
      <c r="C85" s="148" t="s">
        <v>1626</v>
      </c>
    </row>
    <row r="86" spans="2:3">
      <c r="B86" s="148" t="s">
        <v>306</v>
      </c>
      <c r="C86" s="148" t="s">
        <v>1618</v>
      </c>
    </row>
    <row r="87" spans="2:3">
      <c r="B87" s="151" t="s">
        <v>308</v>
      </c>
      <c r="C87" s="151" t="s">
        <v>505</v>
      </c>
    </row>
    <row r="88" spans="2:3">
      <c r="B88" s="151" t="s">
        <v>309</v>
      </c>
      <c r="C88" s="148" t="s">
        <v>1618</v>
      </c>
    </row>
    <row r="89" spans="2:3">
      <c r="B89" s="151" t="s">
        <v>310</v>
      </c>
      <c r="C89" s="148" t="s">
        <v>1618</v>
      </c>
    </row>
    <row r="90" spans="2:3">
      <c r="B90" s="151" t="s">
        <v>311</v>
      </c>
      <c r="C90" s="148" t="s">
        <v>1618</v>
      </c>
    </row>
    <row r="91" spans="2:3">
      <c r="B91" s="151" t="s">
        <v>1647</v>
      </c>
      <c r="C91" s="148" t="s">
        <v>1618</v>
      </c>
    </row>
    <row r="92" spans="2:3">
      <c r="B92" s="151" t="s">
        <v>312</v>
      </c>
      <c r="C92" s="151" t="s">
        <v>545</v>
      </c>
    </row>
    <row r="93" spans="2:3">
      <c r="B93" s="148" t="s">
        <v>59</v>
      </c>
      <c r="C93" s="151" t="s">
        <v>1631</v>
      </c>
    </row>
    <row r="94" spans="2:3">
      <c r="B94" s="148" t="s">
        <v>60</v>
      </c>
      <c r="C94" s="148" t="s">
        <v>1640</v>
      </c>
    </row>
    <row r="95" spans="2:3">
      <c r="B95" s="148" t="s">
        <v>313</v>
      </c>
      <c r="C95" s="148" t="s">
        <v>1623</v>
      </c>
    </row>
    <row r="96" spans="2:3">
      <c r="B96" s="148" t="s">
        <v>61</v>
      </c>
      <c r="C96" s="148" t="s">
        <v>1618</v>
      </c>
    </row>
    <row r="97" spans="2:3">
      <c r="B97" s="151" t="s">
        <v>62</v>
      </c>
      <c r="C97" s="148" t="s">
        <v>1626</v>
      </c>
    </row>
    <row r="98" spans="2:3">
      <c r="B98" s="148" t="s">
        <v>314</v>
      </c>
      <c r="C98" s="148" t="s">
        <v>1618</v>
      </c>
    </row>
    <row r="99" spans="2:3">
      <c r="B99" s="148" t="s">
        <v>1648</v>
      </c>
      <c r="C99" s="148" t="s">
        <v>1618</v>
      </c>
    </row>
    <row r="100" spans="2:3">
      <c r="B100" s="151" t="s">
        <v>58</v>
      </c>
      <c r="C100" s="151" t="s">
        <v>442</v>
      </c>
    </row>
    <row r="101" spans="2:3">
      <c r="B101" s="151" t="s">
        <v>316</v>
      </c>
      <c r="C101" s="148" t="s">
        <v>1618</v>
      </c>
    </row>
    <row r="102" spans="2:3">
      <c r="B102" s="151" t="s">
        <v>317</v>
      </c>
      <c r="C102" s="151" t="s">
        <v>545</v>
      </c>
    </row>
    <row r="103" spans="2:3">
      <c r="B103" s="148" t="s">
        <v>1649</v>
      </c>
      <c r="C103" s="148" t="s">
        <v>1618</v>
      </c>
    </row>
    <row r="104" spans="2:3">
      <c r="B104" s="148" t="s">
        <v>318</v>
      </c>
      <c r="C104" s="148" t="s">
        <v>1623</v>
      </c>
    </row>
    <row r="105" spans="2:3">
      <c r="B105" s="151" t="s">
        <v>67</v>
      </c>
      <c r="C105" s="148" t="s">
        <v>1626</v>
      </c>
    </row>
    <row r="106" spans="2:3">
      <c r="B106" s="151" t="s">
        <v>320</v>
      </c>
      <c r="C106" s="151" t="s">
        <v>505</v>
      </c>
    </row>
    <row r="107" spans="2:3">
      <c r="B107" s="148" t="s">
        <v>1650</v>
      </c>
      <c r="C107" s="148" t="s">
        <v>1618</v>
      </c>
    </row>
    <row r="108" spans="2:3">
      <c r="B108" s="151" t="s">
        <v>70</v>
      </c>
      <c r="C108" s="148" t="s">
        <v>1618</v>
      </c>
    </row>
    <row r="109" spans="2:3">
      <c r="B109" s="148" t="s">
        <v>192</v>
      </c>
      <c r="C109" s="148" t="s">
        <v>1618</v>
      </c>
    </row>
    <row r="110" spans="2:3">
      <c r="B110" s="151" t="s">
        <v>322</v>
      </c>
      <c r="C110" s="148" t="s">
        <v>1618</v>
      </c>
    </row>
    <row r="111" spans="2:3">
      <c r="B111" s="148" t="s">
        <v>71</v>
      </c>
      <c r="C111" s="148" t="s">
        <v>1651</v>
      </c>
    </row>
    <row r="112" spans="2:3">
      <c r="B112" s="151" t="s">
        <v>72</v>
      </c>
      <c r="C112" s="148" t="s">
        <v>1618</v>
      </c>
    </row>
    <row r="113" spans="2:3">
      <c r="B113" s="148" t="s">
        <v>323</v>
      </c>
      <c r="C113" s="148" t="s">
        <v>1618</v>
      </c>
    </row>
    <row r="114" spans="2:3">
      <c r="B114" s="151" t="s">
        <v>68</v>
      </c>
      <c r="C114" s="151" t="s">
        <v>545</v>
      </c>
    </row>
    <row r="115" spans="2:3">
      <c r="B115" s="151" t="s">
        <v>69</v>
      </c>
      <c r="C115" s="148" t="s">
        <v>1626</v>
      </c>
    </row>
    <row r="116" spans="2:3">
      <c r="B116" s="151" t="s">
        <v>324</v>
      </c>
      <c r="C116" s="151" t="s">
        <v>157</v>
      </c>
    </row>
    <row r="117" spans="2:3">
      <c r="B117" s="151" t="s">
        <v>325</v>
      </c>
      <c r="C117" s="148" t="s">
        <v>1618</v>
      </c>
    </row>
    <row r="118" spans="2:3">
      <c r="B118" s="148" t="s">
        <v>326</v>
      </c>
      <c r="C118" s="148" t="s">
        <v>1618</v>
      </c>
    </row>
    <row r="119" spans="2:3">
      <c r="B119" s="148" t="s">
        <v>327</v>
      </c>
      <c r="C119" s="148" t="s">
        <v>1618</v>
      </c>
    </row>
    <row r="120" spans="2:3">
      <c r="B120" s="151" t="s">
        <v>73</v>
      </c>
      <c r="C120" s="151" t="s">
        <v>442</v>
      </c>
    </row>
    <row r="121" spans="2:3">
      <c r="B121" s="151" t="s">
        <v>329</v>
      </c>
      <c r="C121" s="151" t="s">
        <v>505</v>
      </c>
    </row>
    <row r="122" spans="2:3">
      <c r="B122" s="151" t="s">
        <v>330</v>
      </c>
      <c r="C122" s="148" t="s">
        <v>1651</v>
      </c>
    </row>
    <row r="123" spans="2:3">
      <c r="B123" s="151" t="s">
        <v>331</v>
      </c>
      <c r="C123" s="148" t="s">
        <v>1618</v>
      </c>
    </row>
    <row r="124" spans="2:3">
      <c r="B124" s="151" t="s">
        <v>75</v>
      </c>
      <c r="C124" s="151" t="s">
        <v>442</v>
      </c>
    </row>
    <row r="125" spans="2:3">
      <c r="B125" s="151" t="s">
        <v>332</v>
      </c>
      <c r="C125" s="151" t="s">
        <v>545</v>
      </c>
    </row>
    <row r="126" spans="2:3">
      <c r="B126" s="151" t="s">
        <v>74</v>
      </c>
      <c r="C126" s="151" t="s">
        <v>1631</v>
      </c>
    </row>
    <row r="127" spans="2:3">
      <c r="B127" s="151" t="s">
        <v>333</v>
      </c>
      <c r="C127" s="151" t="s">
        <v>157</v>
      </c>
    </row>
    <row r="128" spans="2:3">
      <c r="B128" s="151" t="s">
        <v>1652</v>
      </c>
      <c r="C128" s="148" t="s">
        <v>1618</v>
      </c>
    </row>
    <row r="129" spans="2:3">
      <c r="B129" s="151" t="s">
        <v>336</v>
      </c>
      <c r="C129" s="151" t="s">
        <v>505</v>
      </c>
    </row>
    <row r="130" spans="2:3">
      <c r="B130" s="151" t="s">
        <v>337</v>
      </c>
      <c r="C130" s="148" t="s">
        <v>1651</v>
      </c>
    </row>
    <row r="131" spans="2:3">
      <c r="B131" s="151" t="s">
        <v>76</v>
      </c>
      <c r="C131" s="148" t="s">
        <v>1618</v>
      </c>
    </row>
    <row r="132" spans="2:3">
      <c r="B132" s="151" t="s">
        <v>77</v>
      </c>
      <c r="C132" s="151" t="s">
        <v>442</v>
      </c>
    </row>
    <row r="133" spans="2:3">
      <c r="B133" s="151" t="s">
        <v>338</v>
      </c>
      <c r="C133" s="148" t="s">
        <v>1618</v>
      </c>
    </row>
    <row r="134" spans="2:3">
      <c r="B134" s="151" t="s">
        <v>340</v>
      </c>
      <c r="C134" s="151" t="s">
        <v>505</v>
      </c>
    </row>
    <row r="135" spans="2:3">
      <c r="B135" s="151" t="s">
        <v>341</v>
      </c>
      <c r="C135" s="148" t="s">
        <v>1618</v>
      </c>
    </row>
    <row r="136" spans="2:3">
      <c r="B136" s="148" t="s">
        <v>78</v>
      </c>
      <c r="C136" s="148" t="s">
        <v>1618</v>
      </c>
    </row>
    <row r="137" spans="2:3">
      <c r="B137" s="148" t="s">
        <v>79</v>
      </c>
      <c r="C137" s="148" t="s">
        <v>1618</v>
      </c>
    </row>
    <row r="138" spans="2:3">
      <c r="B138" s="151" t="s">
        <v>343</v>
      </c>
      <c r="C138" s="151" t="s">
        <v>505</v>
      </c>
    </row>
    <row r="139" spans="2:3">
      <c r="B139" s="151" t="s">
        <v>1653</v>
      </c>
      <c r="C139" s="148" t="s">
        <v>1618</v>
      </c>
    </row>
    <row r="140" spans="2:3">
      <c r="B140" s="151" t="s">
        <v>81</v>
      </c>
      <c r="C140" s="151" t="s">
        <v>442</v>
      </c>
    </row>
    <row r="141" spans="2:3">
      <c r="B141" s="151" t="s">
        <v>345</v>
      </c>
      <c r="C141" s="148" t="s">
        <v>1618</v>
      </c>
    </row>
    <row r="142" spans="2:3">
      <c r="B142" s="151" t="s">
        <v>346</v>
      </c>
      <c r="C142" s="148" t="s">
        <v>1618</v>
      </c>
    </row>
    <row r="143" spans="2:3">
      <c r="B143" s="151" t="s">
        <v>348</v>
      </c>
      <c r="C143" s="151" t="s">
        <v>505</v>
      </c>
    </row>
    <row r="144" spans="2:3">
      <c r="B144" s="151" t="s">
        <v>82</v>
      </c>
      <c r="C144" s="148" t="s">
        <v>1651</v>
      </c>
    </row>
    <row r="145" spans="2:3">
      <c r="B145" s="151" t="s">
        <v>86</v>
      </c>
      <c r="C145" s="148" t="s">
        <v>1618</v>
      </c>
    </row>
    <row r="146" spans="2:3">
      <c r="B146" s="151" t="s">
        <v>349</v>
      </c>
      <c r="C146" s="151" t="s">
        <v>442</v>
      </c>
    </row>
    <row r="147" spans="2:3">
      <c r="B147" s="151" t="s">
        <v>350</v>
      </c>
      <c r="C147" s="148" t="s">
        <v>1618</v>
      </c>
    </row>
    <row r="148" spans="2:3">
      <c r="B148" s="151" t="s">
        <v>351</v>
      </c>
      <c r="C148" s="148" t="s">
        <v>1618</v>
      </c>
    </row>
    <row r="149" spans="2:3">
      <c r="B149" s="151" t="s">
        <v>353</v>
      </c>
      <c r="C149" s="151" t="s">
        <v>505</v>
      </c>
    </row>
    <row r="150" spans="2:3">
      <c r="B150" s="151" t="s">
        <v>354</v>
      </c>
      <c r="C150" s="148" t="s">
        <v>1618</v>
      </c>
    </row>
    <row r="151" spans="2:3">
      <c r="B151" s="148" t="s">
        <v>1654</v>
      </c>
      <c r="C151" s="148" t="s">
        <v>1618</v>
      </c>
    </row>
    <row r="152" spans="2:3">
      <c r="B152" s="151" t="s">
        <v>355</v>
      </c>
      <c r="C152" s="151" t="s">
        <v>442</v>
      </c>
    </row>
    <row r="153" spans="2:3">
      <c r="B153" s="151" t="s">
        <v>84</v>
      </c>
      <c r="C153" s="151" t="s">
        <v>505</v>
      </c>
    </row>
    <row r="154" spans="2:3">
      <c r="B154" s="151" t="s">
        <v>357</v>
      </c>
      <c r="C154" s="148" t="s">
        <v>1618</v>
      </c>
    </row>
    <row r="155" spans="2:3">
      <c r="B155" s="151" t="s">
        <v>358</v>
      </c>
      <c r="C155" s="148" t="s">
        <v>1651</v>
      </c>
    </row>
    <row r="156" spans="2:3">
      <c r="B156" s="151" t="s">
        <v>359</v>
      </c>
      <c r="C156" s="148" t="s">
        <v>1618</v>
      </c>
    </row>
    <row r="157" spans="2:3">
      <c r="B157" s="151" t="s">
        <v>1655</v>
      </c>
      <c r="C157" s="148" t="s">
        <v>1618</v>
      </c>
    </row>
    <row r="158" spans="2:3">
      <c r="B158" s="148" t="s">
        <v>85</v>
      </c>
      <c r="C158" s="148" t="s">
        <v>1618</v>
      </c>
    </row>
    <row r="159" spans="2:3">
      <c r="B159" s="151" t="s">
        <v>87</v>
      </c>
      <c r="C159" s="151" t="s">
        <v>442</v>
      </c>
    </row>
    <row r="160" spans="2:3">
      <c r="B160" s="151" t="s">
        <v>1656</v>
      </c>
      <c r="C160" s="148" t="s">
        <v>1618</v>
      </c>
    </row>
    <row r="161" spans="2:3">
      <c r="B161" s="151" t="s">
        <v>363</v>
      </c>
      <c r="C161" s="151" t="s">
        <v>505</v>
      </c>
    </row>
    <row r="162" spans="2:3">
      <c r="B162" s="151" t="s">
        <v>365</v>
      </c>
      <c r="C162" s="151" t="s">
        <v>505</v>
      </c>
    </row>
    <row r="163" spans="2:3">
      <c r="B163" s="148" t="s">
        <v>366</v>
      </c>
      <c r="C163" s="148" t="s">
        <v>1651</v>
      </c>
    </row>
    <row r="164" spans="2:3">
      <c r="B164" s="148" t="s">
        <v>89</v>
      </c>
      <c r="C164" s="148" t="s">
        <v>1618</v>
      </c>
    </row>
    <row r="165" spans="2:3">
      <c r="B165" s="151" t="s">
        <v>367</v>
      </c>
      <c r="C165" s="151" t="s">
        <v>442</v>
      </c>
    </row>
    <row r="166" spans="2:3">
      <c r="B166" s="151" t="s">
        <v>369</v>
      </c>
      <c r="C166" s="151" t="s">
        <v>505</v>
      </c>
    </row>
    <row r="167" spans="2:3">
      <c r="B167" s="148" t="s">
        <v>370</v>
      </c>
      <c r="C167" s="148" t="s">
        <v>1651</v>
      </c>
    </row>
    <row r="168" spans="2:3">
      <c r="B168" s="151" t="s">
        <v>371</v>
      </c>
      <c r="C168" s="148" t="s">
        <v>1618</v>
      </c>
    </row>
    <row r="169" spans="2:3">
      <c r="B169" s="151" t="s">
        <v>373</v>
      </c>
      <c r="C169" s="151" t="s">
        <v>505</v>
      </c>
    </row>
    <row r="170" spans="2:3">
      <c r="B170" s="148" t="s">
        <v>374</v>
      </c>
      <c r="C170" s="148" t="s">
        <v>1651</v>
      </c>
    </row>
    <row r="171" spans="2:3">
      <c r="B171" s="151" t="s">
        <v>91</v>
      </c>
      <c r="C171" s="151" t="s">
        <v>442</v>
      </c>
    </row>
    <row r="172" spans="2:3">
      <c r="B172" s="151" t="s">
        <v>92</v>
      </c>
      <c r="C172" s="151" t="s">
        <v>505</v>
      </c>
    </row>
    <row r="173" spans="2:3">
      <c r="B173" s="148" t="s">
        <v>1657</v>
      </c>
      <c r="C173" s="148" t="s">
        <v>1651</v>
      </c>
    </row>
    <row r="174" spans="2:3">
      <c r="B174" s="151" t="s">
        <v>94</v>
      </c>
      <c r="C174" s="151" t="s">
        <v>505</v>
      </c>
    </row>
    <row r="175" spans="2:3">
      <c r="B175" s="148" t="s">
        <v>380</v>
      </c>
      <c r="C175" s="148" t="s">
        <v>1651</v>
      </c>
    </row>
    <row r="176" spans="2:3">
      <c r="B176" s="151" t="s">
        <v>95</v>
      </c>
      <c r="C176" s="151" t="s">
        <v>505</v>
      </c>
    </row>
    <row r="177" spans="2:3">
      <c r="B177" s="148" t="s">
        <v>1658</v>
      </c>
      <c r="C177" s="148" t="s">
        <v>1618</v>
      </c>
    </row>
    <row r="178" spans="2:3">
      <c r="B178" s="148" t="s">
        <v>1659</v>
      </c>
      <c r="C178" s="148" t="s">
        <v>1618</v>
      </c>
    </row>
    <row r="179" spans="2:3">
      <c r="B179" s="148" t="s">
        <v>383</v>
      </c>
      <c r="C179" s="148" t="s">
        <v>1651</v>
      </c>
    </row>
    <row r="180" spans="2:3">
      <c r="B180" s="151" t="s">
        <v>98</v>
      </c>
      <c r="C180" s="151" t="s">
        <v>505</v>
      </c>
    </row>
    <row r="181" spans="2:3">
      <c r="B181" s="148" t="s">
        <v>1660</v>
      </c>
      <c r="C181" s="148" t="s">
        <v>1618</v>
      </c>
    </row>
    <row r="182" spans="2:3">
      <c r="B182" s="148" t="s">
        <v>1661</v>
      </c>
      <c r="C182" s="148" t="s">
        <v>1618</v>
      </c>
    </row>
    <row r="183" spans="2:3">
      <c r="B183" s="148" t="s">
        <v>386</v>
      </c>
      <c r="C183" s="148" t="s">
        <v>1651</v>
      </c>
    </row>
    <row r="184" spans="2:3">
      <c r="B184" s="151" t="s">
        <v>103</v>
      </c>
      <c r="C184" s="151" t="s">
        <v>505</v>
      </c>
    </row>
    <row r="185" spans="2:3">
      <c r="B185" s="148" t="s">
        <v>389</v>
      </c>
      <c r="C185" s="148" t="s">
        <v>1662</v>
      </c>
    </row>
    <row r="186" spans="2:3">
      <c r="B186" s="148" t="s">
        <v>390</v>
      </c>
      <c r="C186" s="148" t="s">
        <v>1663</v>
      </c>
    </row>
    <row r="187" spans="2:3">
      <c r="B187" s="148" t="s">
        <v>391</v>
      </c>
      <c r="C187" s="148" t="s">
        <v>1651</v>
      </c>
    </row>
    <row r="188" spans="2:3">
      <c r="B188" s="148" t="s">
        <v>101</v>
      </c>
      <c r="C188" s="148" t="s">
        <v>123</v>
      </c>
    </row>
    <row r="189" spans="2:3">
      <c r="B189" s="148" t="s">
        <v>102</v>
      </c>
      <c r="C189" s="148" t="s">
        <v>132</v>
      </c>
    </row>
    <row r="190" spans="2:3">
      <c r="B190" s="148" t="s">
        <v>392</v>
      </c>
      <c r="C190" s="148" t="s">
        <v>545</v>
      </c>
    </row>
    <row r="191" spans="2:3">
      <c r="B191" s="148" t="s">
        <v>393</v>
      </c>
      <c r="C191" s="151" t="s">
        <v>157</v>
      </c>
    </row>
    <row r="192" spans="2:3">
      <c r="B192" s="148" t="s">
        <v>105</v>
      </c>
      <c r="C192" s="148" t="s">
        <v>1618</v>
      </c>
    </row>
    <row r="193" spans="2:3">
      <c r="B193" s="151" t="s">
        <v>194</v>
      </c>
      <c r="C193" s="151" t="s">
        <v>505</v>
      </c>
    </row>
    <row r="194" spans="2:3">
      <c r="B194" s="151" t="s">
        <v>195</v>
      </c>
      <c r="C194" s="148" t="s">
        <v>1618</v>
      </c>
    </row>
    <row r="195" spans="2:3">
      <c r="B195" s="151" t="s">
        <v>196</v>
      </c>
      <c r="C195" s="151" t="s">
        <v>1664</v>
      </c>
    </row>
    <row r="196" spans="2:3">
      <c r="B196" s="151" t="s">
        <v>197</v>
      </c>
      <c r="C196" s="148" t="s">
        <v>1618</v>
      </c>
    </row>
    <row r="197" spans="2:3">
      <c r="B197" s="151" t="s">
        <v>198</v>
      </c>
      <c r="C197" s="148" t="s">
        <v>1663</v>
      </c>
    </row>
    <row r="198" spans="2:3">
      <c r="B198" s="148" t="s">
        <v>396</v>
      </c>
      <c r="C198" s="148" t="s">
        <v>1662</v>
      </c>
    </row>
    <row r="199" spans="2:3">
      <c r="B199" s="148" t="s">
        <v>201</v>
      </c>
      <c r="C199" s="148" t="s">
        <v>1618</v>
      </c>
    </row>
    <row r="200" spans="2:3">
      <c r="B200" s="148" t="s">
        <v>199</v>
      </c>
      <c r="C200" s="148" t="s">
        <v>1618</v>
      </c>
    </row>
    <row r="201" spans="2:3">
      <c r="B201" s="148" t="s">
        <v>397</v>
      </c>
      <c r="C201" s="148" t="s">
        <v>1651</v>
      </c>
    </row>
    <row r="202" spans="2:3">
      <c r="B202" s="151" t="s">
        <v>203</v>
      </c>
      <c r="C202" s="151" t="s">
        <v>505</v>
      </c>
    </row>
    <row r="203" spans="2:3">
      <c r="B203" s="148" t="s">
        <v>204</v>
      </c>
      <c r="C203" s="148" t="s">
        <v>1663</v>
      </c>
    </row>
    <row r="204" spans="2:3">
      <c r="B204" s="148" t="s">
        <v>1665</v>
      </c>
      <c r="C204" s="148" t="s">
        <v>1618</v>
      </c>
    </row>
    <row r="205" spans="2:3">
      <c r="B205" s="153" t="s">
        <v>400</v>
      </c>
      <c r="C205" s="148" t="s">
        <v>1618</v>
      </c>
    </row>
    <row r="206" spans="2:3">
      <c r="B206" s="148" t="s">
        <v>401</v>
      </c>
      <c r="C206" s="148" t="s">
        <v>1618</v>
      </c>
    </row>
    <row r="207" spans="2:3">
      <c r="B207" s="151" t="s">
        <v>206</v>
      </c>
      <c r="C207" s="148" t="s">
        <v>1651</v>
      </c>
    </row>
    <row r="208" spans="2:3">
      <c r="B208" s="148" t="s">
        <v>207</v>
      </c>
      <c r="C208" s="151" t="s">
        <v>1664</v>
      </c>
    </row>
    <row r="209" spans="2:3">
      <c r="B209" s="148" t="s">
        <v>402</v>
      </c>
      <c r="C209" s="148" t="s">
        <v>1618</v>
      </c>
    </row>
    <row r="210" spans="2:3">
      <c r="B210" s="151" t="s">
        <v>208</v>
      </c>
      <c r="C210" s="151" t="s">
        <v>1662</v>
      </c>
    </row>
    <row r="211" spans="2:3">
      <c r="B211" s="148" t="s">
        <v>404</v>
      </c>
      <c r="C211" s="151" t="s">
        <v>505</v>
      </c>
    </row>
    <row r="212" spans="2:3">
      <c r="B212" s="148" t="s">
        <v>211</v>
      </c>
      <c r="C212" s="148" t="s">
        <v>1663</v>
      </c>
    </row>
    <row r="213" spans="2:3">
      <c r="B213" s="148" t="s">
        <v>213</v>
      </c>
      <c r="C213" s="148" t="s">
        <v>1662</v>
      </c>
    </row>
    <row r="214" spans="2:3">
      <c r="B214" s="148" t="s">
        <v>212</v>
      </c>
      <c r="C214" s="148" t="s">
        <v>1651</v>
      </c>
    </row>
    <row r="215" spans="2:3">
      <c r="B215" s="148" t="s">
        <v>214</v>
      </c>
      <c r="C215" s="148" t="s">
        <v>1664</v>
      </c>
    </row>
    <row r="216" spans="2:3">
      <c r="B216" s="148" t="s">
        <v>225</v>
      </c>
      <c r="C216" s="148" t="s">
        <v>1666</v>
      </c>
    </row>
    <row r="217" spans="2:3">
      <c r="B217" s="148" t="s">
        <v>226</v>
      </c>
      <c r="C217" s="148" t="s">
        <v>1667</v>
      </c>
    </row>
    <row r="218" spans="2:3">
      <c r="B218" s="148" t="s">
        <v>406</v>
      </c>
      <c r="C218" s="151" t="s">
        <v>505</v>
      </c>
    </row>
    <row r="219" spans="2:3">
      <c r="B219" s="154" t="s">
        <v>216</v>
      </c>
      <c r="C219" s="154" t="s">
        <v>1662</v>
      </c>
    </row>
    <row r="220" spans="2:3">
      <c r="B220" s="148" t="s">
        <v>409</v>
      </c>
      <c r="C220" s="151" t="s">
        <v>505</v>
      </c>
    </row>
    <row r="221" spans="2:3">
      <c r="B221" s="148" t="s">
        <v>411</v>
      </c>
      <c r="C221" s="151" t="s">
        <v>505</v>
      </c>
    </row>
    <row r="222" spans="2:3">
      <c r="B222" s="148" t="s">
        <v>219</v>
      </c>
      <c r="C222" s="151" t="s">
        <v>505</v>
      </c>
    </row>
    <row r="223" spans="2:3">
      <c r="B223" s="148" t="s">
        <v>414</v>
      </c>
      <c r="C223" s="151" t="s">
        <v>505</v>
      </c>
    </row>
    <row r="224" spans="2:3">
      <c r="B224" s="148" t="s">
        <v>220</v>
      </c>
      <c r="C224" s="151" t="s">
        <v>505</v>
      </c>
    </row>
    <row r="225" spans="2:3">
      <c r="B225" s="148" t="s">
        <v>221</v>
      </c>
      <c r="C225" s="151" t="s">
        <v>505</v>
      </c>
    </row>
    <row r="226" spans="2:3">
      <c r="B226" s="148" t="s">
        <v>222</v>
      </c>
      <c r="C226" s="151" t="s">
        <v>415</v>
      </c>
    </row>
    <row r="227" spans="2:3">
      <c r="B227" s="148" t="s">
        <v>223</v>
      </c>
      <c r="C227" s="151" t="s">
        <v>413</v>
      </c>
    </row>
    <row r="228" spans="2:3">
      <c r="B228" s="154" t="s">
        <v>224</v>
      </c>
      <c r="C228" s="151" t="s">
        <v>412</v>
      </c>
    </row>
    <row r="229" spans="2:3">
      <c r="B229" s="148" t="s">
        <v>1668</v>
      </c>
      <c r="C229" s="148" t="s">
        <v>1618</v>
      </c>
    </row>
    <row r="230" spans="2:3">
      <c r="B230" s="148" t="s">
        <v>421</v>
      </c>
      <c r="C230" s="148" t="s">
        <v>1618</v>
      </c>
    </row>
    <row r="231" spans="2:3">
      <c r="B231" s="148" t="s">
        <v>422</v>
      </c>
      <c r="C231" s="148" t="s">
        <v>422</v>
      </c>
    </row>
    <row r="232" spans="2:3">
      <c r="B232" s="148" t="s">
        <v>158</v>
      </c>
      <c r="C232" s="148" t="s">
        <v>158</v>
      </c>
    </row>
    <row r="233" spans="2:3">
      <c r="B233" s="148" t="s">
        <v>159</v>
      </c>
      <c r="C233" s="148" t="s">
        <v>1618</v>
      </c>
    </row>
    <row r="234" spans="2:3">
      <c r="B234" s="148" t="s">
        <v>160</v>
      </c>
      <c r="C234" s="148" t="s">
        <v>1618</v>
      </c>
    </row>
    <row r="235" spans="2:3">
      <c r="B235" s="148" t="s">
        <v>423</v>
      </c>
      <c r="C235" s="148" t="s">
        <v>1618</v>
      </c>
    </row>
    <row r="236" spans="2:3">
      <c r="B236" s="148" t="s">
        <v>424</v>
      </c>
      <c r="C236" s="148" t="s">
        <v>1618</v>
      </c>
    </row>
    <row r="237" spans="2:3">
      <c r="B237" s="148" t="s">
        <v>109</v>
      </c>
      <c r="C237" s="148" t="s">
        <v>1618</v>
      </c>
    </row>
    <row r="238" spans="2:3">
      <c r="B238" s="148" t="s">
        <v>425</v>
      </c>
      <c r="C238" s="148" t="s">
        <v>1618</v>
      </c>
    </row>
    <row r="239" spans="2:3">
      <c r="B239" s="148" t="s">
        <v>106</v>
      </c>
      <c r="C239" s="148" t="s">
        <v>1618</v>
      </c>
    </row>
    <row r="240" spans="2:3">
      <c r="B240" s="148" t="s">
        <v>107</v>
      </c>
      <c r="C240" s="148" t="s">
        <v>1640</v>
      </c>
    </row>
    <row r="241" spans="2:3">
      <c r="B241" s="148" t="s">
        <v>108</v>
      </c>
      <c r="C241" s="148" t="s">
        <v>1618</v>
      </c>
    </row>
    <row r="242" spans="2:3">
      <c r="B242" s="148" t="s">
        <v>426</v>
      </c>
      <c r="C242" s="148" t="s">
        <v>1663</v>
      </c>
    </row>
    <row r="243" spans="2:3">
      <c r="B243" s="148" t="s">
        <v>110</v>
      </c>
      <c r="C243" s="148" t="s">
        <v>1640</v>
      </c>
    </row>
    <row r="244" spans="2:3">
      <c r="B244" s="148" t="s">
        <v>111</v>
      </c>
      <c r="C244" s="148" t="s">
        <v>1618</v>
      </c>
    </row>
    <row r="245" spans="2:3">
      <c r="B245" s="148" t="s">
        <v>112</v>
      </c>
      <c r="C245" s="148" t="s">
        <v>1618</v>
      </c>
    </row>
    <row r="246" spans="2:3">
      <c r="B246" s="148" t="s">
        <v>113</v>
      </c>
      <c r="C246" s="148" t="s">
        <v>1663</v>
      </c>
    </row>
    <row r="247" spans="2:3">
      <c r="B247" s="148" t="s">
        <v>1669</v>
      </c>
      <c r="C247" s="148" t="s">
        <v>1618</v>
      </c>
    </row>
    <row r="248" spans="2:3">
      <c r="B248" s="148" t="s">
        <v>115</v>
      </c>
      <c r="C248" s="148" t="s">
        <v>1663</v>
      </c>
    </row>
    <row r="249" spans="2:3">
      <c r="B249" s="148" t="s">
        <v>116</v>
      </c>
      <c r="C249" s="148" t="s">
        <v>1663</v>
      </c>
    </row>
    <row r="250" spans="2:3">
      <c r="B250" s="148" t="s">
        <v>1670</v>
      </c>
      <c r="C250" s="148" t="s">
        <v>1618</v>
      </c>
    </row>
    <row r="251" spans="2:3">
      <c r="B251" s="148" t="s">
        <v>118</v>
      </c>
      <c r="C251" s="148" t="s">
        <v>1663</v>
      </c>
    </row>
    <row r="252" spans="2:3">
      <c r="B252" s="148" t="s">
        <v>1671</v>
      </c>
      <c r="C252" s="148" t="s">
        <v>1663</v>
      </c>
    </row>
    <row r="253" spans="2:3">
      <c r="B253" s="148" t="s">
        <v>119</v>
      </c>
      <c r="C253" s="148" t="s">
        <v>1663</v>
      </c>
    </row>
    <row r="254" spans="2:3">
      <c r="B254" s="148" t="s">
        <v>120</v>
      </c>
      <c r="C254" s="148" t="s">
        <v>1663</v>
      </c>
    </row>
    <row r="255" spans="2:3">
      <c r="B255" s="148" t="s">
        <v>1672</v>
      </c>
      <c r="C255" s="148" t="s">
        <v>1618</v>
      </c>
    </row>
    <row r="256" spans="2:3">
      <c r="B256" s="148" t="s">
        <v>429</v>
      </c>
      <c r="C256" s="148" t="s">
        <v>1618</v>
      </c>
    </row>
    <row r="257" spans="2:3">
      <c r="B257" s="148" t="s">
        <v>1673</v>
      </c>
      <c r="C257" s="148" t="s">
        <v>1618</v>
      </c>
    </row>
    <row r="258" spans="2:3">
      <c r="B258" s="148" t="s">
        <v>430</v>
      </c>
      <c r="C258" s="148" t="s">
        <v>1618</v>
      </c>
    </row>
    <row r="259" spans="2:3">
      <c r="B259" s="148" t="s">
        <v>431</v>
      </c>
      <c r="C259" s="148" t="s">
        <v>1618</v>
      </c>
    </row>
    <row r="260" spans="2:3">
      <c r="B260" s="148" t="s">
        <v>432</v>
      </c>
      <c r="C260" s="148" t="s">
        <v>1618</v>
      </c>
    </row>
    <row r="261" spans="2:3">
      <c r="B261" s="148" t="s">
        <v>123</v>
      </c>
      <c r="C261" s="148" t="s">
        <v>123</v>
      </c>
    </row>
    <row r="262" spans="2:3">
      <c r="B262" s="148" t="s">
        <v>433</v>
      </c>
      <c r="C262" s="148" t="s">
        <v>1618</v>
      </c>
    </row>
    <row r="263" spans="2:3">
      <c r="B263" s="148" t="s">
        <v>124</v>
      </c>
      <c r="C263" s="148" t="s">
        <v>1618</v>
      </c>
    </row>
    <row r="264" spans="2:3">
      <c r="B264" s="148" t="s">
        <v>125</v>
      </c>
      <c r="C264" s="148" t="s">
        <v>1618</v>
      </c>
    </row>
    <row r="265" spans="2:3">
      <c r="B265" s="148" t="s">
        <v>126</v>
      </c>
      <c r="C265" s="148" t="s">
        <v>1618</v>
      </c>
    </row>
    <row r="266" spans="2:3">
      <c r="B266" s="148" t="s">
        <v>156</v>
      </c>
      <c r="C266" s="148" t="s">
        <v>1674</v>
      </c>
    </row>
    <row r="267" spans="2:3">
      <c r="B267" s="148" t="s">
        <v>127</v>
      </c>
      <c r="C267" s="148" t="s">
        <v>1618</v>
      </c>
    </row>
    <row r="268" spans="2:3">
      <c r="B268" s="148" t="s">
        <v>128</v>
      </c>
      <c r="C268" s="148" t="s">
        <v>1675</v>
      </c>
    </row>
    <row r="269" spans="2:3">
      <c r="B269" s="148" t="s">
        <v>131</v>
      </c>
      <c r="C269" s="148" t="s">
        <v>1618</v>
      </c>
    </row>
    <row r="270" spans="2:3">
      <c r="B270" s="148" t="s">
        <v>165</v>
      </c>
      <c r="C270" s="148" t="s">
        <v>165</v>
      </c>
    </row>
    <row r="271" spans="2:3">
      <c r="B271" s="148" t="s">
        <v>166</v>
      </c>
      <c r="C271" s="148" t="s">
        <v>1618</v>
      </c>
    </row>
    <row r="272" spans="2:3">
      <c r="B272" s="148" t="s">
        <v>434</v>
      </c>
      <c r="C272" s="148" t="s">
        <v>1618</v>
      </c>
    </row>
    <row r="273" spans="2:3">
      <c r="B273" s="148" t="s">
        <v>132</v>
      </c>
      <c r="C273" s="148" t="s">
        <v>132</v>
      </c>
    </row>
    <row r="274" spans="2:3">
      <c r="B274" s="148" t="s">
        <v>435</v>
      </c>
      <c r="C274" s="148" t="s">
        <v>1618</v>
      </c>
    </row>
    <row r="275" spans="2:3">
      <c r="B275" s="148" t="s">
        <v>436</v>
      </c>
      <c r="C275" s="148" t="s">
        <v>1618</v>
      </c>
    </row>
    <row r="276" spans="2:3">
      <c r="B276" s="148" t="s">
        <v>133</v>
      </c>
      <c r="C276" s="148" t="s">
        <v>133</v>
      </c>
    </row>
    <row r="277" spans="2:3">
      <c r="B277" s="148" t="s">
        <v>437</v>
      </c>
      <c r="C277" s="148" t="s">
        <v>1618</v>
      </c>
    </row>
    <row r="278" spans="2:3">
      <c r="B278" s="148" t="s">
        <v>134</v>
      </c>
      <c r="C278" s="148" t="s">
        <v>1618</v>
      </c>
    </row>
    <row r="279" spans="2:3">
      <c r="B279" s="148" t="s">
        <v>438</v>
      </c>
      <c r="C279" s="148" t="s">
        <v>438</v>
      </c>
    </row>
    <row r="280" spans="2:3">
      <c r="B280" s="148" t="s">
        <v>135</v>
      </c>
      <c r="C280" s="148" t="s">
        <v>1618</v>
      </c>
    </row>
    <row r="281" spans="2:3">
      <c r="B281" s="148" t="s">
        <v>439</v>
      </c>
      <c r="C281" s="148" t="s">
        <v>439</v>
      </c>
    </row>
    <row r="282" spans="2:3">
      <c r="B282" s="148" t="s">
        <v>136</v>
      </c>
      <c r="C282" s="148" t="s">
        <v>1618</v>
      </c>
    </row>
    <row r="283" spans="2:3">
      <c r="B283" s="148" t="s">
        <v>137</v>
      </c>
      <c r="C283" s="148" t="s">
        <v>137</v>
      </c>
    </row>
    <row r="284" spans="2:3">
      <c r="B284" s="148" t="s">
        <v>138</v>
      </c>
      <c r="C284" s="148" t="s">
        <v>1618</v>
      </c>
    </row>
    <row r="285" spans="2:3">
      <c r="B285" s="148" t="s">
        <v>440</v>
      </c>
      <c r="C285" s="148" t="s">
        <v>1618</v>
      </c>
    </row>
    <row r="286" spans="2:3">
      <c r="B286" s="148" t="s">
        <v>181</v>
      </c>
      <c r="C286" s="148" t="s">
        <v>1618</v>
      </c>
    </row>
    <row r="287" spans="2:3">
      <c r="B287" s="148" t="s">
        <v>139</v>
      </c>
      <c r="C287" s="148" t="s">
        <v>1618</v>
      </c>
    </row>
    <row r="288" spans="2:3">
      <c r="B288" s="148" t="s">
        <v>441</v>
      </c>
      <c r="C288" s="148" t="s">
        <v>1618</v>
      </c>
    </row>
    <row r="289" spans="2:3">
      <c r="B289" s="148" t="s">
        <v>140</v>
      </c>
      <c r="C289" s="148" t="s">
        <v>1618</v>
      </c>
    </row>
    <row r="290" spans="2:3">
      <c r="B290" s="148" t="s">
        <v>141</v>
      </c>
      <c r="C290" s="148" t="s">
        <v>141</v>
      </c>
    </row>
    <row r="291" spans="2:3">
      <c r="B291" s="148" t="s">
        <v>142</v>
      </c>
      <c r="C291" s="148" t="s">
        <v>1618</v>
      </c>
    </row>
    <row r="292" spans="2:3">
      <c r="B292" s="148" t="s">
        <v>144</v>
      </c>
      <c r="C292" s="148" t="s">
        <v>1618</v>
      </c>
    </row>
    <row r="293" spans="2:3">
      <c r="B293" s="148" t="s">
        <v>442</v>
      </c>
      <c r="C293" s="151" t="s">
        <v>442</v>
      </c>
    </row>
    <row r="294" spans="2:3">
      <c r="B294" s="148" t="s">
        <v>145</v>
      </c>
      <c r="C294" s="148" t="s">
        <v>1618</v>
      </c>
    </row>
    <row r="295" spans="2:3">
      <c r="B295" s="148">
        <v>2380</v>
      </c>
      <c r="C295" s="148" t="s">
        <v>1618</v>
      </c>
    </row>
    <row r="296" spans="2:3">
      <c r="B296" s="148" t="s">
        <v>149</v>
      </c>
      <c r="C296" s="148" t="s">
        <v>1618</v>
      </c>
    </row>
    <row r="297" spans="2:3">
      <c r="B297" s="148" t="s">
        <v>443</v>
      </c>
      <c r="C297" s="148" t="s">
        <v>1618</v>
      </c>
    </row>
    <row r="298" spans="2:3">
      <c r="B298" s="148" t="s">
        <v>150</v>
      </c>
      <c r="C298" s="148" t="s">
        <v>1618</v>
      </c>
    </row>
    <row r="299" spans="2:3">
      <c r="B299" s="148" t="s">
        <v>444</v>
      </c>
      <c r="C299" s="148" t="s">
        <v>1618</v>
      </c>
    </row>
    <row r="300" spans="2:3">
      <c r="B300" s="148" t="s">
        <v>445</v>
      </c>
      <c r="C300" s="148" t="s">
        <v>1618</v>
      </c>
    </row>
    <row r="301" spans="2:3">
      <c r="B301" s="148" t="s">
        <v>446</v>
      </c>
      <c r="C301" s="148" t="s">
        <v>1618</v>
      </c>
    </row>
    <row r="302" spans="2:3">
      <c r="B302" s="148" t="s">
        <v>447</v>
      </c>
      <c r="C302" s="148" t="s">
        <v>1618</v>
      </c>
    </row>
    <row r="303" spans="2:3">
      <c r="B303" s="148" t="s">
        <v>448</v>
      </c>
      <c r="C303" s="148" t="s">
        <v>1618</v>
      </c>
    </row>
    <row r="304" spans="2:3">
      <c r="B304" s="148" t="s">
        <v>449</v>
      </c>
      <c r="C304" s="148" t="s">
        <v>1618</v>
      </c>
    </row>
    <row r="305" spans="2:3">
      <c r="B305" s="148" t="s">
        <v>450</v>
      </c>
      <c r="C305" s="148" t="s">
        <v>1618</v>
      </c>
    </row>
    <row r="306" spans="2:3">
      <c r="B306" s="148" t="s">
        <v>452</v>
      </c>
      <c r="C306" s="148" t="s">
        <v>1618</v>
      </c>
    </row>
    <row r="307" spans="2:3">
      <c r="B307" s="148" t="s">
        <v>453</v>
      </c>
      <c r="C307" s="148" t="s">
        <v>1618</v>
      </c>
    </row>
    <row r="308" spans="2:3">
      <c r="B308" s="148" t="s">
        <v>152</v>
      </c>
      <c r="C308" s="148" t="s">
        <v>152</v>
      </c>
    </row>
    <row r="309" spans="2:3">
      <c r="B309" s="148" t="s">
        <v>454</v>
      </c>
      <c r="C309" s="148" t="s">
        <v>1618</v>
      </c>
    </row>
    <row r="310" spans="2:3">
      <c r="B310" s="148" t="s">
        <v>151</v>
      </c>
      <c r="C310" s="148" t="s">
        <v>1618</v>
      </c>
    </row>
    <row r="311" spans="2:3">
      <c r="B311" s="148" t="s">
        <v>455</v>
      </c>
      <c r="C311" s="148" t="s">
        <v>1618</v>
      </c>
    </row>
    <row r="312" spans="2:3">
      <c r="B312" s="148" t="s">
        <v>456</v>
      </c>
      <c r="C312" s="148" t="s">
        <v>1618</v>
      </c>
    </row>
    <row r="313" spans="2:3">
      <c r="B313" s="148" t="s">
        <v>457</v>
      </c>
      <c r="C313" s="148" t="s">
        <v>1618</v>
      </c>
    </row>
    <row r="314" spans="2:3">
      <c r="B314" s="148" t="s">
        <v>235</v>
      </c>
      <c r="C314" s="148" t="s">
        <v>1618</v>
      </c>
    </row>
    <row r="315" spans="2:3">
      <c r="B315" s="148" t="s">
        <v>236</v>
      </c>
      <c r="C315" s="148" t="s">
        <v>1618</v>
      </c>
    </row>
    <row r="316" spans="2:3">
      <c r="B316" s="148" t="s">
        <v>458</v>
      </c>
      <c r="C316" s="148" t="s">
        <v>1618</v>
      </c>
    </row>
    <row r="317" spans="2:3">
      <c r="B317" s="148" t="s">
        <v>459</v>
      </c>
      <c r="C317" s="148" t="s">
        <v>1618</v>
      </c>
    </row>
    <row r="318" spans="2:3">
      <c r="B318" s="148" t="s">
        <v>460</v>
      </c>
      <c r="C318" s="148" t="s">
        <v>1618</v>
      </c>
    </row>
    <row r="319" spans="2:3">
      <c r="B319" s="148" t="s">
        <v>461</v>
      </c>
      <c r="C319" s="148" t="s">
        <v>1618</v>
      </c>
    </row>
    <row r="320" spans="2:3">
      <c r="B320" s="148" t="s">
        <v>153</v>
      </c>
      <c r="C320" s="148" t="s">
        <v>1618</v>
      </c>
    </row>
    <row r="321" spans="2:3">
      <c r="B321" s="148" t="s">
        <v>462</v>
      </c>
      <c r="C321" s="148" t="s">
        <v>1618</v>
      </c>
    </row>
    <row r="322" spans="2:3">
      <c r="B322" s="148" t="s">
        <v>463</v>
      </c>
      <c r="C322" s="148" t="s">
        <v>1618</v>
      </c>
    </row>
    <row r="323" spans="2:3">
      <c r="B323" s="148" t="s">
        <v>464</v>
      </c>
      <c r="C323" s="148" t="s">
        <v>1618</v>
      </c>
    </row>
    <row r="324" spans="2:3">
      <c r="B324" s="148" t="s">
        <v>180</v>
      </c>
      <c r="C324" s="148" t="s">
        <v>1618</v>
      </c>
    </row>
    <row r="325" spans="2:3">
      <c r="B325" s="148" t="s">
        <v>465</v>
      </c>
      <c r="C325" s="148" t="s">
        <v>1618</v>
      </c>
    </row>
    <row r="326" spans="2:3">
      <c r="B326" s="148" t="s">
        <v>466</v>
      </c>
      <c r="C326" s="148" t="s">
        <v>1618</v>
      </c>
    </row>
    <row r="327" spans="2:3">
      <c r="B327" s="148" t="s">
        <v>467</v>
      </c>
      <c r="C327" s="148" t="s">
        <v>1618</v>
      </c>
    </row>
    <row r="328" spans="2:3">
      <c r="B328" s="148" t="s">
        <v>154</v>
      </c>
      <c r="C328" s="148" t="s">
        <v>1618</v>
      </c>
    </row>
    <row r="329" spans="2:3">
      <c r="B329" s="148" t="s">
        <v>468</v>
      </c>
      <c r="C329" s="148" t="s">
        <v>1618</v>
      </c>
    </row>
    <row r="330" spans="2:3">
      <c r="B330" s="148" t="s">
        <v>155</v>
      </c>
      <c r="C330" s="148" t="s">
        <v>1618</v>
      </c>
    </row>
    <row r="331" spans="2:3">
      <c r="B331" s="148" t="s">
        <v>469</v>
      </c>
      <c r="C331" s="148" t="s">
        <v>1618</v>
      </c>
    </row>
    <row r="332" spans="2:3">
      <c r="B332" s="148" t="s">
        <v>470</v>
      </c>
      <c r="C332" s="148" t="s">
        <v>470</v>
      </c>
    </row>
    <row r="333" spans="2:3">
      <c r="B333" s="148" t="s">
        <v>157</v>
      </c>
      <c r="C333" s="151" t="s">
        <v>157</v>
      </c>
    </row>
    <row r="334" spans="2:3">
      <c r="B334" s="148" t="s">
        <v>161</v>
      </c>
      <c r="C334" s="148" t="s">
        <v>1618</v>
      </c>
    </row>
    <row r="335" spans="2:3">
      <c r="B335" s="148" t="s">
        <v>471</v>
      </c>
      <c r="C335" s="148" t="s">
        <v>1618</v>
      </c>
    </row>
    <row r="336" spans="2:3">
      <c r="B336" s="148" t="s">
        <v>472</v>
      </c>
      <c r="C336" s="148" t="s">
        <v>1618</v>
      </c>
    </row>
    <row r="337" spans="2:3">
      <c r="B337" s="148" t="s">
        <v>162</v>
      </c>
      <c r="C337" s="148" t="s">
        <v>1618</v>
      </c>
    </row>
    <row r="338" spans="2:3">
      <c r="B338" s="148" t="s">
        <v>164</v>
      </c>
      <c r="C338" s="148" t="s">
        <v>1618</v>
      </c>
    </row>
    <row r="339" spans="2:3">
      <c r="B339" s="148" t="s">
        <v>473</v>
      </c>
      <c r="C339" s="148" t="s">
        <v>1618</v>
      </c>
    </row>
    <row r="340" spans="2:3">
      <c r="B340" s="148" t="s">
        <v>474</v>
      </c>
      <c r="C340" s="148" t="s">
        <v>1618</v>
      </c>
    </row>
    <row r="341" spans="2:3">
      <c r="B341" s="148" t="s">
        <v>475</v>
      </c>
      <c r="C341" s="148" t="s">
        <v>1618</v>
      </c>
    </row>
    <row r="342" spans="2:3">
      <c r="B342" s="148" t="s">
        <v>476</v>
      </c>
      <c r="C342" s="148" t="s">
        <v>1618</v>
      </c>
    </row>
    <row r="343" spans="2:3">
      <c r="B343" s="148" t="s">
        <v>477</v>
      </c>
      <c r="C343" s="148" t="s">
        <v>1618</v>
      </c>
    </row>
    <row r="344" spans="2:3">
      <c r="B344" s="148" t="s">
        <v>478</v>
      </c>
      <c r="C344" s="148" t="s">
        <v>1618</v>
      </c>
    </row>
    <row r="345" spans="2:3">
      <c r="B345" s="148" t="s">
        <v>479</v>
      </c>
      <c r="C345" s="148" t="s">
        <v>1618</v>
      </c>
    </row>
    <row r="346" spans="2:3">
      <c r="B346" s="148" t="s">
        <v>480</v>
      </c>
      <c r="C346" s="148" t="s">
        <v>1618</v>
      </c>
    </row>
    <row r="347" spans="2:3">
      <c r="B347" s="148" t="s">
        <v>481</v>
      </c>
      <c r="C347" s="148" t="s">
        <v>1618</v>
      </c>
    </row>
    <row r="348" spans="2:3">
      <c r="B348" s="148" t="s">
        <v>482</v>
      </c>
      <c r="C348" s="148" t="s">
        <v>1618</v>
      </c>
    </row>
    <row r="349" spans="2:3">
      <c r="B349" s="148" t="s">
        <v>483</v>
      </c>
      <c r="C349" s="148" t="s">
        <v>1618</v>
      </c>
    </row>
    <row r="350" spans="2:3">
      <c r="B350" s="148" t="s">
        <v>484</v>
      </c>
      <c r="C350" s="148" t="s">
        <v>1618</v>
      </c>
    </row>
    <row r="351" spans="2:3">
      <c r="B351" s="148" t="s">
        <v>485</v>
      </c>
      <c r="C351" s="148" t="s">
        <v>1618</v>
      </c>
    </row>
    <row r="352" spans="2:3">
      <c r="B352" s="148" t="s">
        <v>486</v>
      </c>
      <c r="C352" s="148" t="s">
        <v>1618</v>
      </c>
    </row>
    <row r="353" spans="2:3">
      <c r="B353" s="148" t="s">
        <v>487</v>
      </c>
      <c r="C353" s="148" t="s">
        <v>1618</v>
      </c>
    </row>
    <row r="354" spans="2:3">
      <c r="B354" s="148" t="s">
        <v>488</v>
      </c>
      <c r="C354" s="148" t="s">
        <v>1618</v>
      </c>
    </row>
    <row r="355" spans="2:3">
      <c r="B355" s="148" t="s">
        <v>489</v>
      </c>
      <c r="C355" s="148" t="s">
        <v>1618</v>
      </c>
    </row>
    <row r="356" spans="2:3">
      <c r="B356" s="148" t="s">
        <v>490</v>
      </c>
      <c r="C356" s="148" t="s">
        <v>1618</v>
      </c>
    </row>
    <row r="357" spans="2:3">
      <c r="B357" s="148" t="s">
        <v>491</v>
      </c>
      <c r="C357" s="148" t="s">
        <v>1618</v>
      </c>
    </row>
    <row r="358" spans="2:3">
      <c r="B358" s="148" t="s">
        <v>492</v>
      </c>
      <c r="C358" s="148" t="s">
        <v>1618</v>
      </c>
    </row>
    <row r="359" spans="2:3">
      <c r="B359" s="148" t="s">
        <v>1676</v>
      </c>
      <c r="C359" s="148" t="s">
        <v>1618</v>
      </c>
    </row>
    <row r="360" spans="2:3">
      <c r="B360" s="148" t="s">
        <v>494</v>
      </c>
      <c r="C360" s="148" t="s">
        <v>1618</v>
      </c>
    </row>
    <row r="361" spans="2:3">
      <c r="B361" s="148" t="s">
        <v>495</v>
      </c>
      <c r="C361" s="148" t="s">
        <v>1618</v>
      </c>
    </row>
    <row r="362" spans="2:3">
      <c r="B362" s="148" t="s">
        <v>496</v>
      </c>
      <c r="C362" s="148" t="s">
        <v>1618</v>
      </c>
    </row>
    <row r="363" spans="2:3">
      <c r="B363" s="148" t="s">
        <v>174</v>
      </c>
      <c r="C363" s="148" t="s">
        <v>1618</v>
      </c>
    </row>
    <row r="364" spans="2:3">
      <c r="B364" s="148" t="s">
        <v>497</v>
      </c>
      <c r="C364" s="148" t="s">
        <v>1618</v>
      </c>
    </row>
    <row r="365" spans="2:3">
      <c r="B365" s="148" t="s">
        <v>498</v>
      </c>
      <c r="C365" s="148" t="s">
        <v>1618</v>
      </c>
    </row>
    <row r="366" spans="2:3">
      <c r="B366" s="148" t="s">
        <v>499</v>
      </c>
      <c r="C366" s="148" t="s">
        <v>1618</v>
      </c>
    </row>
    <row r="367" spans="2:3">
      <c r="B367" s="148" t="s">
        <v>500</v>
      </c>
      <c r="C367" s="148" t="s">
        <v>1618</v>
      </c>
    </row>
    <row r="368" spans="2:3">
      <c r="B368" s="148" t="s">
        <v>168</v>
      </c>
      <c r="C368" s="148" t="s">
        <v>1618</v>
      </c>
    </row>
    <row r="369" spans="2:3">
      <c r="B369" s="148" t="s">
        <v>169</v>
      </c>
      <c r="C369" s="148" t="s">
        <v>1618</v>
      </c>
    </row>
    <row r="370" spans="2:3">
      <c r="B370" s="148" t="s">
        <v>170</v>
      </c>
      <c r="C370" s="148" t="s">
        <v>1618</v>
      </c>
    </row>
    <row r="371" spans="2:3">
      <c r="B371" s="148" t="s">
        <v>1677</v>
      </c>
      <c r="C371" s="148" t="s">
        <v>1618</v>
      </c>
    </row>
    <row r="372" spans="2:3">
      <c r="B372" s="148" t="s">
        <v>1678</v>
      </c>
      <c r="C372" s="148" t="s">
        <v>1618</v>
      </c>
    </row>
    <row r="373" spans="2:3">
      <c r="B373" s="148" t="s">
        <v>172</v>
      </c>
      <c r="C373" s="148" t="s">
        <v>1679</v>
      </c>
    </row>
    <row r="374" spans="2:3">
      <c r="B374" s="148" t="s">
        <v>187</v>
      </c>
      <c r="C374" s="148" t="s">
        <v>1618</v>
      </c>
    </row>
    <row r="375" spans="2:3">
      <c r="B375" s="148" t="s">
        <v>175</v>
      </c>
      <c r="C375" s="148" t="s">
        <v>1618</v>
      </c>
    </row>
    <row r="376" spans="2:3">
      <c r="B376" s="148" t="s">
        <v>502</v>
      </c>
      <c r="C376" s="148" t="s">
        <v>1618</v>
      </c>
    </row>
    <row r="377" spans="2:3">
      <c r="B377" s="148" t="s">
        <v>503</v>
      </c>
      <c r="C377" s="148" t="s">
        <v>1618</v>
      </c>
    </row>
    <row r="378" spans="2:3">
      <c r="B378" s="148" t="s">
        <v>504</v>
      </c>
      <c r="C378" s="148" t="s">
        <v>1618</v>
      </c>
    </row>
    <row r="379" spans="2:3">
      <c r="B379" s="148" t="s">
        <v>505</v>
      </c>
      <c r="C379" s="148" t="s">
        <v>1618</v>
      </c>
    </row>
    <row r="380" spans="2:3">
      <c r="B380" s="148" t="s">
        <v>176</v>
      </c>
      <c r="C380" s="148" t="s">
        <v>1618</v>
      </c>
    </row>
    <row r="381" spans="2:3">
      <c r="B381" s="148" t="s">
        <v>506</v>
      </c>
      <c r="C381" s="148" t="s">
        <v>1618</v>
      </c>
    </row>
    <row r="382" spans="2:3">
      <c r="B382" s="148" t="s">
        <v>507</v>
      </c>
      <c r="C382" s="148" t="s">
        <v>1618</v>
      </c>
    </row>
    <row r="383" spans="2:3">
      <c r="B383" s="148" t="s">
        <v>508</v>
      </c>
      <c r="C383" s="148" t="s">
        <v>1618</v>
      </c>
    </row>
    <row r="384" spans="2:3">
      <c r="B384" s="148" t="s">
        <v>177</v>
      </c>
      <c r="C384" s="148" t="s">
        <v>1618</v>
      </c>
    </row>
    <row r="385" spans="2:3">
      <c r="B385" s="148" t="s">
        <v>178</v>
      </c>
      <c r="C385" s="148" t="s">
        <v>1618</v>
      </c>
    </row>
    <row r="386" spans="2:3">
      <c r="B386" s="148" t="s">
        <v>509</v>
      </c>
      <c r="C386" s="148" t="s">
        <v>1618</v>
      </c>
    </row>
    <row r="387" spans="2:3">
      <c r="B387" s="148" t="s">
        <v>510</v>
      </c>
      <c r="C387" s="148" t="s">
        <v>1618</v>
      </c>
    </row>
    <row r="388" spans="2:3">
      <c r="B388" s="148" t="s">
        <v>511</v>
      </c>
      <c r="C388" s="148" t="s">
        <v>1618</v>
      </c>
    </row>
    <row r="389" spans="2:3">
      <c r="B389" s="148" t="s">
        <v>512</v>
      </c>
      <c r="C389" s="148" t="s">
        <v>1618</v>
      </c>
    </row>
    <row r="390" spans="2:3">
      <c r="B390" s="148" t="s">
        <v>183</v>
      </c>
      <c r="C390" s="148" t="s">
        <v>1680</v>
      </c>
    </row>
    <row r="391" spans="2:3">
      <c r="B391" s="148" t="s">
        <v>143</v>
      </c>
      <c r="C391" s="148" t="s">
        <v>1618</v>
      </c>
    </row>
    <row r="392" spans="2:3">
      <c r="B392" s="148" t="s">
        <v>513</v>
      </c>
      <c r="C392" s="148" t="s">
        <v>1618</v>
      </c>
    </row>
    <row r="393" spans="2:3">
      <c r="B393" s="148" t="s">
        <v>514</v>
      </c>
      <c r="C393" s="148" t="s">
        <v>1618</v>
      </c>
    </row>
    <row r="394" spans="2:3">
      <c r="B394" s="148" t="s">
        <v>515</v>
      </c>
      <c r="C394" s="148" t="s">
        <v>1618</v>
      </c>
    </row>
    <row r="395" spans="2:3">
      <c r="B395" s="148" t="s">
        <v>516</v>
      </c>
      <c r="C395" s="148" t="s">
        <v>1618</v>
      </c>
    </row>
    <row r="396" spans="2:3">
      <c r="B396" s="148" t="s">
        <v>517</v>
      </c>
      <c r="C396" s="148" t="s">
        <v>1618</v>
      </c>
    </row>
    <row r="397" spans="2:3">
      <c r="B397" s="148" t="s">
        <v>518</v>
      </c>
      <c r="C397" s="148" t="s">
        <v>1618</v>
      </c>
    </row>
    <row r="398" spans="2:3">
      <c r="B398" s="148" t="s">
        <v>179</v>
      </c>
      <c r="C398" s="148" t="s">
        <v>1618</v>
      </c>
    </row>
    <row r="399" spans="2:3">
      <c r="B399" s="148" t="s">
        <v>519</v>
      </c>
      <c r="C399" s="148" t="s">
        <v>1618</v>
      </c>
    </row>
    <row r="400" spans="2:3">
      <c r="B400" s="148" t="s">
        <v>520</v>
      </c>
      <c r="C400" s="148" t="s">
        <v>1618</v>
      </c>
    </row>
    <row r="401" spans="2:3">
      <c r="B401" s="148" t="s">
        <v>146</v>
      </c>
      <c r="C401" s="148" t="s">
        <v>1618</v>
      </c>
    </row>
    <row r="402" spans="2:3">
      <c r="B402" s="148" t="s">
        <v>147</v>
      </c>
      <c r="C402" s="148" t="s">
        <v>1618</v>
      </c>
    </row>
    <row r="403" spans="2:3">
      <c r="B403" s="148" t="s">
        <v>148</v>
      </c>
      <c r="C403" s="148" t="s">
        <v>1618</v>
      </c>
    </row>
    <row r="404" spans="2:3">
      <c r="B404" s="148" t="s">
        <v>521</v>
      </c>
      <c r="C404" s="148" t="s">
        <v>1618</v>
      </c>
    </row>
    <row r="405" spans="2:3">
      <c r="B405" s="148" t="s">
        <v>182</v>
      </c>
      <c r="C405" s="148" t="s">
        <v>1618</v>
      </c>
    </row>
    <row r="406" spans="2:3">
      <c r="B406" s="148" t="s">
        <v>184</v>
      </c>
      <c r="C406" s="148" t="s">
        <v>1618</v>
      </c>
    </row>
    <row r="407" spans="2:3">
      <c r="B407" s="148" t="s">
        <v>185</v>
      </c>
      <c r="C407" s="148" t="s">
        <v>1618</v>
      </c>
    </row>
    <row r="408" spans="2:3">
      <c r="B408" s="148" t="s">
        <v>522</v>
      </c>
      <c r="C408" s="148" t="s">
        <v>1618</v>
      </c>
    </row>
    <row r="409" spans="2:3">
      <c r="B409" s="148" t="s">
        <v>523</v>
      </c>
      <c r="C409" s="148" t="s">
        <v>1618</v>
      </c>
    </row>
    <row r="410" spans="2:3">
      <c r="B410" s="148" t="s">
        <v>524</v>
      </c>
      <c r="C410" s="148" t="s">
        <v>1618</v>
      </c>
    </row>
    <row r="411" spans="2:3">
      <c r="B411" s="148" t="s">
        <v>186</v>
      </c>
      <c r="C411" s="148" t="s">
        <v>1618</v>
      </c>
    </row>
    <row r="412" spans="2:3">
      <c r="B412" s="148" t="s">
        <v>188</v>
      </c>
      <c r="C412" s="148" t="s">
        <v>1618</v>
      </c>
    </row>
    <row r="413" spans="2:3">
      <c r="B413" s="148" t="s">
        <v>525</v>
      </c>
      <c r="C413" s="148" t="s">
        <v>1618</v>
      </c>
    </row>
    <row r="414" spans="2:3">
      <c r="B414" s="148" t="s">
        <v>189</v>
      </c>
      <c r="C414" s="148" t="s">
        <v>189</v>
      </c>
    </row>
    <row r="415" spans="2:3">
      <c r="B415" s="148" t="s">
        <v>190</v>
      </c>
      <c r="C415" s="148" t="s">
        <v>190</v>
      </c>
    </row>
    <row r="416" spans="2:3">
      <c r="B416" s="148" t="s">
        <v>163</v>
      </c>
      <c r="C416" s="148" t="s">
        <v>1618</v>
      </c>
    </row>
    <row r="417" spans="2:3">
      <c r="B417" s="148" t="s">
        <v>526</v>
      </c>
      <c r="C417" s="148" t="s">
        <v>190</v>
      </c>
    </row>
    <row r="418" spans="2:3">
      <c r="B418" s="148" t="s">
        <v>527</v>
      </c>
      <c r="C418" s="148" t="s">
        <v>1618</v>
      </c>
    </row>
    <row r="419" spans="2:3">
      <c r="B419" s="148" t="s">
        <v>528</v>
      </c>
      <c r="C419" s="148" t="s">
        <v>1618</v>
      </c>
    </row>
    <row r="420" spans="2:3">
      <c r="B420" s="148" t="s">
        <v>529</v>
      </c>
      <c r="C420" s="148" t="s">
        <v>1618</v>
      </c>
    </row>
    <row r="421" spans="2:3">
      <c r="B421" s="148" t="s">
        <v>530</v>
      </c>
      <c r="C421" s="148" t="s">
        <v>1618</v>
      </c>
    </row>
    <row r="422" spans="2:3">
      <c r="B422" s="148" t="s">
        <v>531</v>
      </c>
      <c r="C422" s="148" t="s">
        <v>1618</v>
      </c>
    </row>
    <row r="423" spans="2:3">
      <c r="B423" s="148" t="s">
        <v>532</v>
      </c>
      <c r="C423" s="148" t="s">
        <v>1681</v>
      </c>
    </row>
    <row r="424" spans="2:3">
      <c r="B424" s="148" t="s">
        <v>533</v>
      </c>
      <c r="C424" s="148" t="s">
        <v>1618</v>
      </c>
    </row>
    <row r="425" spans="2:3">
      <c r="B425" s="148" t="s">
        <v>233</v>
      </c>
      <c r="C425" s="148" t="s">
        <v>1618</v>
      </c>
    </row>
    <row r="426" spans="2:3">
      <c r="B426" s="148" t="s">
        <v>534</v>
      </c>
      <c r="C426" s="148" t="s">
        <v>1618</v>
      </c>
    </row>
    <row r="427" spans="2:3">
      <c r="B427" s="148" t="s">
        <v>1682</v>
      </c>
      <c r="C427" s="148" t="s">
        <v>1618</v>
      </c>
    </row>
    <row r="428" spans="2:3">
      <c r="B428" s="148" t="s">
        <v>1683</v>
      </c>
      <c r="C428" s="148" t="s">
        <v>1618</v>
      </c>
    </row>
    <row r="429" spans="2:3">
      <c r="B429" s="148" t="s">
        <v>1684</v>
      </c>
      <c r="C429" s="148" t="s">
        <v>1618</v>
      </c>
    </row>
    <row r="430" spans="2:3">
      <c r="B430" s="148" t="s">
        <v>1685</v>
      </c>
      <c r="C430" s="148" t="s">
        <v>1618</v>
      </c>
    </row>
    <row r="431" spans="2:3">
      <c r="B431" s="148" t="s">
        <v>1686</v>
      </c>
      <c r="C431" s="148" t="s">
        <v>1618</v>
      </c>
    </row>
    <row r="432" spans="2:3">
      <c r="B432" s="148" t="s">
        <v>1687</v>
      </c>
      <c r="C432" s="148" t="s">
        <v>1618</v>
      </c>
    </row>
    <row r="433" spans="2:3">
      <c r="B433" s="148" t="s">
        <v>1688</v>
      </c>
      <c r="C433" s="148" t="s">
        <v>1618</v>
      </c>
    </row>
    <row r="434" spans="2:3">
      <c r="B434" s="148" t="s">
        <v>1689</v>
      </c>
      <c r="C434" s="148" t="s">
        <v>1618</v>
      </c>
    </row>
    <row r="435" spans="2:3">
      <c r="B435" s="148" t="s">
        <v>1690</v>
      </c>
      <c r="C435" s="148" t="s">
        <v>1618</v>
      </c>
    </row>
    <row r="436" spans="2:3">
      <c r="B436" s="148" t="s">
        <v>543</v>
      </c>
      <c r="C436" s="148" t="s">
        <v>1618</v>
      </c>
    </row>
    <row r="437" spans="2:3">
      <c r="B437" s="148" t="s">
        <v>1691</v>
      </c>
      <c r="C437" s="148" t="s">
        <v>1618</v>
      </c>
    </row>
    <row r="438" spans="2:3">
      <c r="B438" s="148" t="s">
        <v>545</v>
      </c>
      <c r="C438" s="151" t="s">
        <v>545</v>
      </c>
    </row>
    <row r="439" spans="2:3">
      <c r="B439" s="148" t="s">
        <v>1692</v>
      </c>
      <c r="C439" s="148" t="s">
        <v>1618</v>
      </c>
    </row>
    <row r="440" spans="2:3">
      <c r="B440" s="148" t="s">
        <v>1693</v>
      </c>
      <c r="C440" s="148" t="s">
        <v>1618</v>
      </c>
    </row>
    <row r="441" spans="2:3">
      <c r="B441" s="148" t="s">
        <v>548</v>
      </c>
      <c r="C441" s="148" t="s">
        <v>1618</v>
      </c>
    </row>
    <row r="442" spans="2:3">
      <c r="B442" s="148" t="s">
        <v>1694</v>
      </c>
      <c r="C442" s="148" t="s">
        <v>1618</v>
      </c>
    </row>
    <row r="443" spans="2:3">
      <c r="B443" s="148" t="s">
        <v>1695</v>
      </c>
      <c r="C443" s="148" t="s">
        <v>1618</v>
      </c>
    </row>
    <row r="444" spans="2:3">
      <c r="B444" s="148" t="s">
        <v>1696</v>
      </c>
      <c r="C444" s="148" t="s">
        <v>1618</v>
      </c>
    </row>
    <row r="445" spans="2:3">
      <c r="B445" s="148" t="s">
        <v>1697</v>
      </c>
      <c r="C445" s="148" t="s">
        <v>1618</v>
      </c>
    </row>
    <row r="446" spans="2:3">
      <c r="B446" s="148" t="s">
        <v>1698</v>
      </c>
      <c r="C446" s="148" t="s">
        <v>1618</v>
      </c>
    </row>
    <row r="447" spans="2:3">
      <c r="B447" s="148" t="s">
        <v>1699</v>
      </c>
      <c r="C447" s="148" t="s">
        <v>1618</v>
      </c>
    </row>
    <row r="448" spans="2:3">
      <c r="B448" s="148" t="s">
        <v>1700</v>
      </c>
      <c r="C448" s="148" t="s">
        <v>1701</v>
      </c>
    </row>
    <row r="449" spans="2:3">
      <c r="B449" s="148" t="s">
        <v>1702</v>
      </c>
      <c r="C449" s="148" t="s">
        <v>1618</v>
      </c>
    </row>
    <row r="450" spans="2:3">
      <c r="B450" s="148" t="s">
        <v>1703</v>
      </c>
      <c r="C450" s="148" t="s">
        <v>1618</v>
      </c>
    </row>
    <row r="451" spans="2:3">
      <c r="B451" s="148" t="s">
        <v>1704</v>
      </c>
      <c r="C451" s="148" t="s">
        <v>1618</v>
      </c>
    </row>
    <row r="452" spans="2:3">
      <c r="B452" s="148" t="s">
        <v>556</v>
      </c>
      <c r="C452" s="148" t="s">
        <v>1618</v>
      </c>
    </row>
    <row r="453" spans="2:3">
      <c r="B453" s="148" t="s">
        <v>557</v>
      </c>
      <c r="C453" s="148" t="s">
        <v>1618</v>
      </c>
    </row>
    <row r="454" spans="2:3">
      <c r="B454" s="148" t="s">
        <v>230</v>
      </c>
      <c r="C454" s="148" t="s">
        <v>1618</v>
      </c>
    </row>
    <row r="455" spans="2:3">
      <c r="B455" s="148" t="s">
        <v>558</v>
      </c>
      <c r="C455" s="148" t="s">
        <v>1618</v>
      </c>
    </row>
    <row r="456" spans="2:3">
      <c r="B456" s="148" t="s">
        <v>559</v>
      </c>
      <c r="C456" s="148" t="s">
        <v>1618</v>
      </c>
    </row>
    <row r="457" spans="2:3">
      <c r="B457" s="148" t="s">
        <v>560</v>
      </c>
      <c r="C457" s="148" t="s">
        <v>1618</v>
      </c>
    </row>
    <row r="458" spans="2:3">
      <c r="B458" s="148" t="s">
        <v>561</v>
      </c>
      <c r="C458" s="148" t="s">
        <v>1618</v>
      </c>
    </row>
    <row r="459" spans="2:3">
      <c r="B459" s="148" t="s">
        <v>562</v>
      </c>
      <c r="C459" s="148" t="s">
        <v>1618</v>
      </c>
    </row>
    <row r="460" spans="2:3">
      <c r="B460" s="148" t="s">
        <v>1705</v>
      </c>
      <c r="C460" s="148" t="s">
        <v>1618</v>
      </c>
    </row>
    <row r="461" spans="2:3">
      <c r="B461" s="148" t="s">
        <v>1706</v>
      </c>
      <c r="C461" s="148" t="s">
        <v>1618</v>
      </c>
    </row>
    <row r="462" spans="2:3">
      <c r="B462" s="148" t="s">
        <v>564</v>
      </c>
      <c r="C462" s="148" t="s">
        <v>1618</v>
      </c>
    </row>
    <row r="463" spans="2:3">
      <c r="B463" s="148" t="s">
        <v>565</v>
      </c>
      <c r="C463" s="148" t="s">
        <v>1618</v>
      </c>
    </row>
    <row r="464" spans="2:3">
      <c r="B464" s="148" t="s">
        <v>566</v>
      </c>
      <c r="C464" s="148" t="s">
        <v>1618</v>
      </c>
    </row>
    <row r="465" spans="2:3">
      <c r="B465" s="148" t="s">
        <v>227</v>
      </c>
      <c r="C465" s="148" t="s">
        <v>1618</v>
      </c>
    </row>
    <row r="466" spans="2:3">
      <c r="B466" s="148" t="s">
        <v>1707</v>
      </c>
      <c r="C466" s="148" t="s">
        <v>1618</v>
      </c>
    </row>
    <row r="467" spans="2:3">
      <c r="B467" s="148" t="s">
        <v>1708</v>
      </c>
      <c r="C467" s="148" t="s">
        <v>1618</v>
      </c>
    </row>
    <row r="468" spans="2:3">
      <c r="B468" s="148" t="s">
        <v>129</v>
      </c>
      <c r="C468" s="148" t="s">
        <v>1618</v>
      </c>
    </row>
    <row r="469" spans="2:3">
      <c r="B469" s="148" t="s">
        <v>130</v>
      </c>
      <c r="C469" s="148" t="s">
        <v>1618</v>
      </c>
    </row>
    <row r="470" spans="2:3">
      <c r="B470" s="148" t="s">
        <v>229</v>
      </c>
      <c r="C470" s="148" t="s">
        <v>1618</v>
      </c>
    </row>
    <row r="471" spans="2:3">
      <c r="B471" s="148" t="s">
        <v>167</v>
      </c>
      <c r="C471" s="148" t="s">
        <v>1618</v>
      </c>
    </row>
    <row r="472" spans="2:3">
      <c r="B472" s="154" t="s">
        <v>568</v>
      </c>
      <c r="C472" s="154" t="s">
        <v>1662</v>
      </c>
    </row>
    <row r="473" spans="2:3">
      <c r="B473" s="155" t="s">
        <v>571</v>
      </c>
      <c r="C473" s="155"/>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
  <sheetViews>
    <sheetView workbookViewId="0">
      <selection activeCell="L19" sqref="L19"/>
    </sheetView>
  </sheetViews>
  <sheetFormatPr defaultRowHeight="18"/>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4"/>
  <sheetViews>
    <sheetView workbookViewId="0">
      <selection activeCell="D12" sqref="D12"/>
    </sheetView>
  </sheetViews>
  <sheetFormatPr defaultColWidth="8.1640625" defaultRowHeight="18"/>
  <cols>
    <col min="1" max="1" width="16.5" bestFit="1" customWidth="1"/>
    <col min="2" max="2" width="13.75" bestFit="1" customWidth="1"/>
    <col min="3" max="3" width="16.5" bestFit="1" customWidth="1"/>
    <col min="4" max="4" width="13.75" bestFit="1" customWidth="1"/>
    <col min="5" max="5" width="13.75" style="40" bestFit="1" customWidth="1"/>
    <col min="6" max="7" width="16.25" bestFit="1" customWidth="1"/>
    <col min="8" max="8" width="17.6640625" bestFit="1" customWidth="1"/>
  </cols>
  <sheetData>
    <row r="1" spans="1:8">
      <c r="A1" s="41" t="s">
        <v>803</v>
      </c>
      <c r="B1" s="41" t="s">
        <v>804</v>
      </c>
      <c r="C1" s="41" t="s">
        <v>805</v>
      </c>
      <c r="D1" s="41" t="s">
        <v>806</v>
      </c>
      <c r="E1" s="41" t="s">
        <v>807</v>
      </c>
      <c r="F1" s="41" t="s">
        <v>808</v>
      </c>
      <c r="G1" s="41" t="s">
        <v>809</v>
      </c>
      <c r="H1" s="42" t="s">
        <v>810</v>
      </c>
    </row>
    <row r="2" spans="1:8">
      <c r="A2" s="43" t="s">
        <v>811</v>
      </c>
      <c r="B2" s="43" t="s">
        <v>812</v>
      </c>
      <c r="C2" s="43" t="s">
        <v>813</v>
      </c>
      <c r="D2" s="43" t="s">
        <v>210</v>
      </c>
      <c r="E2" s="44">
        <v>712</v>
      </c>
      <c r="F2" s="43" t="s">
        <v>814</v>
      </c>
      <c r="G2" s="43" t="s">
        <v>814</v>
      </c>
      <c r="H2" t="str">
        <f t="shared" ref="H2:H65" si="0">IF(B2=D2,"同原液","異種原液")</f>
        <v>異種原液</v>
      </c>
    </row>
    <row r="3" spans="1:8">
      <c r="A3" s="43" t="s">
        <v>815</v>
      </c>
      <c r="B3" s="43" t="s">
        <v>816</v>
      </c>
      <c r="C3" s="43" t="s">
        <v>817</v>
      </c>
      <c r="D3" s="43" t="s">
        <v>818</v>
      </c>
      <c r="E3" s="44">
        <v>117</v>
      </c>
      <c r="F3" s="43" t="s">
        <v>819</v>
      </c>
      <c r="G3" s="43" t="s">
        <v>819</v>
      </c>
      <c r="H3" t="str">
        <f t="shared" si="0"/>
        <v>異種原液</v>
      </c>
    </row>
    <row r="4" spans="1:8">
      <c r="A4" s="43" t="s">
        <v>815</v>
      </c>
      <c r="B4" s="43" t="s">
        <v>816</v>
      </c>
      <c r="C4" s="43" t="s">
        <v>820</v>
      </c>
      <c r="D4" s="43" t="s">
        <v>821</v>
      </c>
      <c r="E4" s="44">
        <v>3270.5</v>
      </c>
      <c r="F4" s="43" t="s">
        <v>819</v>
      </c>
      <c r="G4" s="43" t="s">
        <v>819</v>
      </c>
      <c r="H4" t="str">
        <f t="shared" si="0"/>
        <v>異種原液</v>
      </c>
    </row>
    <row r="5" spans="1:8">
      <c r="A5" s="43" t="s">
        <v>815</v>
      </c>
      <c r="B5" s="43" t="s">
        <v>816</v>
      </c>
      <c r="C5" s="43" t="s">
        <v>813</v>
      </c>
      <c r="D5" s="43" t="s">
        <v>210</v>
      </c>
      <c r="E5" s="44">
        <v>58.5</v>
      </c>
      <c r="F5" s="43" t="s">
        <v>819</v>
      </c>
      <c r="G5" s="43" t="s">
        <v>819</v>
      </c>
      <c r="H5" t="str">
        <f t="shared" si="0"/>
        <v>異種原液</v>
      </c>
    </row>
    <row r="6" spans="1:8">
      <c r="A6" s="43" t="s">
        <v>822</v>
      </c>
      <c r="B6" s="43" t="s">
        <v>823</v>
      </c>
      <c r="C6" s="43" t="s">
        <v>817</v>
      </c>
      <c r="D6" s="43" t="s">
        <v>818</v>
      </c>
      <c r="E6" s="44">
        <v>117</v>
      </c>
      <c r="F6" s="43" t="s">
        <v>819</v>
      </c>
      <c r="G6" s="43" t="s">
        <v>819</v>
      </c>
      <c r="H6" t="str">
        <f t="shared" si="0"/>
        <v>異種原液</v>
      </c>
    </row>
    <row r="7" spans="1:8">
      <c r="A7" s="43" t="s">
        <v>822</v>
      </c>
      <c r="B7" s="43" t="s">
        <v>823</v>
      </c>
      <c r="C7" s="43" t="s">
        <v>824</v>
      </c>
      <c r="D7" s="43" t="s">
        <v>825</v>
      </c>
      <c r="E7" s="44">
        <v>3320</v>
      </c>
      <c r="F7" s="43" t="s">
        <v>819</v>
      </c>
      <c r="G7" s="43" t="s">
        <v>819</v>
      </c>
      <c r="H7" t="str">
        <f t="shared" si="0"/>
        <v>異種原液</v>
      </c>
    </row>
    <row r="8" spans="1:8">
      <c r="A8" s="43" t="s">
        <v>822</v>
      </c>
      <c r="B8" s="43" t="s">
        <v>823</v>
      </c>
      <c r="C8" s="43" t="s">
        <v>813</v>
      </c>
      <c r="D8" s="43" t="s">
        <v>210</v>
      </c>
      <c r="E8" s="44">
        <v>58.5</v>
      </c>
      <c r="F8" s="43" t="s">
        <v>819</v>
      </c>
      <c r="G8" s="43" t="s">
        <v>819</v>
      </c>
      <c r="H8" t="str">
        <f t="shared" si="0"/>
        <v>異種原液</v>
      </c>
    </row>
    <row r="9" spans="1:8">
      <c r="A9" s="43" t="s">
        <v>826</v>
      </c>
      <c r="B9" s="43" t="s">
        <v>827</v>
      </c>
      <c r="C9" s="43" t="s">
        <v>579</v>
      </c>
      <c r="D9" s="43" t="s">
        <v>580</v>
      </c>
      <c r="E9" s="44">
        <v>572</v>
      </c>
      <c r="F9" s="43" t="s">
        <v>819</v>
      </c>
      <c r="G9" s="43" t="s">
        <v>819</v>
      </c>
      <c r="H9" t="str">
        <f t="shared" si="0"/>
        <v>異種原液</v>
      </c>
    </row>
    <row r="10" spans="1:8">
      <c r="A10" s="43" t="s">
        <v>826</v>
      </c>
      <c r="B10" s="43" t="s">
        <v>827</v>
      </c>
      <c r="C10" s="43" t="s">
        <v>588</v>
      </c>
      <c r="D10" s="43" t="s">
        <v>589</v>
      </c>
      <c r="E10" s="44">
        <v>11435</v>
      </c>
      <c r="F10" s="43" t="s">
        <v>819</v>
      </c>
      <c r="G10" s="43" t="s">
        <v>819</v>
      </c>
      <c r="H10" t="str">
        <f t="shared" si="0"/>
        <v>異種原液</v>
      </c>
    </row>
    <row r="11" spans="1:8">
      <c r="A11" s="43" t="s">
        <v>828</v>
      </c>
      <c r="B11" s="43" t="s">
        <v>829</v>
      </c>
      <c r="C11" s="43" t="s">
        <v>826</v>
      </c>
      <c r="D11" s="43" t="s">
        <v>827</v>
      </c>
      <c r="E11" s="44">
        <v>17822</v>
      </c>
      <c r="F11" s="43" t="s">
        <v>830</v>
      </c>
      <c r="G11" s="43" t="s">
        <v>830</v>
      </c>
      <c r="H11" t="str">
        <f t="shared" si="0"/>
        <v>異種原液</v>
      </c>
    </row>
    <row r="12" spans="1:8">
      <c r="A12" s="43" t="s">
        <v>831</v>
      </c>
      <c r="B12" s="43" t="s">
        <v>832</v>
      </c>
      <c r="C12" s="43" t="s">
        <v>588</v>
      </c>
      <c r="D12" s="43" t="s">
        <v>589</v>
      </c>
      <c r="E12" s="44">
        <v>22756.5</v>
      </c>
      <c r="F12" s="43" t="s">
        <v>593</v>
      </c>
      <c r="G12" s="43" t="s">
        <v>593</v>
      </c>
      <c r="H12" t="str">
        <f t="shared" si="0"/>
        <v>異種原液</v>
      </c>
    </row>
    <row r="13" spans="1:8">
      <c r="A13" s="43" t="s">
        <v>831</v>
      </c>
      <c r="B13" s="43" t="s">
        <v>832</v>
      </c>
      <c r="C13" s="43" t="s">
        <v>798</v>
      </c>
      <c r="D13" s="43" t="s">
        <v>228</v>
      </c>
      <c r="E13" s="44">
        <v>894.82999999999981</v>
      </c>
      <c r="F13" s="43" t="s">
        <v>593</v>
      </c>
      <c r="G13" s="43" t="s">
        <v>593</v>
      </c>
      <c r="H13" t="str">
        <f t="shared" si="0"/>
        <v>異種原液</v>
      </c>
    </row>
    <row r="14" spans="1:8">
      <c r="A14" s="43" t="s">
        <v>594</v>
      </c>
      <c r="B14" s="43" t="s">
        <v>595</v>
      </c>
      <c r="C14" s="43" t="s">
        <v>833</v>
      </c>
      <c r="D14" s="43" t="s">
        <v>215</v>
      </c>
      <c r="E14" s="44">
        <v>44143.3</v>
      </c>
      <c r="F14" s="43" t="s">
        <v>593</v>
      </c>
      <c r="G14" s="43" t="s">
        <v>593</v>
      </c>
      <c r="H14" t="str">
        <f t="shared" si="0"/>
        <v>異種原液</v>
      </c>
    </row>
    <row r="15" spans="1:8">
      <c r="A15" s="43" t="s">
        <v>638</v>
      </c>
      <c r="B15" s="43" t="s">
        <v>639</v>
      </c>
      <c r="C15" s="43" t="s">
        <v>801</v>
      </c>
      <c r="D15" s="43" t="s">
        <v>802</v>
      </c>
      <c r="E15" s="44">
        <v>1302</v>
      </c>
      <c r="F15" s="43" t="s">
        <v>819</v>
      </c>
      <c r="G15" s="43" t="s">
        <v>819</v>
      </c>
      <c r="H15" t="str">
        <f t="shared" si="0"/>
        <v>異種原液</v>
      </c>
    </row>
    <row r="16" spans="1:8">
      <c r="A16" s="43" t="s">
        <v>834</v>
      </c>
      <c r="B16" s="43" t="s">
        <v>835</v>
      </c>
      <c r="C16" s="43" t="s">
        <v>820</v>
      </c>
      <c r="D16" s="43" t="s">
        <v>821</v>
      </c>
      <c r="E16" s="44">
        <v>169.5</v>
      </c>
      <c r="F16" s="43" t="s">
        <v>819</v>
      </c>
      <c r="G16" s="43" t="s">
        <v>819</v>
      </c>
      <c r="H16" t="str">
        <f t="shared" si="0"/>
        <v>異種原液</v>
      </c>
    </row>
    <row r="17" spans="1:8">
      <c r="A17" s="43" t="s">
        <v>834</v>
      </c>
      <c r="B17" s="43" t="s">
        <v>835</v>
      </c>
      <c r="C17" s="43" t="s">
        <v>836</v>
      </c>
      <c r="D17" s="43" t="s">
        <v>837</v>
      </c>
      <c r="E17" s="44">
        <v>396</v>
      </c>
      <c r="F17" s="43" t="s">
        <v>819</v>
      </c>
      <c r="G17" s="43" t="s">
        <v>819</v>
      </c>
      <c r="H17" t="str">
        <f t="shared" si="0"/>
        <v>異種原液</v>
      </c>
    </row>
    <row r="18" spans="1:8">
      <c r="A18" s="43" t="s">
        <v>838</v>
      </c>
      <c r="B18" s="43" t="s">
        <v>156</v>
      </c>
      <c r="C18" s="43" t="s">
        <v>839</v>
      </c>
      <c r="D18" s="43" t="s">
        <v>840</v>
      </c>
      <c r="E18" s="44">
        <v>4273.5</v>
      </c>
      <c r="F18" s="43" t="s">
        <v>819</v>
      </c>
      <c r="G18" s="43" t="s">
        <v>819</v>
      </c>
      <c r="H18" t="str">
        <f t="shared" si="0"/>
        <v>異種原液</v>
      </c>
    </row>
    <row r="19" spans="1:8">
      <c r="A19" s="43" t="s">
        <v>838</v>
      </c>
      <c r="B19" s="43" t="s">
        <v>156</v>
      </c>
      <c r="C19" s="43" t="s">
        <v>813</v>
      </c>
      <c r="D19" s="43" t="s">
        <v>210</v>
      </c>
      <c r="E19" s="44">
        <v>12820.500000000007</v>
      </c>
      <c r="F19" s="43" t="s">
        <v>819</v>
      </c>
      <c r="G19" s="43" t="s">
        <v>819</v>
      </c>
      <c r="H19" t="str">
        <f t="shared" si="0"/>
        <v>異種原液</v>
      </c>
    </row>
    <row r="20" spans="1:8">
      <c r="A20" s="43" t="s">
        <v>841</v>
      </c>
      <c r="B20" s="43" t="s">
        <v>842</v>
      </c>
      <c r="C20" s="43" t="s">
        <v>588</v>
      </c>
      <c r="D20" s="43" t="s">
        <v>589</v>
      </c>
      <c r="E20" s="44">
        <v>37100</v>
      </c>
      <c r="F20" s="43" t="s">
        <v>819</v>
      </c>
      <c r="G20" s="43" t="s">
        <v>819</v>
      </c>
      <c r="H20" t="str">
        <f t="shared" si="0"/>
        <v>異種原液</v>
      </c>
    </row>
    <row r="21" spans="1:8">
      <c r="A21" s="43" t="s">
        <v>841</v>
      </c>
      <c r="B21" s="43" t="s">
        <v>842</v>
      </c>
      <c r="C21" s="43" t="s">
        <v>843</v>
      </c>
      <c r="D21" s="43" t="s">
        <v>844</v>
      </c>
      <c r="E21" s="44">
        <v>69</v>
      </c>
      <c r="F21" s="43" t="s">
        <v>819</v>
      </c>
      <c r="G21" s="43" t="s">
        <v>819</v>
      </c>
      <c r="H21" t="str">
        <f t="shared" si="0"/>
        <v>異種原液</v>
      </c>
    </row>
    <row r="22" spans="1:8">
      <c r="A22" s="43" t="s">
        <v>845</v>
      </c>
      <c r="B22" s="43" t="s">
        <v>846</v>
      </c>
      <c r="C22" s="43" t="s">
        <v>815</v>
      </c>
      <c r="D22" s="43" t="s">
        <v>816</v>
      </c>
      <c r="E22" s="44">
        <v>4179</v>
      </c>
      <c r="F22" s="43" t="s">
        <v>819</v>
      </c>
      <c r="G22" s="43" t="s">
        <v>819</v>
      </c>
      <c r="H22" t="str">
        <f t="shared" si="0"/>
        <v>異種原液</v>
      </c>
    </row>
    <row r="23" spans="1:8">
      <c r="A23" s="43" t="s">
        <v>845</v>
      </c>
      <c r="B23" s="43" t="s">
        <v>846</v>
      </c>
      <c r="C23" s="43" t="s">
        <v>847</v>
      </c>
      <c r="D23" s="43" t="s">
        <v>848</v>
      </c>
      <c r="E23" s="44">
        <v>147</v>
      </c>
      <c r="F23" s="43" t="s">
        <v>819</v>
      </c>
      <c r="G23" s="43" t="s">
        <v>819</v>
      </c>
      <c r="H23" t="str">
        <f t="shared" si="0"/>
        <v>異種原液</v>
      </c>
    </row>
    <row r="24" spans="1:8">
      <c r="A24" s="43" t="s">
        <v>849</v>
      </c>
      <c r="B24" s="43" t="s">
        <v>850</v>
      </c>
      <c r="C24" s="43" t="s">
        <v>822</v>
      </c>
      <c r="D24" s="43" t="s">
        <v>823</v>
      </c>
      <c r="E24" s="44">
        <v>3488</v>
      </c>
      <c r="F24" s="43" t="s">
        <v>819</v>
      </c>
      <c r="G24" s="43" t="s">
        <v>819</v>
      </c>
      <c r="H24" t="str">
        <f t="shared" si="0"/>
        <v>異種原液</v>
      </c>
    </row>
    <row r="25" spans="1:8">
      <c r="A25" s="43" t="s">
        <v>849</v>
      </c>
      <c r="B25" s="43" t="s">
        <v>850</v>
      </c>
      <c r="C25" s="43" t="s">
        <v>847</v>
      </c>
      <c r="D25" s="43" t="s">
        <v>848</v>
      </c>
      <c r="E25" s="44">
        <v>55</v>
      </c>
      <c r="F25" s="43" t="s">
        <v>819</v>
      </c>
      <c r="G25" s="43" t="s">
        <v>819</v>
      </c>
      <c r="H25" t="str">
        <f t="shared" si="0"/>
        <v>異種原液</v>
      </c>
    </row>
    <row r="26" spans="1:8">
      <c r="A26" s="43" t="s">
        <v>851</v>
      </c>
      <c r="B26" s="43" t="s">
        <v>852</v>
      </c>
      <c r="C26" s="43" t="s">
        <v>853</v>
      </c>
      <c r="D26" s="43" t="s">
        <v>854</v>
      </c>
      <c r="E26" s="44">
        <v>402</v>
      </c>
      <c r="F26" s="43" t="s">
        <v>819</v>
      </c>
      <c r="G26" s="43" t="s">
        <v>819</v>
      </c>
      <c r="H26" t="str">
        <f t="shared" si="0"/>
        <v>異種原液</v>
      </c>
    </row>
    <row r="27" spans="1:8">
      <c r="A27" s="43" t="s">
        <v>855</v>
      </c>
      <c r="B27" s="43" t="s">
        <v>128</v>
      </c>
      <c r="C27" s="43" t="s">
        <v>820</v>
      </c>
      <c r="D27" s="43" t="s">
        <v>821</v>
      </c>
      <c r="E27" s="44">
        <v>11521</v>
      </c>
      <c r="F27" s="43" t="s">
        <v>819</v>
      </c>
      <c r="G27" s="43" t="s">
        <v>819</v>
      </c>
      <c r="H27" t="str">
        <f t="shared" si="0"/>
        <v>異種原液</v>
      </c>
    </row>
    <row r="28" spans="1:8">
      <c r="A28" s="43" t="s">
        <v>855</v>
      </c>
      <c r="B28" s="43" t="s">
        <v>128</v>
      </c>
      <c r="C28" s="43" t="s">
        <v>813</v>
      </c>
      <c r="D28" s="43" t="s">
        <v>210</v>
      </c>
      <c r="E28" s="44">
        <v>3833</v>
      </c>
      <c r="F28" s="43" t="s">
        <v>819</v>
      </c>
      <c r="G28" s="43" t="s">
        <v>819</v>
      </c>
      <c r="H28" t="str">
        <f t="shared" si="0"/>
        <v>異種原液</v>
      </c>
    </row>
    <row r="29" spans="1:8">
      <c r="A29" s="43" t="s">
        <v>856</v>
      </c>
      <c r="B29" s="43" t="s">
        <v>857</v>
      </c>
      <c r="C29" s="43" t="s">
        <v>828</v>
      </c>
      <c r="D29" s="43" t="s">
        <v>829</v>
      </c>
      <c r="E29" s="44">
        <v>19679.5</v>
      </c>
      <c r="F29" s="43" t="s">
        <v>858</v>
      </c>
      <c r="G29" s="43" t="s">
        <v>858</v>
      </c>
      <c r="H29" t="str">
        <f t="shared" si="0"/>
        <v>異種原液</v>
      </c>
    </row>
    <row r="30" spans="1:8">
      <c r="A30" s="43" t="s">
        <v>859</v>
      </c>
      <c r="B30" s="43" t="s">
        <v>860</v>
      </c>
      <c r="C30" s="43" t="s">
        <v>845</v>
      </c>
      <c r="D30" s="43" t="s">
        <v>846</v>
      </c>
      <c r="E30" s="44">
        <v>2777.5</v>
      </c>
      <c r="F30" s="43" t="s">
        <v>858</v>
      </c>
      <c r="G30" s="43" t="s">
        <v>858</v>
      </c>
      <c r="H30" t="str">
        <f t="shared" si="0"/>
        <v>異種原液</v>
      </c>
    </row>
    <row r="31" spans="1:8">
      <c r="A31" s="43" t="s">
        <v>861</v>
      </c>
      <c r="B31" s="43" t="s">
        <v>862</v>
      </c>
      <c r="C31" s="43" t="s">
        <v>851</v>
      </c>
      <c r="D31" s="43" t="s">
        <v>852</v>
      </c>
      <c r="E31" s="44">
        <v>402</v>
      </c>
      <c r="F31" s="43" t="s">
        <v>858</v>
      </c>
      <c r="G31" s="43" t="s">
        <v>858</v>
      </c>
      <c r="H31" t="str">
        <f t="shared" si="0"/>
        <v>異種原液</v>
      </c>
    </row>
    <row r="32" spans="1:8">
      <c r="A32" s="43" t="s">
        <v>863</v>
      </c>
      <c r="B32" s="43" t="s">
        <v>864</v>
      </c>
      <c r="C32" s="43" t="s">
        <v>859</v>
      </c>
      <c r="D32" s="43" t="s">
        <v>860</v>
      </c>
      <c r="E32" s="44">
        <v>60</v>
      </c>
      <c r="F32" s="43" t="s">
        <v>819</v>
      </c>
      <c r="G32" s="43" t="s">
        <v>819</v>
      </c>
      <c r="H32" t="str">
        <f t="shared" si="0"/>
        <v>異種原液</v>
      </c>
    </row>
    <row r="33" spans="1:8">
      <c r="A33" s="43" t="s">
        <v>863</v>
      </c>
      <c r="B33" s="43" t="s">
        <v>864</v>
      </c>
      <c r="C33" s="43" t="s">
        <v>865</v>
      </c>
      <c r="D33" s="43" t="s">
        <v>866</v>
      </c>
      <c r="E33" s="44">
        <v>240</v>
      </c>
      <c r="F33" s="43" t="s">
        <v>819</v>
      </c>
      <c r="G33" s="43" t="s">
        <v>819</v>
      </c>
      <c r="H33" t="str">
        <f t="shared" si="0"/>
        <v>異種原液</v>
      </c>
    </row>
    <row r="34" spans="1:8">
      <c r="A34" s="43" t="s">
        <v>867</v>
      </c>
      <c r="B34" s="43" t="s">
        <v>868</v>
      </c>
      <c r="C34" s="43" t="s">
        <v>869</v>
      </c>
      <c r="D34" s="43" t="s">
        <v>870</v>
      </c>
      <c r="E34" s="44">
        <v>552</v>
      </c>
      <c r="F34" s="43" t="s">
        <v>858</v>
      </c>
      <c r="G34" s="43" t="s">
        <v>858</v>
      </c>
      <c r="H34" t="str">
        <f t="shared" si="0"/>
        <v>異種原液</v>
      </c>
    </row>
    <row r="35" spans="1:8">
      <c r="A35" s="43" t="s">
        <v>871</v>
      </c>
      <c r="B35" s="43" t="s">
        <v>872</v>
      </c>
      <c r="C35" s="43" t="s">
        <v>849</v>
      </c>
      <c r="D35" s="43" t="s">
        <v>850</v>
      </c>
      <c r="E35" s="44">
        <v>1971.5</v>
      </c>
      <c r="F35" s="43" t="s">
        <v>858</v>
      </c>
      <c r="G35" s="43" t="s">
        <v>858</v>
      </c>
      <c r="H35" t="str">
        <f t="shared" si="0"/>
        <v>異種原液</v>
      </c>
    </row>
    <row r="36" spans="1:8">
      <c r="A36" s="43" t="s">
        <v>865</v>
      </c>
      <c r="B36" s="43" t="s">
        <v>866</v>
      </c>
      <c r="C36" s="43" t="s">
        <v>841</v>
      </c>
      <c r="D36" s="43" t="s">
        <v>842</v>
      </c>
      <c r="E36" s="44">
        <v>34167</v>
      </c>
      <c r="F36" s="43" t="s">
        <v>858</v>
      </c>
      <c r="G36" s="43" t="s">
        <v>858</v>
      </c>
      <c r="H36" t="str">
        <f t="shared" si="0"/>
        <v>異種原液</v>
      </c>
    </row>
    <row r="37" spans="1:8">
      <c r="A37" s="43" t="s">
        <v>865</v>
      </c>
      <c r="B37" s="43" t="s">
        <v>866</v>
      </c>
      <c r="C37" s="43" t="s">
        <v>873</v>
      </c>
      <c r="D37" s="43" t="s">
        <v>874</v>
      </c>
      <c r="E37" s="44">
        <v>776.5</v>
      </c>
      <c r="F37" s="43" t="s">
        <v>875</v>
      </c>
      <c r="G37" s="43" t="s">
        <v>875</v>
      </c>
      <c r="H37" t="str">
        <f t="shared" si="0"/>
        <v>異種原液</v>
      </c>
    </row>
    <row r="38" spans="1:8">
      <c r="A38" s="43" t="s">
        <v>865</v>
      </c>
      <c r="B38" s="43" t="s">
        <v>866</v>
      </c>
      <c r="C38" s="43" t="s">
        <v>752</v>
      </c>
      <c r="D38" s="43" t="s">
        <v>753</v>
      </c>
      <c r="E38" s="44">
        <v>350</v>
      </c>
      <c r="F38" s="43" t="s">
        <v>875</v>
      </c>
      <c r="G38" s="43" t="s">
        <v>875</v>
      </c>
      <c r="H38" t="str">
        <f t="shared" si="0"/>
        <v>異種原液</v>
      </c>
    </row>
    <row r="39" spans="1:8">
      <c r="A39" s="43" t="s">
        <v>876</v>
      </c>
      <c r="B39" s="43" t="s">
        <v>877</v>
      </c>
      <c r="C39" s="43" t="s">
        <v>878</v>
      </c>
      <c r="D39" s="43" t="s">
        <v>879</v>
      </c>
      <c r="E39" s="44">
        <v>43838.5</v>
      </c>
      <c r="F39" s="43" t="s">
        <v>858</v>
      </c>
      <c r="G39" s="43" t="s">
        <v>858</v>
      </c>
      <c r="H39" t="str">
        <f t="shared" si="0"/>
        <v>異種原液</v>
      </c>
    </row>
    <row r="40" spans="1:8">
      <c r="A40" s="43" t="s">
        <v>880</v>
      </c>
      <c r="B40" s="43" t="s">
        <v>172</v>
      </c>
      <c r="C40" s="43" t="s">
        <v>855</v>
      </c>
      <c r="D40" s="43" t="s">
        <v>128</v>
      </c>
      <c r="E40" s="44">
        <v>12405.5</v>
      </c>
      <c r="F40" s="43" t="s">
        <v>858</v>
      </c>
      <c r="G40" s="43" t="s">
        <v>858</v>
      </c>
      <c r="H40" t="str">
        <f t="shared" si="0"/>
        <v>異種原液</v>
      </c>
    </row>
    <row r="41" spans="1:8">
      <c r="A41" s="43" t="s">
        <v>881</v>
      </c>
      <c r="B41" s="43" t="s">
        <v>882</v>
      </c>
      <c r="C41" s="43" t="s">
        <v>859</v>
      </c>
      <c r="D41" s="43" t="s">
        <v>860</v>
      </c>
      <c r="E41" s="44">
        <v>40</v>
      </c>
      <c r="F41" s="43" t="s">
        <v>819</v>
      </c>
      <c r="G41" s="43" t="s">
        <v>819</v>
      </c>
      <c r="H41" t="str">
        <f t="shared" si="0"/>
        <v>異種原液</v>
      </c>
    </row>
    <row r="42" spans="1:8">
      <c r="A42" s="43" t="s">
        <v>881</v>
      </c>
      <c r="B42" s="43" t="s">
        <v>882</v>
      </c>
      <c r="C42" s="43" t="s">
        <v>865</v>
      </c>
      <c r="D42" s="43" t="s">
        <v>866</v>
      </c>
      <c r="E42" s="44">
        <v>160</v>
      </c>
      <c r="F42" s="43" t="s">
        <v>819</v>
      </c>
      <c r="G42" s="43" t="s">
        <v>819</v>
      </c>
      <c r="H42" t="str">
        <f t="shared" si="0"/>
        <v>異種原液</v>
      </c>
    </row>
    <row r="43" spans="1:8">
      <c r="A43" s="43" t="s">
        <v>883</v>
      </c>
      <c r="B43" s="43" t="s">
        <v>884</v>
      </c>
      <c r="C43" s="43" t="s">
        <v>838</v>
      </c>
      <c r="D43" s="43" t="s">
        <v>156</v>
      </c>
      <c r="E43" s="44">
        <v>12811</v>
      </c>
      <c r="F43" s="43" t="s">
        <v>858</v>
      </c>
      <c r="G43" s="43" t="s">
        <v>858</v>
      </c>
      <c r="H43" t="str">
        <f t="shared" si="0"/>
        <v>異種原液</v>
      </c>
    </row>
    <row r="44" spans="1:8">
      <c r="A44" s="43" t="s">
        <v>885</v>
      </c>
      <c r="B44" s="43" t="s">
        <v>886</v>
      </c>
      <c r="C44" s="43" t="s">
        <v>887</v>
      </c>
      <c r="D44" s="43" t="s">
        <v>888</v>
      </c>
      <c r="E44" s="44">
        <v>442</v>
      </c>
      <c r="F44" s="43" t="s">
        <v>858</v>
      </c>
      <c r="G44" s="43" t="s">
        <v>858</v>
      </c>
      <c r="H44" t="str">
        <f t="shared" si="0"/>
        <v>異種原液</v>
      </c>
    </row>
    <row r="45" spans="1:8">
      <c r="A45" s="43" t="s">
        <v>873</v>
      </c>
      <c r="B45" s="43" t="s">
        <v>874</v>
      </c>
      <c r="C45" s="43" t="s">
        <v>831</v>
      </c>
      <c r="D45" s="43" t="s">
        <v>832</v>
      </c>
      <c r="E45" s="44">
        <v>21073.5</v>
      </c>
      <c r="F45" s="43" t="s">
        <v>858</v>
      </c>
      <c r="G45" s="43" t="s">
        <v>858</v>
      </c>
      <c r="H45" t="str">
        <f t="shared" si="0"/>
        <v>異種原液</v>
      </c>
    </row>
    <row r="46" spans="1:8">
      <c r="A46" s="43" t="s">
        <v>889</v>
      </c>
      <c r="B46" s="43" t="s">
        <v>890</v>
      </c>
      <c r="C46" s="43" t="s">
        <v>891</v>
      </c>
      <c r="D46" s="43" t="s">
        <v>892</v>
      </c>
      <c r="E46" s="44">
        <v>12030.5</v>
      </c>
      <c r="F46" s="43" t="s">
        <v>858</v>
      </c>
      <c r="G46" s="43" t="s">
        <v>858</v>
      </c>
      <c r="H46" t="str">
        <f t="shared" si="0"/>
        <v>異種原液</v>
      </c>
    </row>
    <row r="47" spans="1:8">
      <c r="A47" s="43" t="s">
        <v>893</v>
      </c>
      <c r="B47" s="43" t="s">
        <v>894</v>
      </c>
      <c r="C47" s="43" t="s">
        <v>895</v>
      </c>
      <c r="D47" s="43" t="s">
        <v>194</v>
      </c>
      <c r="E47" s="44">
        <v>2253</v>
      </c>
      <c r="F47" s="43" t="s">
        <v>858</v>
      </c>
      <c r="G47" s="43" t="s">
        <v>858</v>
      </c>
      <c r="H47" t="str">
        <f t="shared" si="0"/>
        <v>異種原液</v>
      </c>
    </row>
    <row r="48" spans="1:8">
      <c r="A48" s="43" t="s">
        <v>893</v>
      </c>
      <c r="B48" s="43" t="s">
        <v>894</v>
      </c>
      <c r="C48" s="43" t="s">
        <v>813</v>
      </c>
      <c r="D48" s="43" t="s">
        <v>210</v>
      </c>
      <c r="E48" s="44">
        <v>2845</v>
      </c>
      <c r="F48" s="43" t="s">
        <v>858</v>
      </c>
      <c r="G48" s="43" t="s">
        <v>858</v>
      </c>
      <c r="H48" t="str">
        <f t="shared" si="0"/>
        <v>異種原液</v>
      </c>
    </row>
    <row r="49" spans="1:8">
      <c r="A49" s="43" t="s">
        <v>893</v>
      </c>
      <c r="B49" s="43" t="s">
        <v>894</v>
      </c>
      <c r="C49" s="43" t="s">
        <v>865</v>
      </c>
      <c r="D49" s="43" t="s">
        <v>866</v>
      </c>
      <c r="E49" s="44">
        <v>349.5</v>
      </c>
      <c r="F49" s="43" t="s">
        <v>819</v>
      </c>
      <c r="G49" s="43" t="s">
        <v>819</v>
      </c>
      <c r="H49" t="str">
        <f t="shared" si="0"/>
        <v>異種原液</v>
      </c>
    </row>
    <row r="50" spans="1:8">
      <c r="A50" s="43" t="s">
        <v>893</v>
      </c>
      <c r="B50" s="43" t="s">
        <v>894</v>
      </c>
      <c r="C50" s="43" t="s">
        <v>896</v>
      </c>
      <c r="D50" s="43" t="s">
        <v>897</v>
      </c>
      <c r="E50" s="44">
        <v>1619</v>
      </c>
      <c r="F50" s="43" t="s">
        <v>858</v>
      </c>
      <c r="G50" s="43" t="s">
        <v>858</v>
      </c>
      <c r="H50" t="str">
        <f t="shared" si="0"/>
        <v>異種原液</v>
      </c>
    </row>
    <row r="51" spans="1:8">
      <c r="A51" s="43" t="s">
        <v>898</v>
      </c>
      <c r="B51" s="43" t="s">
        <v>899</v>
      </c>
      <c r="C51" s="43" t="s">
        <v>834</v>
      </c>
      <c r="D51" s="43" t="s">
        <v>835</v>
      </c>
      <c r="E51" s="44">
        <v>1298.5</v>
      </c>
      <c r="F51" s="43" t="s">
        <v>858</v>
      </c>
      <c r="G51" s="43" t="s">
        <v>858</v>
      </c>
      <c r="H51" t="str">
        <f t="shared" si="0"/>
        <v>異種原液</v>
      </c>
    </row>
    <row r="52" spans="1:8">
      <c r="A52" s="43" t="s">
        <v>742</v>
      </c>
      <c r="B52" s="43" t="s">
        <v>743</v>
      </c>
      <c r="C52" s="43" t="s">
        <v>856</v>
      </c>
      <c r="D52" s="43" t="s">
        <v>857</v>
      </c>
      <c r="E52" s="44">
        <v>1032</v>
      </c>
      <c r="F52" s="43" t="s">
        <v>593</v>
      </c>
      <c r="G52" s="43" t="s">
        <v>593</v>
      </c>
      <c r="H52" t="str">
        <f t="shared" si="0"/>
        <v>異種原液</v>
      </c>
    </row>
    <row r="53" spans="1:8">
      <c r="A53" s="43" t="s">
        <v>746</v>
      </c>
      <c r="B53" s="43" t="s">
        <v>747</v>
      </c>
      <c r="C53" s="43" t="s">
        <v>859</v>
      </c>
      <c r="D53" s="43" t="s">
        <v>860</v>
      </c>
      <c r="E53" s="44">
        <v>133</v>
      </c>
      <c r="F53" s="43" t="s">
        <v>593</v>
      </c>
      <c r="G53" s="43" t="s">
        <v>593</v>
      </c>
      <c r="H53" t="str">
        <f t="shared" si="0"/>
        <v>異種原液</v>
      </c>
    </row>
    <row r="54" spans="1:8">
      <c r="A54" s="43" t="s">
        <v>748</v>
      </c>
      <c r="B54" s="43" t="s">
        <v>749</v>
      </c>
      <c r="C54" s="43" t="s">
        <v>859</v>
      </c>
      <c r="D54" s="43" t="s">
        <v>860</v>
      </c>
      <c r="E54" s="44">
        <v>1216</v>
      </c>
      <c r="F54" s="43" t="s">
        <v>593</v>
      </c>
      <c r="G54" s="43" t="s">
        <v>593</v>
      </c>
      <c r="H54" t="str">
        <f t="shared" si="0"/>
        <v>異種原液</v>
      </c>
    </row>
    <row r="55" spans="1:8">
      <c r="A55" s="43" t="s">
        <v>752</v>
      </c>
      <c r="B55" s="43" t="s">
        <v>753</v>
      </c>
      <c r="C55" s="43" t="s">
        <v>859</v>
      </c>
      <c r="D55" s="43" t="s">
        <v>860</v>
      </c>
      <c r="E55" s="44">
        <v>158</v>
      </c>
      <c r="F55" s="43" t="s">
        <v>593</v>
      </c>
      <c r="G55" s="43" t="s">
        <v>593</v>
      </c>
      <c r="H55" t="str">
        <f t="shared" si="0"/>
        <v>異種原液</v>
      </c>
    </row>
    <row r="56" spans="1:8">
      <c r="A56" s="43" t="s">
        <v>752</v>
      </c>
      <c r="B56" s="43" t="s">
        <v>753</v>
      </c>
      <c r="C56" s="43" t="s">
        <v>865</v>
      </c>
      <c r="D56" s="43" t="s">
        <v>866</v>
      </c>
      <c r="E56" s="44">
        <v>632</v>
      </c>
      <c r="F56" s="43" t="s">
        <v>593</v>
      </c>
      <c r="G56" s="43" t="s">
        <v>593</v>
      </c>
      <c r="H56" t="str">
        <f t="shared" si="0"/>
        <v>異種原液</v>
      </c>
    </row>
    <row r="57" spans="1:8">
      <c r="A57" s="43" t="s">
        <v>900</v>
      </c>
      <c r="B57" s="43" t="s">
        <v>901</v>
      </c>
      <c r="C57" s="43" t="s">
        <v>859</v>
      </c>
      <c r="D57" s="43" t="s">
        <v>860</v>
      </c>
      <c r="E57" s="44">
        <v>300</v>
      </c>
      <c r="F57" s="43" t="s">
        <v>819</v>
      </c>
      <c r="G57" s="43" t="s">
        <v>819</v>
      </c>
      <c r="H57" t="str">
        <f t="shared" si="0"/>
        <v>異種原液</v>
      </c>
    </row>
    <row r="58" spans="1:8">
      <c r="A58" s="43" t="s">
        <v>900</v>
      </c>
      <c r="B58" s="43" t="s">
        <v>901</v>
      </c>
      <c r="C58" s="43" t="s">
        <v>867</v>
      </c>
      <c r="D58" s="43" t="s">
        <v>868</v>
      </c>
      <c r="E58" s="44">
        <v>500</v>
      </c>
      <c r="F58" s="43" t="s">
        <v>819</v>
      </c>
      <c r="G58" s="43" t="s">
        <v>819</v>
      </c>
      <c r="H58" t="str">
        <f t="shared" si="0"/>
        <v>異種原液</v>
      </c>
    </row>
    <row r="59" spans="1:8">
      <c r="A59" s="43" t="s">
        <v>760</v>
      </c>
      <c r="B59" s="43" t="s">
        <v>761</v>
      </c>
      <c r="C59" s="43" t="s">
        <v>871</v>
      </c>
      <c r="D59" s="43" t="s">
        <v>872</v>
      </c>
      <c r="E59" s="44">
        <v>2500</v>
      </c>
      <c r="F59" s="43" t="s">
        <v>593</v>
      </c>
      <c r="G59" s="43" t="s">
        <v>593</v>
      </c>
      <c r="H59" t="str">
        <f t="shared" si="0"/>
        <v>異種原液</v>
      </c>
    </row>
    <row r="60" spans="1:8">
      <c r="A60" s="43" t="s">
        <v>768</v>
      </c>
      <c r="B60" s="43" t="s">
        <v>769</v>
      </c>
      <c r="C60" s="43" t="s">
        <v>859</v>
      </c>
      <c r="D60" s="43" t="s">
        <v>860</v>
      </c>
      <c r="E60" s="44">
        <v>40</v>
      </c>
      <c r="F60" s="43" t="s">
        <v>593</v>
      </c>
      <c r="G60" s="43" t="s">
        <v>593</v>
      </c>
      <c r="H60" t="str">
        <f t="shared" si="0"/>
        <v>異種原液</v>
      </c>
    </row>
    <row r="61" spans="1:8">
      <c r="A61" s="43" t="s">
        <v>768</v>
      </c>
      <c r="B61" s="43" t="s">
        <v>769</v>
      </c>
      <c r="C61" s="43" t="s">
        <v>865</v>
      </c>
      <c r="D61" s="43" t="s">
        <v>866</v>
      </c>
      <c r="E61" s="44">
        <v>160</v>
      </c>
      <c r="F61" s="43" t="s">
        <v>593</v>
      </c>
      <c r="G61" s="43" t="s">
        <v>593</v>
      </c>
      <c r="H61" t="str">
        <f t="shared" si="0"/>
        <v>異種原液</v>
      </c>
    </row>
    <row r="62" spans="1:8">
      <c r="A62" s="43" t="s">
        <v>770</v>
      </c>
      <c r="B62" s="43" t="s">
        <v>771</v>
      </c>
      <c r="C62" s="43" t="s">
        <v>871</v>
      </c>
      <c r="D62" s="43" t="s">
        <v>872</v>
      </c>
      <c r="E62" s="44">
        <v>120</v>
      </c>
      <c r="F62" s="43" t="s">
        <v>593</v>
      </c>
      <c r="G62" s="43" t="s">
        <v>593</v>
      </c>
      <c r="H62" t="str">
        <f t="shared" si="0"/>
        <v>異種原液</v>
      </c>
    </row>
    <row r="63" spans="1:8">
      <c r="A63" s="43" t="s">
        <v>772</v>
      </c>
      <c r="B63" s="43" t="s">
        <v>773</v>
      </c>
      <c r="C63" s="43" t="s">
        <v>876</v>
      </c>
      <c r="D63" s="43" t="s">
        <v>877</v>
      </c>
      <c r="E63" s="44">
        <v>2033</v>
      </c>
      <c r="F63" s="43" t="s">
        <v>593</v>
      </c>
      <c r="G63" s="43" t="s">
        <v>593</v>
      </c>
      <c r="H63" t="str">
        <f t="shared" si="0"/>
        <v>異種原液</v>
      </c>
    </row>
    <row r="64" spans="1:8">
      <c r="A64" s="43" t="s">
        <v>774</v>
      </c>
      <c r="B64" s="43" t="s">
        <v>775</v>
      </c>
      <c r="C64" s="43" t="s">
        <v>865</v>
      </c>
      <c r="D64" s="43" t="s">
        <v>866</v>
      </c>
      <c r="E64" s="44">
        <v>667</v>
      </c>
      <c r="F64" s="43" t="s">
        <v>593</v>
      </c>
      <c r="G64" s="43" t="s">
        <v>593</v>
      </c>
      <c r="H64" t="str">
        <f t="shared" si="0"/>
        <v>異種原液</v>
      </c>
    </row>
    <row r="65" spans="1:8">
      <c r="A65" s="43" t="s">
        <v>778</v>
      </c>
      <c r="B65" s="43" t="s">
        <v>779</v>
      </c>
      <c r="C65" s="43" t="s">
        <v>588</v>
      </c>
      <c r="D65" s="43" t="s">
        <v>589</v>
      </c>
      <c r="E65" s="44">
        <v>1540</v>
      </c>
      <c r="F65" s="43" t="s">
        <v>593</v>
      </c>
      <c r="G65" s="43" t="s">
        <v>593</v>
      </c>
      <c r="H65" t="str">
        <f t="shared" si="0"/>
        <v>異種原液</v>
      </c>
    </row>
    <row r="66" spans="1:8">
      <c r="A66" s="43" t="s">
        <v>786</v>
      </c>
      <c r="B66" s="43" t="s">
        <v>173</v>
      </c>
      <c r="C66" s="43" t="s">
        <v>880</v>
      </c>
      <c r="D66" s="43" t="s">
        <v>172</v>
      </c>
      <c r="E66" s="44">
        <v>1528</v>
      </c>
      <c r="F66" s="43" t="s">
        <v>593</v>
      </c>
      <c r="G66" s="43" t="s">
        <v>593</v>
      </c>
      <c r="H66" t="str">
        <f t="shared" ref="H66:H74" si="1">IF(B66=D66,"同原液","異種原液")</f>
        <v>異種原液</v>
      </c>
    </row>
    <row r="67" spans="1:8">
      <c r="A67" s="43" t="s">
        <v>787</v>
      </c>
      <c r="B67" s="43" t="s">
        <v>788</v>
      </c>
      <c r="C67" s="43" t="s">
        <v>880</v>
      </c>
      <c r="D67" s="43" t="s">
        <v>172</v>
      </c>
      <c r="E67" s="44">
        <v>320</v>
      </c>
      <c r="F67" s="43" t="s">
        <v>593</v>
      </c>
      <c r="G67" s="43" t="s">
        <v>593</v>
      </c>
      <c r="H67" t="str">
        <f t="shared" si="1"/>
        <v>異種原液</v>
      </c>
    </row>
    <row r="68" spans="1:8">
      <c r="A68" s="43" t="s">
        <v>902</v>
      </c>
      <c r="B68" s="43" t="s">
        <v>903</v>
      </c>
      <c r="C68" s="43" t="s">
        <v>861</v>
      </c>
      <c r="D68" s="43" t="s">
        <v>862</v>
      </c>
      <c r="E68" s="44">
        <v>810</v>
      </c>
      <c r="F68" s="43" t="s">
        <v>819</v>
      </c>
      <c r="G68" s="43" t="s">
        <v>819</v>
      </c>
      <c r="H68" t="str">
        <f t="shared" si="1"/>
        <v>異種原液</v>
      </c>
    </row>
    <row r="69" spans="1:8">
      <c r="A69" s="43" t="s">
        <v>902</v>
      </c>
      <c r="B69" s="43" t="s">
        <v>903</v>
      </c>
      <c r="C69" s="43" t="s">
        <v>871</v>
      </c>
      <c r="D69" s="43" t="s">
        <v>872</v>
      </c>
      <c r="E69" s="44">
        <v>90</v>
      </c>
      <c r="F69" s="43" t="s">
        <v>819</v>
      </c>
      <c r="G69" s="43" t="s">
        <v>819</v>
      </c>
      <c r="H69" t="str">
        <f t="shared" si="1"/>
        <v>異種原液</v>
      </c>
    </row>
    <row r="70" spans="1:8">
      <c r="A70" s="43" t="s">
        <v>789</v>
      </c>
      <c r="B70" s="43" t="s">
        <v>790</v>
      </c>
      <c r="C70" s="43" t="s">
        <v>873</v>
      </c>
      <c r="D70" s="43" t="s">
        <v>874</v>
      </c>
      <c r="E70" s="44">
        <v>514</v>
      </c>
      <c r="F70" s="43" t="s">
        <v>593</v>
      </c>
      <c r="G70" s="43" t="s">
        <v>593</v>
      </c>
      <c r="H70" t="str">
        <f t="shared" si="1"/>
        <v>異種原液</v>
      </c>
    </row>
    <row r="71" spans="1:8">
      <c r="A71" s="43" t="s">
        <v>791</v>
      </c>
      <c r="B71" s="43" t="s">
        <v>792</v>
      </c>
      <c r="C71" s="43" t="s">
        <v>859</v>
      </c>
      <c r="D71" s="43" t="s">
        <v>860</v>
      </c>
      <c r="E71" s="44">
        <v>32</v>
      </c>
      <c r="F71" s="43" t="s">
        <v>593</v>
      </c>
      <c r="G71" s="43" t="s">
        <v>593</v>
      </c>
      <c r="H71" t="str">
        <f t="shared" si="1"/>
        <v>異種原液</v>
      </c>
    </row>
    <row r="72" spans="1:8">
      <c r="A72" s="43" t="s">
        <v>791</v>
      </c>
      <c r="B72" s="43" t="s">
        <v>792</v>
      </c>
      <c r="C72" s="43" t="s">
        <v>865</v>
      </c>
      <c r="D72" s="43" t="s">
        <v>866</v>
      </c>
      <c r="E72" s="44">
        <v>128</v>
      </c>
      <c r="F72" s="43" t="s">
        <v>593</v>
      </c>
      <c r="G72" s="43" t="s">
        <v>593</v>
      </c>
      <c r="H72" t="str">
        <f t="shared" si="1"/>
        <v>異種原液</v>
      </c>
    </row>
    <row r="73" spans="1:8">
      <c r="A73" s="43" t="s">
        <v>795</v>
      </c>
      <c r="B73" s="43" t="s">
        <v>183</v>
      </c>
      <c r="C73" s="43" t="s">
        <v>889</v>
      </c>
      <c r="D73" s="43" t="s">
        <v>890</v>
      </c>
      <c r="E73" s="44">
        <v>3179</v>
      </c>
      <c r="F73" s="43" t="s">
        <v>593</v>
      </c>
      <c r="G73" s="43" t="s">
        <v>593</v>
      </c>
      <c r="H73" t="str">
        <f t="shared" si="1"/>
        <v>異種原液</v>
      </c>
    </row>
    <row r="74" spans="1:8">
      <c r="A74" s="43" t="s">
        <v>843</v>
      </c>
      <c r="B74" s="43" t="s">
        <v>844</v>
      </c>
      <c r="C74" s="43" t="s">
        <v>588</v>
      </c>
      <c r="D74" s="43" t="s">
        <v>589</v>
      </c>
      <c r="E74" s="44">
        <v>25973</v>
      </c>
      <c r="F74" s="43" t="s">
        <v>904</v>
      </c>
      <c r="G74" s="43" t="s">
        <v>904</v>
      </c>
      <c r="H74" t="str">
        <f t="shared" si="1"/>
        <v>異種原液</v>
      </c>
    </row>
    <row r="75" spans="1:8">
      <c r="E75"/>
    </row>
    <row r="76" spans="1:8">
      <c r="E76"/>
    </row>
    <row r="77" spans="1:8">
      <c r="E77"/>
    </row>
    <row r="78" spans="1:8">
      <c r="E78"/>
    </row>
    <row r="79" spans="1:8">
      <c r="E79"/>
    </row>
    <row r="80" spans="1:8">
      <c r="E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sheetData>
  <phoneticPr fontId="3"/>
  <dataValidations count="1">
    <dataValidation type="list" allowBlank="1" showInputMessage="1" showErrorMessage="1" sqref="B2834:B1048576 B1:B74 D4:D74 D205:D3981 B205:B2832" xr:uid="{00000000-0002-0000-0700-000000000000}">
      <formula1>製品</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8"/>
  <sheetViews>
    <sheetView topLeftCell="A21" workbookViewId="0">
      <selection activeCell="H4" sqref="H4:H31"/>
    </sheetView>
  </sheetViews>
  <sheetFormatPr defaultRowHeight="18"/>
  <cols>
    <col min="1" max="1" width="11.58203125" bestFit="1" customWidth="1"/>
    <col min="2" max="2" width="6.33203125" bestFit="1" customWidth="1"/>
    <col min="3" max="3" width="6.33203125" customWidth="1"/>
    <col min="5" max="5" width="15.33203125" customWidth="1"/>
    <col min="6" max="6" width="31.4140625" bestFit="1" customWidth="1"/>
    <col min="7" max="7" width="6.5" bestFit="1" customWidth="1"/>
    <col min="8" max="8" width="6.4140625" bestFit="1" customWidth="1"/>
    <col min="12" max="12" width="25" bestFit="1" customWidth="1"/>
  </cols>
  <sheetData>
    <row r="1" spans="1:13">
      <c r="A1" s="68"/>
      <c r="B1" s="68"/>
      <c r="C1" s="68"/>
      <c r="D1" s="68"/>
      <c r="E1" s="68"/>
      <c r="F1" s="68"/>
      <c r="G1" s="68"/>
      <c r="H1" s="68"/>
      <c r="I1" s="68"/>
    </row>
    <row r="2" spans="1:13">
      <c r="A2" s="68"/>
      <c r="B2" s="68"/>
      <c r="C2" s="68"/>
      <c r="D2" s="68"/>
      <c r="E2" s="68"/>
      <c r="F2" s="68"/>
      <c r="G2" s="68"/>
      <c r="H2" s="68"/>
      <c r="I2" s="68"/>
      <c r="L2" t="s">
        <v>1015</v>
      </c>
      <c r="M2" s="40" t="s">
        <v>1016</v>
      </c>
    </row>
    <row r="3" spans="1:13">
      <c r="A3" s="68" t="s">
        <v>1017</v>
      </c>
      <c r="B3" s="69">
        <v>36240</v>
      </c>
      <c r="C3" s="69"/>
      <c r="D3" s="70" t="s">
        <v>1018</v>
      </c>
      <c r="E3" s="68"/>
      <c r="F3" s="68"/>
      <c r="G3" s="68" t="s">
        <v>1019</v>
      </c>
      <c r="H3" s="68" t="s">
        <v>1020</v>
      </c>
      <c r="I3" s="68" t="s">
        <v>1021</v>
      </c>
      <c r="L3" t="s">
        <v>1017</v>
      </c>
      <c r="M3" s="40">
        <v>36240</v>
      </c>
    </row>
    <row r="4" spans="1:13">
      <c r="A4" s="71" t="s">
        <v>747</v>
      </c>
      <c r="B4" s="72">
        <v>320</v>
      </c>
      <c r="C4" s="72"/>
      <c r="D4" s="73" t="s">
        <v>747</v>
      </c>
      <c r="E4" s="73">
        <v>20081000015</v>
      </c>
      <c r="F4" s="73" t="s">
        <v>1022</v>
      </c>
      <c r="G4" s="72">
        <v>136</v>
      </c>
      <c r="H4" s="72">
        <v>136</v>
      </c>
      <c r="I4" s="72">
        <v>320</v>
      </c>
      <c r="L4" t="s">
        <v>747</v>
      </c>
      <c r="M4" s="40">
        <v>320</v>
      </c>
    </row>
    <row r="5" spans="1:13">
      <c r="A5" s="74" t="s">
        <v>1023</v>
      </c>
      <c r="B5" s="72">
        <v>0</v>
      </c>
      <c r="C5" s="72"/>
      <c r="D5" s="73" t="s">
        <v>1024</v>
      </c>
      <c r="E5" s="73">
        <v>20100200005</v>
      </c>
      <c r="F5" s="73" t="s">
        <v>1025</v>
      </c>
      <c r="G5" s="72">
        <v>0</v>
      </c>
      <c r="H5" s="72">
        <v>0</v>
      </c>
      <c r="I5" s="72">
        <v>0</v>
      </c>
      <c r="L5" t="s">
        <v>580</v>
      </c>
      <c r="M5" s="40">
        <v>1585</v>
      </c>
    </row>
    <row r="6" spans="1:13">
      <c r="A6" s="74" t="s">
        <v>1026</v>
      </c>
      <c r="B6" s="72">
        <v>0</v>
      </c>
      <c r="C6" s="72"/>
      <c r="D6" s="73" t="s">
        <v>1027</v>
      </c>
      <c r="E6" s="73">
        <v>20230300007</v>
      </c>
      <c r="F6" s="73" t="s">
        <v>1028</v>
      </c>
      <c r="G6" s="72">
        <v>0</v>
      </c>
      <c r="H6" s="72">
        <v>0</v>
      </c>
      <c r="I6" s="72">
        <v>0</v>
      </c>
      <c r="L6" t="s">
        <v>743</v>
      </c>
      <c r="M6" s="40">
        <v>660</v>
      </c>
    </row>
    <row r="7" spans="1:13">
      <c r="A7" s="74" t="s">
        <v>1029</v>
      </c>
      <c r="B7" s="72">
        <v>0</v>
      </c>
      <c r="C7" s="72"/>
      <c r="D7" s="73" t="s">
        <v>1030</v>
      </c>
      <c r="E7" s="73">
        <v>20080700013</v>
      </c>
      <c r="F7" s="73" t="s">
        <v>1031</v>
      </c>
      <c r="G7" s="72">
        <v>0</v>
      </c>
      <c r="H7" s="72">
        <v>0</v>
      </c>
      <c r="I7" s="72">
        <v>0</v>
      </c>
      <c r="L7" t="s">
        <v>1032</v>
      </c>
      <c r="M7" s="40">
        <v>1060</v>
      </c>
    </row>
    <row r="8" spans="1:13">
      <c r="A8" s="71" t="s">
        <v>743</v>
      </c>
      <c r="B8" s="72">
        <v>660</v>
      </c>
      <c r="C8" s="72"/>
      <c r="D8" s="73" t="s">
        <v>743</v>
      </c>
      <c r="E8" s="73">
        <v>20240100001</v>
      </c>
      <c r="F8" s="73" t="s">
        <v>1033</v>
      </c>
      <c r="G8" s="72">
        <v>522</v>
      </c>
      <c r="H8" s="72">
        <v>522</v>
      </c>
      <c r="I8" s="72">
        <v>660</v>
      </c>
      <c r="L8" t="s">
        <v>844</v>
      </c>
      <c r="M8" s="40">
        <v>13520</v>
      </c>
    </row>
    <row r="9" spans="1:13">
      <c r="A9" s="71" t="s">
        <v>1034</v>
      </c>
      <c r="B9" s="72">
        <v>0</v>
      </c>
      <c r="C9" s="72"/>
      <c r="D9" s="73" t="s">
        <v>1034</v>
      </c>
      <c r="E9" s="73">
        <v>20230700046</v>
      </c>
      <c r="F9" s="73" t="s">
        <v>1035</v>
      </c>
      <c r="G9" s="72">
        <v>0</v>
      </c>
      <c r="H9" s="72">
        <v>0</v>
      </c>
      <c r="I9" s="72">
        <v>0</v>
      </c>
      <c r="L9" t="s">
        <v>1013</v>
      </c>
      <c r="M9" s="40">
        <v>180</v>
      </c>
    </row>
    <row r="10" spans="1:13">
      <c r="A10" s="71" t="s">
        <v>1032</v>
      </c>
      <c r="B10" s="72">
        <v>1060</v>
      </c>
      <c r="C10" s="72"/>
      <c r="D10" s="73" t="s">
        <v>1032</v>
      </c>
      <c r="E10" s="73">
        <v>20090700009</v>
      </c>
      <c r="F10" s="73" t="s">
        <v>1036</v>
      </c>
      <c r="G10" s="72">
        <v>391</v>
      </c>
      <c r="H10" s="72">
        <v>391</v>
      </c>
      <c r="I10" s="72">
        <v>1060</v>
      </c>
      <c r="L10" t="s">
        <v>790</v>
      </c>
      <c r="M10" s="40">
        <v>340</v>
      </c>
    </row>
    <row r="11" spans="1:13">
      <c r="A11" s="75" t="s">
        <v>844</v>
      </c>
      <c r="B11" s="76">
        <v>13520</v>
      </c>
      <c r="C11" s="76"/>
      <c r="D11" s="77" t="s">
        <v>844</v>
      </c>
      <c r="E11" s="77">
        <v>20110400012</v>
      </c>
      <c r="F11" s="77" t="s">
        <v>1037</v>
      </c>
      <c r="G11" s="76">
        <v>930</v>
      </c>
      <c r="H11" s="76">
        <v>930</v>
      </c>
      <c r="I11" s="76">
        <v>643.15089514066494</v>
      </c>
      <c r="L11" t="s">
        <v>771</v>
      </c>
      <c r="M11" s="40">
        <v>170</v>
      </c>
    </row>
    <row r="12" spans="1:13">
      <c r="A12" s="75"/>
      <c r="B12" s="76">
        <v>0</v>
      </c>
      <c r="C12" s="76"/>
      <c r="D12" s="78" t="s">
        <v>1038</v>
      </c>
      <c r="E12" s="77">
        <v>20050300004</v>
      </c>
      <c r="F12" s="77" t="s">
        <v>1039</v>
      </c>
      <c r="G12" s="76">
        <v>18620</v>
      </c>
      <c r="H12" s="76">
        <v>18620</v>
      </c>
      <c r="I12" s="76">
        <v>12876.849104859335</v>
      </c>
      <c r="L12" t="s">
        <v>866</v>
      </c>
      <c r="M12" s="40">
        <v>3060</v>
      </c>
    </row>
    <row r="13" spans="1:13">
      <c r="A13" s="71" t="s">
        <v>1013</v>
      </c>
      <c r="B13" s="72">
        <v>180</v>
      </c>
      <c r="C13" s="72"/>
      <c r="D13" s="73" t="s">
        <v>1013</v>
      </c>
      <c r="E13" s="73">
        <v>20210300049</v>
      </c>
      <c r="F13" s="73" t="s">
        <v>1040</v>
      </c>
      <c r="G13" s="72">
        <v>50</v>
      </c>
      <c r="H13" s="72">
        <v>50</v>
      </c>
      <c r="I13" s="72">
        <v>180</v>
      </c>
      <c r="L13" t="s">
        <v>1041</v>
      </c>
      <c r="M13" s="40">
        <v>1835</v>
      </c>
    </row>
    <row r="14" spans="1:13">
      <c r="A14" s="71" t="s">
        <v>790</v>
      </c>
      <c r="B14" s="72">
        <v>340</v>
      </c>
      <c r="C14" s="72"/>
      <c r="D14" s="73" t="s">
        <v>790</v>
      </c>
      <c r="E14" s="79">
        <v>20180500057</v>
      </c>
      <c r="F14" s="79" t="s">
        <v>1042</v>
      </c>
      <c r="G14" s="80">
        <v>522</v>
      </c>
      <c r="H14" s="72">
        <v>522</v>
      </c>
      <c r="I14" s="72">
        <v>340</v>
      </c>
      <c r="L14" t="s">
        <v>773</v>
      </c>
      <c r="M14" s="40">
        <v>1160</v>
      </c>
    </row>
    <row r="15" spans="1:13">
      <c r="A15" s="71" t="s">
        <v>771</v>
      </c>
      <c r="B15" s="72">
        <v>170</v>
      </c>
      <c r="C15" s="72"/>
      <c r="D15" s="73" t="s">
        <v>771</v>
      </c>
      <c r="E15" s="73">
        <v>20090900007</v>
      </c>
      <c r="F15" s="73" t="s">
        <v>1043</v>
      </c>
      <c r="G15" s="72">
        <v>122</v>
      </c>
      <c r="H15" s="72">
        <v>122</v>
      </c>
      <c r="I15" s="72">
        <v>170</v>
      </c>
      <c r="L15" t="s">
        <v>173</v>
      </c>
      <c r="M15" s="40">
        <v>780</v>
      </c>
    </row>
    <row r="16" spans="1:13">
      <c r="A16" s="81" t="s">
        <v>866</v>
      </c>
      <c r="B16" s="82">
        <v>3060</v>
      </c>
      <c r="C16" s="82"/>
      <c r="D16" s="83" t="s">
        <v>866</v>
      </c>
      <c r="E16" s="83">
        <v>20191100098</v>
      </c>
      <c r="F16" s="83" t="s">
        <v>1044</v>
      </c>
      <c r="G16" s="82">
        <v>105</v>
      </c>
      <c r="H16" s="84">
        <v>2100</v>
      </c>
      <c r="I16" s="82">
        <v>603.08008213552364</v>
      </c>
      <c r="L16" t="s">
        <v>894</v>
      </c>
      <c r="M16" s="40">
        <v>8650</v>
      </c>
    </row>
    <row r="17" spans="1:13">
      <c r="A17" s="81" t="s">
        <v>1041</v>
      </c>
      <c r="B17" s="82">
        <v>1835</v>
      </c>
      <c r="C17" s="82"/>
      <c r="D17" s="85" t="s">
        <v>1045</v>
      </c>
      <c r="E17" s="83">
        <v>20110400011</v>
      </c>
      <c r="F17" s="83" t="s">
        <v>1046</v>
      </c>
      <c r="G17" s="82">
        <v>0</v>
      </c>
      <c r="H17" s="82">
        <v>0</v>
      </c>
      <c r="I17" s="82">
        <v>0</v>
      </c>
      <c r="L17" t="s">
        <v>884</v>
      </c>
      <c r="M17" s="40">
        <v>1810</v>
      </c>
    </row>
    <row r="18" spans="1:13">
      <c r="A18" s="81"/>
      <c r="B18" s="82"/>
      <c r="C18" s="82"/>
      <c r="D18" s="85" t="s">
        <v>1045</v>
      </c>
      <c r="E18" s="83">
        <v>20110800287</v>
      </c>
      <c r="F18" s="83" t="s">
        <v>1047</v>
      </c>
      <c r="G18" s="82">
        <v>0</v>
      </c>
      <c r="H18" s="82">
        <v>0</v>
      </c>
      <c r="I18" s="82">
        <v>0</v>
      </c>
      <c r="L18" t="s">
        <v>890</v>
      </c>
      <c r="M18" s="40">
        <v>1110</v>
      </c>
    </row>
    <row r="19" spans="1:13">
      <c r="A19" s="81"/>
      <c r="B19" s="82"/>
      <c r="C19" s="82"/>
      <c r="D19" s="85" t="s">
        <v>1045</v>
      </c>
      <c r="E19" s="83">
        <v>20240200017</v>
      </c>
      <c r="F19" s="83" t="s">
        <v>1048</v>
      </c>
      <c r="G19" s="82">
        <v>0</v>
      </c>
      <c r="H19" s="84">
        <v>0</v>
      </c>
      <c r="I19" s="82">
        <v>0</v>
      </c>
    </row>
    <row r="20" spans="1:13">
      <c r="A20" s="81"/>
      <c r="B20" s="82"/>
      <c r="C20" s="82"/>
      <c r="D20" s="85" t="s">
        <v>1045</v>
      </c>
      <c r="E20" s="83">
        <v>20110800692</v>
      </c>
      <c r="F20" s="85" t="s">
        <v>1049</v>
      </c>
      <c r="G20" s="82">
        <v>14945</v>
      </c>
      <c r="H20" s="82">
        <v>14945</v>
      </c>
      <c r="I20" s="82">
        <v>4291.9199178644767</v>
      </c>
    </row>
    <row r="21" spans="1:13">
      <c r="A21" s="71" t="s">
        <v>773</v>
      </c>
      <c r="B21" s="72">
        <v>1160</v>
      </c>
      <c r="C21" s="72"/>
      <c r="D21" s="73" t="s">
        <v>773</v>
      </c>
      <c r="E21" s="79">
        <v>20091200006</v>
      </c>
      <c r="F21" s="79" t="s">
        <v>1050</v>
      </c>
      <c r="G21" s="72">
        <v>2074</v>
      </c>
      <c r="H21" s="72">
        <v>2074</v>
      </c>
      <c r="I21" s="72">
        <v>1160</v>
      </c>
    </row>
    <row r="22" spans="1:13">
      <c r="A22" s="71" t="s">
        <v>173</v>
      </c>
      <c r="B22" s="72">
        <v>780</v>
      </c>
      <c r="C22" s="72"/>
      <c r="D22" s="73" t="s">
        <v>173</v>
      </c>
      <c r="E22" s="73">
        <v>20180200004</v>
      </c>
      <c r="F22" s="73" t="s">
        <v>1051</v>
      </c>
      <c r="G22" s="72">
        <v>1044</v>
      </c>
      <c r="H22" s="72">
        <v>1044</v>
      </c>
      <c r="I22" s="72">
        <v>780</v>
      </c>
    </row>
    <row r="23" spans="1:13">
      <c r="A23" s="86" t="s">
        <v>894</v>
      </c>
      <c r="B23" s="87">
        <v>8650</v>
      </c>
      <c r="C23" s="87"/>
      <c r="D23" s="88" t="s">
        <v>894</v>
      </c>
      <c r="E23" s="88">
        <v>20201200034</v>
      </c>
      <c r="F23" s="88" t="s">
        <v>1052</v>
      </c>
      <c r="G23" s="87">
        <v>0</v>
      </c>
      <c r="H23" s="87">
        <v>0</v>
      </c>
      <c r="I23" s="87">
        <v>0</v>
      </c>
    </row>
    <row r="24" spans="1:13">
      <c r="A24" s="86"/>
      <c r="B24" s="87">
        <v>0</v>
      </c>
      <c r="C24" s="87"/>
      <c r="D24" s="89" t="s">
        <v>1053</v>
      </c>
      <c r="E24" s="88">
        <v>20040100009</v>
      </c>
      <c r="F24" s="88" t="s">
        <v>1054</v>
      </c>
      <c r="G24" s="87">
        <v>14700</v>
      </c>
      <c r="H24" s="87">
        <v>14700</v>
      </c>
      <c r="I24" s="87">
        <v>8650</v>
      </c>
    </row>
    <row r="25" spans="1:13">
      <c r="A25" s="74" t="s">
        <v>1055</v>
      </c>
      <c r="B25" s="72">
        <v>1110</v>
      </c>
      <c r="C25" s="72"/>
      <c r="D25" s="73" t="s">
        <v>890</v>
      </c>
      <c r="E25" s="73">
        <v>20220300014</v>
      </c>
      <c r="F25" s="73" t="s">
        <v>1056</v>
      </c>
      <c r="G25" s="72">
        <v>6000</v>
      </c>
      <c r="H25" s="72">
        <v>6000</v>
      </c>
      <c r="I25" s="72">
        <v>1110</v>
      </c>
    </row>
    <row r="26" spans="1:13">
      <c r="A26" s="90" t="s">
        <v>884</v>
      </c>
      <c r="B26" s="91">
        <v>1810</v>
      </c>
      <c r="C26" s="91"/>
      <c r="D26" s="92" t="s">
        <v>884</v>
      </c>
      <c r="E26" s="92">
        <v>20111001044</v>
      </c>
      <c r="F26" s="93" t="s">
        <v>1057</v>
      </c>
      <c r="G26" s="94">
        <v>3072</v>
      </c>
      <c r="H26" s="94">
        <v>3072</v>
      </c>
      <c r="I26" s="94">
        <v>1810</v>
      </c>
    </row>
    <row r="27" spans="1:13">
      <c r="A27" s="95"/>
      <c r="B27" s="96"/>
      <c r="C27" s="96"/>
      <c r="D27" s="97" t="s">
        <v>1058</v>
      </c>
      <c r="E27" s="98"/>
      <c r="F27" s="93"/>
      <c r="G27" s="94"/>
      <c r="H27" s="94"/>
      <c r="I27" s="94"/>
    </row>
    <row r="28" spans="1:13">
      <c r="A28" s="99" t="s">
        <v>1059</v>
      </c>
      <c r="B28" s="100">
        <v>1585</v>
      </c>
      <c r="C28" s="100"/>
      <c r="D28" s="101" t="s">
        <v>580</v>
      </c>
      <c r="E28" s="101"/>
      <c r="F28" s="101"/>
      <c r="G28" s="100">
        <v>0</v>
      </c>
      <c r="H28" s="100">
        <v>0</v>
      </c>
      <c r="I28" s="100"/>
      <c r="J28" t="s">
        <v>1060</v>
      </c>
    </row>
    <row r="29" spans="1:13">
      <c r="A29" s="102" t="s">
        <v>1061</v>
      </c>
      <c r="B29" s="103"/>
      <c r="C29" s="103"/>
      <c r="D29" s="104"/>
      <c r="E29" s="104">
        <v>20231100020</v>
      </c>
      <c r="F29" s="104" t="s">
        <v>1062</v>
      </c>
      <c r="G29" s="103">
        <v>0</v>
      </c>
      <c r="H29" s="103">
        <v>0</v>
      </c>
      <c r="I29" s="103"/>
    </row>
    <row r="30" spans="1:13">
      <c r="A30" s="102"/>
      <c r="B30" s="103"/>
      <c r="C30" s="103"/>
      <c r="D30" s="104"/>
      <c r="E30" s="104">
        <v>20040500003</v>
      </c>
      <c r="F30" s="104" t="s">
        <v>1063</v>
      </c>
      <c r="G30" s="103">
        <v>0</v>
      </c>
      <c r="H30" s="103">
        <v>0</v>
      </c>
      <c r="I30" s="103"/>
    </row>
    <row r="31" spans="1:13">
      <c r="A31" s="104"/>
      <c r="B31" s="103"/>
      <c r="C31" s="103"/>
      <c r="D31" s="104"/>
      <c r="E31" s="104">
        <v>20061000003</v>
      </c>
      <c r="F31" s="104" t="s">
        <v>1064</v>
      </c>
      <c r="G31" s="103">
        <v>0</v>
      </c>
      <c r="H31" s="103">
        <v>0</v>
      </c>
      <c r="I31" s="103"/>
    </row>
    <row r="32" spans="1:13">
      <c r="A32" s="68"/>
      <c r="B32" s="68"/>
      <c r="C32" s="68"/>
      <c r="D32" s="68"/>
      <c r="E32" s="68"/>
      <c r="F32" s="68"/>
      <c r="G32" s="68"/>
      <c r="H32" s="68"/>
      <c r="I32" s="105"/>
    </row>
    <row r="33" spans="1:9">
      <c r="A33" s="68"/>
      <c r="B33" s="68"/>
      <c r="C33" s="68"/>
      <c r="D33" s="68"/>
      <c r="E33" s="68"/>
      <c r="F33" s="68"/>
      <c r="G33" s="68"/>
      <c r="H33" s="68"/>
      <c r="I33" s="68"/>
    </row>
    <row r="34" spans="1:9">
      <c r="A34" s="68"/>
      <c r="B34" s="68"/>
      <c r="C34" s="68"/>
      <c r="D34" s="68"/>
      <c r="E34" s="68"/>
      <c r="F34" s="68"/>
      <c r="G34" s="68"/>
      <c r="H34" s="68"/>
      <c r="I34" s="68"/>
    </row>
    <row r="35" spans="1:9">
      <c r="A35" s="68"/>
      <c r="B35" s="68"/>
      <c r="C35" s="68"/>
      <c r="D35" s="68"/>
      <c r="E35" s="68"/>
      <c r="F35" s="70" t="s">
        <v>1065</v>
      </c>
      <c r="G35" s="105">
        <v>63233</v>
      </c>
      <c r="H35" s="105">
        <v>65228</v>
      </c>
      <c r="I35" s="105">
        <v>34655</v>
      </c>
    </row>
    <row r="36" spans="1:9">
      <c r="A36" s="68"/>
      <c r="B36" s="68"/>
      <c r="C36" s="68"/>
      <c r="D36" s="68"/>
      <c r="E36" s="68"/>
      <c r="F36" s="70" t="s">
        <v>1066</v>
      </c>
      <c r="G36" s="105">
        <v>63233</v>
      </c>
      <c r="H36" s="68"/>
      <c r="I36" s="105"/>
    </row>
    <row r="37" spans="1:9">
      <c r="A37" s="68"/>
      <c r="B37" s="68"/>
      <c r="C37" s="68"/>
      <c r="D37" s="68"/>
      <c r="E37" s="68"/>
      <c r="F37" s="70" t="s">
        <v>1067</v>
      </c>
      <c r="G37" s="105">
        <v>0</v>
      </c>
      <c r="H37" s="68"/>
      <c r="I37" s="105"/>
    </row>
    <row r="38" spans="1:9">
      <c r="A38" s="68"/>
      <c r="B38" s="68"/>
      <c r="C38" s="68"/>
      <c r="D38" s="68"/>
      <c r="E38" s="68"/>
      <c r="F38" s="70"/>
      <c r="G38" s="105"/>
      <c r="H38" s="68"/>
      <c r="I38" s="105"/>
    </row>
    <row r="39" spans="1:9">
      <c r="A39" s="68"/>
      <c r="B39" s="68"/>
      <c r="C39" s="68"/>
      <c r="D39" s="68"/>
      <c r="E39" s="68"/>
      <c r="F39" s="70"/>
      <c r="G39" s="105"/>
      <c r="H39" s="68"/>
      <c r="I39" s="105"/>
    </row>
    <row r="40" spans="1:9">
      <c r="A40" s="68"/>
      <c r="B40" s="68"/>
      <c r="C40" s="68"/>
      <c r="D40" s="68"/>
      <c r="E40" s="68"/>
      <c r="F40" s="68"/>
      <c r="G40" s="68"/>
      <c r="H40" s="68"/>
      <c r="I40" s="68"/>
    </row>
    <row r="41" spans="1:9">
      <c r="A41" s="68"/>
      <c r="B41" s="68"/>
      <c r="C41" s="68"/>
      <c r="D41" s="68"/>
      <c r="E41" s="68"/>
      <c r="F41" s="68"/>
      <c r="G41" s="68"/>
      <c r="H41" s="68"/>
      <c r="I41" s="68"/>
    </row>
    <row r="42" spans="1:9">
      <c r="A42" s="68"/>
      <c r="B42" s="68"/>
      <c r="C42" s="68"/>
      <c r="D42" s="68"/>
      <c r="E42" s="68"/>
      <c r="F42" s="68"/>
      <c r="G42" s="68"/>
      <c r="H42" s="68"/>
      <c r="I42" s="68"/>
    </row>
    <row r="43" spans="1:9">
      <c r="A43" s="68"/>
      <c r="B43" s="68"/>
      <c r="C43" s="68"/>
      <c r="D43" s="68"/>
      <c r="E43" s="68"/>
      <c r="F43" s="68"/>
      <c r="G43" s="68"/>
      <c r="H43" s="68"/>
      <c r="I43" s="68"/>
    </row>
    <row r="44" spans="1:9">
      <c r="A44" s="68"/>
      <c r="B44" s="68"/>
      <c r="C44" s="68"/>
      <c r="D44" s="68"/>
      <c r="E44" s="68"/>
      <c r="F44" s="68"/>
      <c r="G44" s="68"/>
      <c r="H44" s="68"/>
      <c r="I44" s="68"/>
    </row>
    <row r="45" spans="1:9">
      <c r="A45" s="68"/>
      <c r="B45" s="68"/>
      <c r="C45" s="68"/>
      <c r="D45" s="68"/>
      <c r="E45" s="68"/>
      <c r="F45" s="68"/>
      <c r="G45" s="68"/>
      <c r="H45" s="68"/>
      <c r="I45" s="68"/>
    </row>
    <row r="46" spans="1:9">
      <c r="A46" s="68"/>
      <c r="B46" s="68"/>
      <c r="C46" s="68"/>
      <c r="D46" s="68"/>
      <c r="E46" s="68"/>
      <c r="F46" s="68"/>
      <c r="G46" s="68"/>
      <c r="H46" s="68"/>
      <c r="I46" s="68"/>
    </row>
    <row r="47" spans="1:9">
      <c r="A47" s="68"/>
      <c r="B47" s="68"/>
      <c r="C47" s="68"/>
      <c r="D47" s="68"/>
      <c r="E47" s="68"/>
      <c r="F47" s="68"/>
      <c r="G47" s="68"/>
      <c r="H47" s="68"/>
      <c r="I47" s="68"/>
    </row>
    <row r="48" spans="1:9">
      <c r="A48" s="68"/>
      <c r="B48" s="68"/>
      <c r="C48" s="68"/>
      <c r="D48" s="68"/>
      <c r="E48" s="68"/>
      <c r="F48" s="68"/>
      <c r="G48" s="68"/>
      <c r="H48" s="68"/>
      <c r="I48" s="68"/>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0"/>
  <sheetViews>
    <sheetView workbookViewId="0">
      <selection sqref="A1:XFD1048576"/>
    </sheetView>
  </sheetViews>
  <sheetFormatPr defaultColWidth="8.1640625" defaultRowHeight="18"/>
  <cols>
    <col min="1" max="1" width="10.6640625" bestFit="1" customWidth="1"/>
    <col min="2" max="2" width="8.83203125" bestFit="1" customWidth="1"/>
    <col min="3" max="3" width="9.08203125" bestFit="1" customWidth="1"/>
    <col min="4" max="4" width="20.1640625" bestFit="1" customWidth="1"/>
    <col min="5" max="5" width="8.1640625" style="40" bestFit="1"/>
    <col min="6" max="6" width="9.08203125" bestFit="1" customWidth="1"/>
    <col min="7" max="7" width="12.83203125" bestFit="1" customWidth="1"/>
  </cols>
  <sheetData>
    <row r="1" spans="1:8">
      <c r="A1" s="37" t="s">
        <v>572</v>
      </c>
      <c r="B1" s="37" t="s">
        <v>573</v>
      </c>
      <c r="C1" s="37" t="s">
        <v>574</v>
      </c>
      <c r="D1" s="37" t="s">
        <v>575</v>
      </c>
      <c r="E1" s="37" t="s">
        <v>576</v>
      </c>
      <c r="F1" s="37" t="s">
        <v>577</v>
      </c>
      <c r="G1" s="37" t="s">
        <v>578</v>
      </c>
    </row>
    <row r="2" spans="1:8">
      <c r="A2" s="38" t="s">
        <v>579</v>
      </c>
      <c r="B2" s="38" t="s">
        <v>580</v>
      </c>
      <c r="C2" s="38" t="s">
        <v>581</v>
      </c>
      <c r="D2" s="38" t="s">
        <v>582</v>
      </c>
      <c r="E2" s="39">
        <v>1272.5</v>
      </c>
      <c r="F2" s="38" t="s">
        <v>583</v>
      </c>
      <c r="G2" s="38" t="s">
        <v>584</v>
      </c>
      <c r="H2" t="s">
        <v>585</v>
      </c>
    </row>
    <row r="3" spans="1:8">
      <c r="A3" s="38" t="s">
        <v>579</v>
      </c>
      <c r="B3" s="38" t="s">
        <v>580</v>
      </c>
      <c r="C3" s="38" t="s">
        <v>586</v>
      </c>
      <c r="D3" s="38" t="s">
        <v>587</v>
      </c>
      <c r="E3" s="39">
        <v>425.6</v>
      </c>
      <c r="F3" s="38" t="s">
        <v>583</v>
      </c>
      <c r="G3" s="38" t="s">
        <v>584</v>
      </c>
      <c r="H3" t="s">
        <v>585</v>
      </c>
    </row>
    <row r="4" spans="1:8">
      <c r="A4" s="38" t="s">
        <v>588</v>
      </c>
      <c r="B4" s="38" t="s">
        <v>589</v>
      </c>
      <c r="C4" s="38" t="s">
        <v>590</v>
      </c>
      <c r="D4" s="38" t="s">
        <v>591</v>
      </c>
      <c r="E4" s="39">
        <v>47</v>
      </c>
      <c r="F4" s="38" t="s">
        <v>592</v>
      </c>
      <c r="G4" s="38" t="s">
        <v>593</v>
      </c>
      <c r="H4" t="s">
        <v>585</v>
      </c>
    </row>
    <row r="5" spans="1:8">
      <c r="A5" s="38" t="s">
        <v>594</v>
      </c>
      <c r="B5" s="38" t="s">
        <v>595</v>
      </c>
      <c r="C5" s="38" t="s">
        <v>590</v>
      </c>
      <c r="D5" s="38" t="s">
        <v>591</v>
      </c>
      <c r="E5" s="39">
        <v>1897.54</v>
      </c>
      <c r="F5" s="38" t="s">
        <v>592</v>
      </c>
      <c r="G5" s="38" t="s">
        <v>593</v>
      </c>
      <c r="H5" t="s">
        <v>585</v>
      </c>
    </row>
    <row r="6" spans="1:8">
      <c r="A6" s="38" t="s">
        <v>596</v>
      </c>
      <c r="B6" s="38" t="s">
        <v>597</v>
      </c>
      <c r="C6" s="38" t="s">
        <v>598</v>
      </c>
      <c r="D6" s="38" t="s">
        <v>599</v>
      </c>
      <c r="E6" s="39">
        <v>0.24</v>
      </c>
      <c r="F6" s="38" t="s">
        <v>583</v>
      </c>
      <c r="G6" s="38" t="s">
        <v>584</v>
      </c>
      <c r="H6" t="s">
        <v>585</v>
      </c>
    </row>
    <row r="7" spans="1:8">
      <c r="A7" s="38" t="s">
        <v>596</v>
      </c>
      <c r="B7" s="38" t="s">
        <v>597</v>
      </c>
      <c r="C7" s="38" t="s">
        <v>600</v>
      </c>
      <c r="D7" s="38" t="s">
        <v>601</v>
      </c>
      <c r="E7" s="39">
        <v>40.799999999999997</v>
      </c>
      <c r="F7" s="38" t="s">
        <v>583</v>
      </c>
      <c r="G7" s="38" t="s">
        <v>584</v>
      </c>
      <c r="H7" t="s">
        <v>585</v>
      </c>
    </row>
    <row r="8" spans="1:8">
      <c r="A8" s="38" t="s">
        <v>596</v>
      </c>
      <c r="B8" s="38" t="s">
        <v>597</v>
      </c>
      <c r="C8" s="38" t="s">
        <v>602</v>
      </c>
      <c r="D8" s="38" t="s">
        <v>603</v>
      </c>
      <c r="E8" s="39">
        <v>6</v>
      </c>
      <c r="F8" s="38" t="s">
        <v>583</v>
      </c>
      <c r="G8" s="38" t="s">
        <v>584</v>
      </c>
      <c r="H8" t="s">
        <v>585</v>
      </c>
    </row>
    <row r="9" spans="1:8">
      <c r="A9" s="38" t="s">
        <v>596</v>
      </c>
      <c r="B9" s="38" t="s">
        <v>597</v>
      </c>
      <c r="C9" s="38" t="s">
        <v>604</v>
      </c>
      <c r="D9" s="38" t="s">
        <v>605</v>
      </c>
      <c r="E9" s="39">
        <v>949.2</v>
      </c>
      <c r="F9" s="38" t="s">
        <v>583</v>
      </c>
      <c r="G9" s="38" t="s">
        <v>584</v>
      </c>
      <c r="H9" t="s">
        <v>585</v>
      </c>
    </row>
    <row r="10" spans="1:8">
      <c r="A10" s="38" t="s">
        <v>596</v>
      </c>
      <c r="B10" s="38" t="s">
        <v>597</v>
      </c>
      <c r="C10" s="38" t="s">
        <v>606</v>
      </c>
      <c r="D10" s="38" t="s">
        <v>607</v>
      </c>
      <c r="E10" s="39">
        <v>1562</v>
      </c>
      <c r="F10" s="38" t="s">
        <v>583</v>
      </c>
      <c r="G10" s="38" t="s">
        <v>584</v>
      </c>
      <c r="H10" t="s">
        <v>585</v>
      </c>
    </row>
    <row r="11" spans="1:8">
      <c r="A11" s="38" t="s">
        <v>596</v>
      </c>
      <c r="B11" s="38" t="s">
        <v>597</v>
      </c>
      <c r="C11" s="38" t="s">
        <v>608</v>
      </c>
      <c r="D11" s="38" t="s">
        <v>609</v>
      </c>
      <c r="E11" s="39">
        <v>1562</v>
      </c>
      <c r="F11" s="38" t="s">
        <v>583</v>
      </c>
      <c r="G11" s="38" t="s">
        <v>584</v>
      </c>
      <c r="H11" t="s">
        <v>585</v>
      </c>
    </row>
    <row r="12" spans="1:8">
      <c r="A12" s="38" t="s">
        <v>596</v>
      </c>
      <c r="B12" s="38" t="s">
        <v>597</v>
      </c>
      <c r="C12" s="38" t="s">
        <v>610</v>
      </c>
      <c r="D12" s="38" t="s">
        <v>611</v>
      </c>
      <c r="E12" s="39">
        <v>31.24</v>
      </c>
      <c r="F12" s="38" t="s">
        <v>583</v>
      </c>
      <c r="G12" s="38" t="s">
        <v>584</v>
      </c>
      <c r="H12" t="s">
        <v>585</v>
      </c>
    </row>
    <row r="13" spans="1:8">
      <c r="A13" s="38" t="s">
        <v>596</v>
      </c>
      <c r="B13" s="38" t="s">
        <v>597</v>
      </c>
      <c r="C13" s="38" t="s">
        <v>612</v>
      </c>
      <c r="D13" s="38" t="s">
        <v>613</v>
      </c>
      <c r="E13" s="39">
        <v>3.1239999999999997</v>
      </c>
      <c r="F13" s="38" t="s">
        <v>583</v>
      </c>
      <c r="G13" s="38" t="s">
        <v>584</v>
      </c>
      <c r="H13" t="s">
        <v>585</v>
      </c>
    </row>
    <row r="14" spans="1:8">
      <c r="A14" s="38" t="s">
        <v>596</v>
      </c>
      <c r="B14" s="38" t="s">
        <v>597</v>
      </c>
      <c r="C14" s="38" t="s">
        <v>614</v>
      </c>
      <c r="D14" s="38" t="s">
        <v>615</v>
      </c>
      <c r="E14" s="39">
        <v>31.24</v>
      </c>
      <c r="F14" s="38" t="s">
        <v>583</v>
      </c>
      <c r="G14" s="38" t="s">
        <v>584</v>
      </c>
      <c r="H14" t="s">
        <v>585</v>
      </c>
    </row>
    <row r="15" spans="1:8">
      <c r="A15" s="38" t="s">
        <v>596</v>
      </c>
      <c r="B15" s="38" t="s">
        <v>597</v>
      </c>
      <c r="C15" s="38" t="s">
        <v>616</v>
      </c>
      <c r="D15" s="38" t="s">
        <v>617</v>
      </c>
      <c r="E15" s="39">
        <v>96</v>
      </c>
      <c r="F15" s="38" t="s">
        <v>583</v>
      </c>
      <c r="G15" s="38" t="s">
        <v>584</v>
      </c>
      <c r="H15" t="s">
        <v>585</v>
      </c>
    </row>
    <row r="16" spans="1:8">
      <c r="A16" s="38" t="s">
        <v>596</v>
      </c>
      <c r="B16" s="38" t="s">
        <v>597</v>
      </c>
      <c r="C16" s="38" t="s">
        <v>618</v>
      </c>
      <c r="D16" s="38" t="s">
        <v>619</v>
      </c>
      <c r="E16" s="39">
        <v>312.39999999999998</v>
      </c>
      <c r="F16" s="38" t="s">
        <v>583</v>
      </c>
      <c r="G16" s="38" t="s">
        <v>584</v>
      </c>
      <c r="H16" t="s">
        <v>585</v>
      </c>
    </row>
    <row r="17" spans="1:8">
      <c r="A17" s="38" t="s">
        <v>596</v>
      </c>
      <c r="B17" s="38" t="s">
        <v>597</v>
      </c>
      <c r="C17" s="38" t="s">
        <v>620</v>
      </c>
      <c r="D17" s="38" t="s">
        <v>621</v>
      </c>
      <c r="E17" s="39">
        <v>144</v>
      </c>
      <c r="F17" s="38" t="s">
        <v>583</v>
      </c>
      <c r="G17" s="38" t="s">
        <v>584</v>
      </c>
      <c r="H17" t="s">
        <v>585</v>
      </c>
    </row>
    <row r="18" spans="1:8">
      <c r="A18" s="38" t="s">
        <v>596</v>
      </c>
      <c r="B18" s="38" t="s">
        <v>597</v>
      </c>
      <c r="C18" s="38" t="s">
        <v>586</v>
      </c>
      <c r="D18" s="38" t="s">
        <v>587</v>
      </c>
      <c r="E18" s="39">
        <v>3952.6</v>
      </c>
      <c r="F18" s="38" t="s">
        <v>583</v>
      </c>
      <c r="G18" s="38" t="s">
        <v>584</v>
      </c>
      <c r="H18" t="s">
        <v>585</v>
      </c>
    </row>
    <row r="19" spans="1:8">
      <c r="A19" s="38" t="s">
        <v>596</v>
      </c>
      <c r="B19" s="38" t="s">
        <v>597</v>
      </c>
      <c r="C19" s="38" t="s">
        <v>622</v>
      </c>
      <c r="D19" s="38" t="s">
        <v>623</v>
      </c>
      <c r="E19" s="39">
        <v>6050.7999999999993</v>
      </c>
      <c r="F19" s="38" t="s">
        <v>583</v>
      </c>
      <c r="G19" s="38" t="s">
        <v>584</v>
      </c>
      <c r="H19" t="s">
        <v>585</v>
      </c>
    </row>
    <row r="20" spans="1:8">
      <c r="A20" s="38" t="s">
        <v>596</v>
      </c>
      <c r="B20" s="38" t="s">
        <v>597</v>
      </c>
      <c r="C20" s="38" t="s">
        <v>624</v>
      </c>
      <c r="D20" s="38" t="s">
        <v>625</v>
      </c>
      <c r="E20" s="39">
        <v>6050.8</v>
      </c>
      <c r="F20" s="38" t="s">
        <v>583</v>
      </c>
      <c r="G20" s="38" t="s">
        <v>584</v>
      </c>
      <c r="H20" t="s">
        <v>585</v>
      </c>
    </row>
    <row r="21" spans="1:8">
      <c r="A21" s="38" t="s">
        <v>596</v>
      </c>
      <c r="B21" s="38" t="s">
        <v>597</v>
      </c>
      <c r="C21" s="38" t="s">
        <v>626</v>
      </c>
      <c r="D21" s="38" t="s">
        <v>627</v>
      </c>
      <c r="E21" s="39">
        <v>1151.04</v>
      </c>
      <c r="F21" s="38" t="s">
        <v>583</v>
      </c>
      <c r="G21" s="38" t="s">
        <v>584</v>
      </c>
      <c r="H21" t="s">
        <v>585</v>
      </c>
    </row>
    <row r="22" spans="1:8">
      <c r="A22" s="38" t="s">
        <v>596</v>
      </c>
      <c r="B22" s="38" t="s">
        <v>597</v>
      </c>
      <c r="C22" s="38" t="s">
        <v>628</v>
      </c>
      <c r="D22" s="38" t="s">
        <v>629</v>
      </c>
      <c r="E22" s="39">
        <v>10.8</v>
      </c>
      <c r="F22" s="38" t="s">
        <v>583</v>
      </c>
      <c r="G22" s="38" t="s">
        <v>584</v>
      </c>
      <c r="H22" t="s">
        <v>585</v>
      </c>
    </row>
    <row r="23" spans="1:8">
      <c r="A23" s="38" t="s">
        <v>596</v>
      </c>
      <c r="B23" s="38" t="s">
        <v>597</v>
      </c>
      <c r="C23" s="38" t="s">
        <v>630</v>
      </c>
      <c r="D23" s="38" t="s">
        <v>631</v>
      </c>
      <c r="E23" s="39">
        <v>3.6</v>
      </c>
      <c r="F23" s="38" t="s">
        <v>583</v>
      </c>
      <c r="G23" s="38" t="s">
        <v>584</v>
      </c>
      <c r="H23" t="s">
        <v>585</v>
      </c>
    </row>
    <row r="24" spans="1:8">
      <c r="A24" s="38" t="s">
        <v>596</v>
      </c>
      <c r="B24" s="38" t="s">
        <v>597</v>
      </c>
      <c r="C24" s="38" t="s">
        <v>632</v>
      </c>
      <c r="D24" s="38" t="s">
        <v>633</v>
      </c>
      <c r="E24" s="39">
        <v>10.8</v>
      </c>
      <c r="F24" s="38" t="s">
        <v>583</v>
      </c>
      <c r="G24" s="38" t="s">
        <v>584</v>
      </c>
      <c r="H24" t="s">
        <v>585</v>
      </c>
    </row>
    <row r="25" spans="1:8">
      <c r="A25" s="38" t="s">
        <v>596</v>
      </c>
      <c r="B25" s="38" t="s">
        <v>597</v>
      </c>
      <c r="C25" s="38" t="s">
        <v>634</v>
      </c>
      <c r="D25" s="38" t="s">
        <v>635</v>
      </c>
      <c r="E25" s="39">
        <v>1.8</v>
      </c>
      <c r="F25" s="38" t="s">
        <v>583</v>
      </c>
      <c r="G25" s="38" t="s">
        <v>584</v>
      </c>
      <c r="H25" t="s">
        <v>585</v>
      </c>
    </row>
    <row r="26" spans="1:8">
      <c r="A26" s="38" t="s">
        <v>596</v>
      </c>
      <c r="B26" s="38" t="s">
        <v>597</v>
      </c>
      <c r="C26" s="38" t="s">
        <v>636</v>
      </c>
      <c r="D26" s="38" t="s">
        <v>637</v>
      </c>
      <c r="E26" s="39">
        <v>1.8</v>
      </c>
      <c r="F26" s="38" t="s">
        <v>583</v>
      </c>
      <c r="G26" s="38" t="s">
        <v>584</v>
      </c>
      <c r="H26" t="s">
        <v>585</v>
      </c>
    </row>
    <row r="27" spans="1:8">
      <c r="A27" s="38" t="s">
        <v>638</v>
      </c>
      <c r="B27" s="38" t="s">
        <v>639</v>
      </c>
      <c r="C27" s="38" t="s">
        <v>583</v>
      </c>
      <c r="D27" s="38" t="s">
        <v>640</v>
      </c>
      <c r="E27" s="39">
        <v>210</v>
      </c>
      <c r="F27" s="38" t="s">
        <v>583</v>
      </c>
      <c r="G27" s="38" t="s">
        <v>584</v>
      </c>
      <c r="H27" t="s">
        <v>585</v>
      </c>
    </row>
    <row r="28" spans="1:8">
      <c r="A28" s="38" t="s">
        <v>638</v>
      </c>
      <c r="B28" s="38" t="s">
        <v>639</v>
      </c>
      <c r="C28" s="38" t="s">
        <v>641</v>
      </c>
      <c r="D28" s="38" t="s">
        <v>642</v>
      </c>
      <c r="E28" s="39">
        <v>210</v>
      </c>
      <c r="F28" s="38" t="s">
        <v>583</v>
      </c>
      <c r="G28" s="38" t="s">
        <v>584</v>
      </c>
      <c r="H28" t="s">
        <v>585</v>
      </c>
    </row>
    <row r="29" spans="1:8">
      <c r="A29" s="38" t="s">
        <v>638</v>
      </c>
      <c r="B29" s="38" t="s">
        <v>639</v>
      </c>
      <c r="C29" s="38" t="s">
        <v>592</v>
      </c>
      <c r="D29" s="38" t="s">
        <v>643</v>
      </c>
      <c r="E29" s="39">
        <v>230</v>
      </c>
      <c r="F29" s="38" t="s">
        <v>583</v>
      </c>
      <c r="G29" s="38" t="s">
        <v>584</v>
      </c>
      <c r="H29" t="s">
        <v>585</v>
      </c>
    </row>
    <row r="30" spans="1:8">
      <c r="A30" s="38" t="s">
        <v>638</v>
      </c>
      <c r="B30" s="38" t="s">
        <v>639</v>
      </c>
      <c r="C30" s="38" t="s">
        <v>644</v>
      </c>
      <c r="D30" s="38" t="s">
        <v>645</v>
      </c>
      <c r="E30" s="39">
        <v>210</v>
      </c>
      <c r="F30" s="38" t="s">
        <v>583</v>
      </c>
      <c r="G30" s="38" t="s">
        <v>584</v>
      </c>
      <c r="H30" t="s">
        <v>585</v>
      </c>
    </row>
    <row r="31" spans="1:8">
      <c r="A31" s="38" t="s">
        <v>638</v>
      </c>
      <c r="B31" s="38" t="s">
        <v>639</v>
      </c>
      <c r="C31" s="38" t="s">
        <v>598</v>
      </c>
      <c r="D31" s="38" t="s">
        <v>599</v>
      </c>
      <c r="E31" s="39">
        <v>20.979999999999997</v>
      </c>
      <c r="F31" s="38" t="s">
        <v>583</v>
      </c>
      <c r="G31" s="38" t="s">
        <v>584</v>
      </c>
      <c r="H31" t="s">
        <v>585</v>
      </c>
    </row>
    <row r="32" spans="1:8">
      <c r="A32" s="38" t="s">
        <v>638</v>
      </c>
      <c r="B32" s="38" t="s">
        <v>639</v>
      </c>
      <c r="C32" s="38" t="s">
        <v>646</v>
      </c>
      <c r="D32" s="38" t="s">
        <v>647</v>
      </c>
      <c r="E32" s="39">
        <v>210</v>
      </c>
      <c r="F32" s="38" t="s">
        <v>583</v>
      </c>
      <c r="G32" s="38" t="s">
        <v>584</v>
      </c>
      <c r="H32" t="s">
        <v>585</v>
      </c>
    </row>
    <row r="33" spans="1:8">
      <c r="A33" s="38" t="s">
        <v>638</v>
      </c>
      <c r="B33" s="38" t="s">
        <v>639</v>
      </c>
      <c r="C33" s="38" t="s">
        <v>648</v>
      </c>
      <c r="D33" s="38" t="s">
        <v>649</v>
      </c>
      <c r="E33" s="39">
        <v>1050</v>
      </c>
      <c r="F33" s="38" t="s">
        <v>583</v>
      </c>
      <c r="G33" s="38" t="s">
        <v>584</v>
      </c>
      <c r="H33" t="s">
        <v>585</v>
      </c>
    </row>
    <row r="34" spans="1:8">
      <c r="A34" s="38" t="s">
        <v>638</v>
      </c>
      <c r="B34" s="38" t="s">
        <v>639</v>
      </c>
      <c r="C34" s="38" t="s">
        <v>650</v>
      </c>
      <c r="D34" s="38" t="s">
        <v>651</v>
      </c>
      <c r="E34" s="39">
        <v>168</v>
      </c>
      <c r="F34" s="38" t="s">
        <v>583</v>
      </c>
      <c r="G34" s="38" t="s">
        <v>584</v>
      </c>
      <c r="H34" t="s">
        <v>585</v>
      </c>
    </row>
    <row r="35" spans="1:8">
      <c r="A35" s="38" t="s">
        <v>638</v>
      </c>
      <c r="B35" s="38" t="s">
        <v>639</v>
      </c>
      <c r="C35" s="38" t="s">
        <v>652</v>
      </c>
      <c r="D35" s="38" t="s">
        <v>653</v>
      </c>
      <c r="E35" s="39">
        <v>6.3</v>
      </c>
      <c r="F35" s="38" t="s">
        <v>583</v>
      </c>
      <c r="G35" s="38" t="s">
        <v>584</v>
      </c>
      <c r="H35" t="s">
        <v>585</v>
      </c>
    </row>
    <row r="36" spans="1:8">
      <c r="A36" s="38" t="s">
        <v>638</v>
      </c>
      <c r="B36" s="38" t="s">
        <v>639</v>
      </c>
      <c r="C36" s="38" t="s">
        <v>654</v>
      </c>
      <c r="D36" s="38" t="s">
        <v>655</v>
      </c>
      <c r="E36" s="39">
        <v>21.000000000000004</v>
      </c>
      <c r="F36" s="38" t="s">
        <v>583</v>
      </c>
      <c r="G36" s="38" t="s">
        <v>584</v>
      </c>
      <c r="H36" t="s">
        <v>585</v>
      </c>
    </row>
    <row r="37" spans="1:8">
      <c r="A37" s="38" t="s">
        <v>638</v>
      </c>
      <c r="B37" s="38" t="s">
        <v>639</v>
      </c>
      <c r="C37" s="38" t="s">
        <v>656</v>
      </c>
      <c r="D37" s="38" t="s">
        <v>657</v>
      </c>
      <c r="E37" s="39">
        <v>735</v>
      </c>
      <c r="F37" s="38" t="s">
        <v>583</v>
      </c>
      <c r="G37" s="38" t="s">
        <v>584</v>
      </c>
      <c r="H37" t="s">
        <v>585</v>
      </c>
    </row>
    <row r="38" spans="1:8">
      <c r="A38" s="38" t="s">
        <v>638</v>
      </c>
      <c r="B38" s="38" t="s">
        <v>639</v>
      </c>
      <c r="C38" s="38" t="s">
        <v>602</v>
      </c>
      <c r="D38" s="38" t="s">
        <v>603</v>
      </c>
      <c r="E38" s="39">
        <v>525.005</v>
      </c>
      <c r="F38" s="38" t="s">
        <v>583</v>
      </c>
      <c r="G38" s="38" t="s">
        <v>584</v>
      </c>
      <c r="H38" t="s">
        <v>585</v>
      </c>
    </row>
    <row r="39" spans="1:8">
      <c r="A39" s="38" t="s">
        <v>638</v>
      </c>
      <c r="B39" s="38" t="s">
        <v>639</v>
      </c>
      <c r="C39" s="38" t="s">
        <v>658</v>
      </c>
      <c r="D39" s="38" t="s">
        <v>659</v>
      </c>
      <c r="E39" s="39">
        <v>21.000000000000004</v>
      </c>
      <c r="F39" s="38" t="s">
        <v>583</v>
      </c>
      <c r="G39" s="38" t="s">
        <v>584</v>
      </c>
      <c r="H39" t="s">
        <v>585</v>
      </c>
    </row>
    <row r="40" spans="1:8">
      <c r="A40" s="38" t="s">
        <v>638</v>
      </c>
      <c r="B40" s="38" t="s">
        <v>639</v>
      </c>
      <c r="C40" s="38" t="s">
        <v>660</v>
      </c>
      <c r="D40" s="38" t="s">
        <v>661</v>
      </c>
      <c r="E40" s="39">
        <v>21</v>
      </c>
      <c r="F40" s="38" t="s">
        <v>583</v>
      </c>
      <c r="G40" s="38" t="s">
        <v>584</v>
      </c>
      <c r="H40" t="s">
        <v>585</v>
      </c>
    </row>
    <row r="41" spans="1:8">
      <c r="A41" s="38" t="s">
        <v>638</v>
      </c>
      <c r="B41" s="38" t="s">
        <v>639</v>
      </c>
      <c r="C41" s="38" t="s">
        <v>604</v>
      </c>
      <c r="D41" s="38" t="s">
        <v>605</v>
      </c>
      <c r="E41" s="39">
        <v>1470</v>
      </c>
      <c r="F41" s="38" t="s">
        <v>583</v>
      </c>
      <c r="G41" s="38" t="s">
        <v>584</v>
      </c>
      <c r="H41" t="s">
        <v>585</v>
      </c>
    </row>
    <row r="42" spans="1:8">
      <c r="A42" s="38" t="s">
        <v>638</v>
      </c>
      <c r="B42" s="38" t="s">
        <v>639</v>
      </c>
      <c r="C42" s="38" t="s">
        <v>662</v>
      </c>
      <c r="D42" s="38" t="s">
        <v>663</v>
      </c>
      <c r="E42" s="39">
        <v>1575</v>
      </c>
      <c r="F42" s="38" t="s">
        <v>583</v>
      </c>
      <c r="G42" s="38" t="s">
        <v>584</v>
      </c>
      <c r="H42" t="s">
        <v>585</v>
      </c>
    </row>
    <row r="43" spans="1:8">
      <c r="A43" s="38" t="s">
        <v>638</v>
      </c>
      <c r="B43" s="38" t="s">
        <v>639</v>
      </c>
      <c r="C43" s="38" t="s">
        <v>664</v>
      </c>
      <c r="D43" s="38" t="s">
        <v>665</v>
      </c>
      <c r="E43" s="39">
        <v>21</v>
      </c>
      <c r="F43" s="38" t="s">
        <v>583</v>
      </c>
      <c r="G43" s="38" t="s">
        <v>584</v>
      </c>
      <c r="H43" t="s">
        <v>585</v>
      </c>
    </row>
    <row r="44" spans="1:8">
      <c r="A44" s="38" t="s">
        <v>638</v>
      </c>
      <c r="B44" s="38" t="s">
        <v>639</v>
      </c>
      <c r="C44" s="38" t="s">
        <v>666</v>
      </c>
      <c r="D44" s="38" t="s">
        <v>667</v>
      </c>
      <c r="E44" s="39">
        <v>21</v>
      </c>
      <c r="F44" s="38" t="s">
        <v>583</v>
      </c>
      <c r="G44" s="38" t="s">
        <v>584</v>
      </c>
      <c r="H44" t="s">
        <v>585</v>
      </c>
    </row>
    <row r="45" spans="1:8">
      <c r="A45" s="38" t="s">
        <v>638</v>
      </c>
      <c r="B45" s="38" t="s">
        <v>639</v>
      </c>
      <c r="C45" s="38" t="s">
        <v>668</v>
      </c>
      <c r="D45" s="38" t="s">
        <v>669</v>
      </c>
      <c r="E45" s="39">
        <v>21</v>
      </c>
      <c r="F45" s="38" t="s">
        <v>583</v>
      </c>
      <c r="G45" s="38" t="s">
        <v>584</v>
      </c>
      <c r="H45" t="s">
        <v>585</v>
      </c>
    </row>
    <row r="46" spans="1:8">
      <c r="A46" s="38" t="s">
        <v>638</v>
      </c>
      <c r="B46" s="38" t="s">
        <v>639</v>
      </c>
      <c r="C46" s="38" t="s">
        <v>670</v>
      </c>
      <c r="D46" s="38" t="s">
        <v>671</v>
      </c>
      <c r="E46" s="39">
        <v>21</v>
      </c>
      <c r="F46" s="38" t="s">
        <v>583</v>
      </c>
      <c r="G46" s="38" t="s">
        <v>584</v>
      </c>
      <c r="H46" t="s">
        <v>585</v>
      </c>
    </row>
    <row r="47" spans="1:8">
      <c r="A47" s="38" t="s">
        <v>638</v>
      </c>
      <c r="B47" s="38" t="s">
        <v>639</v>
      </c>
      <c r="C47" s="38" t="s">
        <v>672</v>
      </c>
      <c r="D47" s="38" t="s">
        <v>673</v>
      </c>
      <c r="E47" s="39">
        <v>629.47</v>
      </c>
      <c r="F47" s="38" t="s">
        <v>583</v>
      </c>
      <c r="G47" s="38" t="s">
        <v>584</v>
      </c>
      <c r="H47" t="s">
        <v>585</v>
      </c>
    </row>
    <row r="48" spans="1:8">
      <c r="A48" s="38" t="s">
        <v>638</v>
      </c>
      <c r="B48" s="38" t="s">
        <v>639</v>
      </c>
      <c r="C48" s="38" t="s">
        <v>674</v>
      </c>
      <c r="D48" s="38" t="s">
        <v>675</v>
      </c>
      <c r="E48" s="39">
        <v>944.21999999999991</v>
      </c>
      <c r="F48" s="38" t="s">
        <v>583</v>
      </c>
      <c r="G48" s="38" t="s">
        <v>584</v>
      </c>
      <c r="H48" t="s">
        <v>585</v>
      </c>
    </row>
    <row r="49" spans="1:8">
      <c r="A49" s="38" t="s">
        <v>638</v>
      </c>
      <c r="B49" s="38" t="s">
        <v>639</v>
      </c>
      <c r="C49" s="38" t="s">
        <v>676</v>
      </c>
      <c r="D49" s="38" t="s">
        <v>677</v>
      </c>
      <c r="E49" s="39">
        <v>10.502000000000001</v>
      </c>
      <c r="F49" s="38" t="s">
        <v>583</v>
      </c>
      <c r="G49" s="38" t="s">
        <v>584</v>
      </c>
      <c r="H49" t="s">
        <v>585</v>
      </c>
    </row>
    <row r="50" spans="1:8">
      <c r="A50" s="38" t="s">
        <v>638</v>
      </c>
      <c r="B50" s="38" t="s">
        <v>639</v>
      </c>
      <c r="C50" s="38" t="s">
        <v>678</v>
      </c>
      <c r="D50" s="38" t="s">
        <v>679</v>
      </c>
      <c r="E50" s="39">
        <v>105.00200000000001</v>
      </c>
      <c r="F50" s="38" t="s">
        <v>583</v>
      </c>
      <c r="G50" s="38" t="s">
        <v>584</v>
      </c>
      <c r="H50" t="s">
        <v>585</v>
      </c>
    </row>
    <row r="51" spans="1:8">
      <c r="A51" s="38" t="s">
        <v>638</v>
      </c>
      <c r="B51" s="38" t="s">
        <v>639</v>
      </c>
      <c r="C51" s="38" t="s">
        <v>680</v>
      </c>
      <c r="D51" s="38" t="s">
        <v>681</v>
      </c>
      <c r="E51" s="39">
        <v>1260.01</v>
      </c>
      <c r="F51" s="38" t="s">
        <v>583</v>
      </c>
      <c r="G51" s="38" t="s">
        <v>584</v>
      </c>
      <c r="H51" t="s">
        <v>585</v>
      </c>
    </row>
    <row r="52" spans="1:8">
      <c r="A52" s="38" t="s">
        <v>638</v>
      </c>
      <c r="B52" s="38" t="s">
        <v>639</v>
      </c>
      <c r="C52" s="38" t="s">
        <v>682</v>
      </c>
      <c r="D52" s="38" t="s">
        <v>683</v>
      </c>
      <c r="E52" s="39">
        <v>21.004000000000001</v>
      </c>
      <c r="F52" s="38" t="s">
        <v>583</v>
      </c>
      <c r="G52" s="38" t="s">
        <v>584</v>
      </c>
      <c r="H52" t="s">
        <v>585</v>
      </c>
    </row>
    <row r="53" spans="1:8">
      <c r="A53" s="38" t="s">
        <v>638</v>
      </c>
      <c r="B53" s="38" t="s">
        <v>639</v>
      </c>
      <c r="C53" s="38" t="s">
        <v>684</v>
      </c>
      <c r="D53" s="38" t="s">
        <v>685</v>
      </c>
      <c r="E53" s="39">
        <v>10.502000000000001</v>
      </c>
      <c r="F53" s="38" t="s">
        <v>583</v>
      </c>
      <c r="G53" s="38" t="s">
        <v>584</v>
      </c>
      <c r="H53" t="s">
        <v>585</v>
      </c>
    </row>
    <row r="54" spans="1:8">
      <c r="A54" s="38" t="s">
        <v>638</v>
      </c>
      <c r="B54" s="38" t="s">
        <v>639</v>
      </c>
      <c r="C54" s="38" t="s">
        <v>616</v>
      </c>
      <c r="D54" s="38" t="s">
        <v>617</v>
      </c>
      <c r="E54" s="39">
        <v>4195.8</v>
      </c>
      <c r="F54" s="38" t="s">
        <v>583</v>
      </c>
      <c r="G54" s="38" t="s">
        <v>584</v>
      </c>
      <c r="H54" t="s">
        <v>585</v>
      </c>
    </row>
    <row r="55" spans="1:8">
      <c r="A55" s="38" t="s">
        <v>638</v>
      </c>
      <c r="B55" s="38" t="s">
        <v>639</v>
      </c>
      <c r="C55" s="38" t="s">
        <v>686</v>
      </c>
      <c r="D55" s="38" t="s">
        <v>687</v>
      </c>
      <c r="E55" s="39">
        <v>13</v>
      </c>
      <c r="F55" s="38" t="s">
        <v>583</v>
      </c>
      <c r="G55" s="38" t="s">
        <v>584</v>
      </c>
      <c r="H55" t="s">
        <v>585</v>
      </c>
    </row>
    <row r="56" spans="1:8">
      <c r="A56" s="38" t="s">
        <v>638</v>
      </c>
      <c r="B56" s="38" t="s">
        <v>639</v>
      </c>
      <c r="C56" s="38" t="s">
        <v>586</v>
      </c>
      <c r="D56" s="38" t="s">
        <v>587</v>
      </c>
      <c r="E56" s="39">
        <v>16518.45</v>
      </c>
      <c r="F56" s="38" t="s">
        <v>583</v>
      </c>
      <c r="G56" s="38" t="s">
        <v>584</v>
      </c>
      <c r="H56" t="s">
        <v>585</v>
      </c>
    </row>
    <row r="57" spans="1:8">
      <c r="A57" s="38" t="s">
        <v>638</v>
      </c>
      <c r="B57" s="38" t="s">
        <v>639</v>
      </c>
      <c r="C57" s="38" t="s">
        <v>688</v>
      </c>
      <c r="D57" s="38" t="s">
        <v>689</v>
      </c>
      <c r="E57" s="39">
        <v>21</v>
      </c>
      <c r="F57" s="38" t="s">
        <v>583</v>
      </c>
      <c r="G57" s="38" t="s">
        <v>584</v>
      </c>
      <c r="H57" t="s">
        <v>585</v>
      </c>
    </row>
    <row r="58" spans="1:8">
      <c r="A58" s="38" t="s">
        <v>638</v>
      </c>
      <c r="B58" s="38" t="s">
        <v>639</v>
      </c>
      <c r="C58" s="38" t="s">
        <v>690</v>
      </c>
      <c r="D58" s="38" t="s">
        <v>691</v>
      </c>
      <c r="E58" s="39">
        <v>1785</v>
      </c>
      <c r="F58" s="38" t="s">
        <v>583</v>
      </c>
      <c r="G58" s="38" t="s">
        <v>584</v>
      </c>
      <c r="H58" t="s">
        <v>585</v>
      </c>
    </row>
    <row r="59" spans="1:8">
      <c r="A59" s="38" t="s">
        <v>638</v>
      </c>
      <c r="B59" s="38" t="s">
        <v>639</v>
      </c>
      <c r="C59" s="38" t="s">
        <v>692</v>
      </c>
      <c r="D59" s="38" t="s">
        <v>693</v>
      </c>
      <c r="E59" s="39">
        <v>1.4007000000000001</v>
      </c>
      <c r="F59" s="38" t="s">
        <v>583</v>
      </c>
      <c r="G59" s="38" t="s">
        <v>584</v>
      </c>
      <c r="H59" t="s">
        <v>585</v>
      </c>
    </row>
    <row r="60" spans="1:8">
      <c r="A60" s="38" t="s">
        <v>638</v>
      </c>
      <c r="B60" s="38" t="s">
        <v>639</v>
      </c>
      <c r="C60" s="38" t="s">
        <v>694</v>
      </c>
      <c r="D60" s="38" t="s">
        <v>695</v>
      </c>
      <c r="E60" s="39">
        <v>0.26</v>
      </c>
      <c r="F60" s="38" t="s">
        <v>583</v>
      </c>
      <c r="G60" s="38" t="s">
        <v>584</v>
      </c>
      <c r="H60" t="s">
        <v>585</v>
      </c>
    </row>
    <row r="61" spans="1:8">
      <c r="A61" s="38" t="s">
        <v>638</v>
      </c>
      <c r="B61" s="38" t="s">
        <v>639</v>
      </c>
      <c r="C61" s="38" t="s">
        <v>696</v>
      </c>
      <c r="D61" s="38" t="s">
        <v>697</v>
      </c>
      <c r="E61" s="39">
        <v>0.26</v>
      </c>
      <c r="F61" s="38" t="s">
        <v>583</v>
      </c>
      <c r="G61" s="38" t="s">
        <v>584</v>
      </c>
      <c r="H61" t="s">
        <v>585</v>
      </c>
    </row>
    <row r="62" spans="1:8">
      <c r="A62" s="38" t="s">
        <v>638</v>
      </c>
      <c r="B62" s="38" t="s">
        <v>639</v>
      </c>
      <c r="C62" s="38" t="s">
        <v>698</v>
      </c>
      <c r="D62" s="38" t="s">
        <v>699</v>
      </c>
      <c r="E62" s="39">
        <v>0.26</v>
      </c>
      <c r="F62" s="38" t="s">
        <v>583</v>
      </c>
      <c r="G62" s="38" t="s">
        <v>584</v>
      </c>
      <c r="H62" t="s">
        <v>585</v>
      </c>
    </row>
    <row r="63" spans="1:8">
      <c r="A63" s="38" t="s">
        <v>638</v>
      </c>
      <c r="B63" s="38" t="s">
        <v>639</v>
      </c>
      <c r="C63" s="38" t="s">
        <v>700</v>
      </c>
      <c r="D63" s="38" t="s">
        <v>701</v>
      </c>
      <c r="E63" s="39">
        <v>0.26</v>
      </c>
      <c r="F63" s="38" t="s">
        <v>583</v>
      </c>
      <c r="G63" s="38" t="s">
        <v>584</v>
      </c>
      <c r="H63" t="s">
        <v>585</v>
      </c>
    </row>
    <row r="64" spans="1:8">
      <c r="A64" s="38" t="s">
        <v>638</v>
      </c>
      <c r="B64" s="38" t="s">
        <v>639</v>
      </c>
      <c r="C64" s="38" t="s">
        <v>702</v>
      </c>
      <c r="D64" s="38" t="s">
        <v>703</v>
      </c>
      <c r="E64" s="39">
        <v>0.26</v>
      </c>
      <c r="F64" s="38" t="s">
        <v>583</v>
      </c>
      <c r="G64" s="38" t="s">
        <v>584</v>
      </c>
      <c r="H64" t="s">
        <v>585</v>
      </c>
    </row>
    <row r="65" spans="1:8">
      <c r="A65" s="38" t="s">
        <v>704</v>
      </c>
      <c r="B65" s="38" t="s">
        <v>705</v>
      </c>
      <c r="C65" s="38" t="s">
        <v>590</v>
      </c>
      <c r="D65" s="38" t="s">
        <v>591</v>
      </c>
      <c r="E65" s="39">
        <v>6000</v>
      </c>
      <c r="F65" s="38" t="s">
        <v>583</v>
      </c>
      <c r="G65" s="38" t="s">
        <v>584</v>
      </c>
      <c r="H65" t="s">
        <v>585</v>
      </c>
    </row>
    <row r="66" spans="1:8">
      <c r="A66" s="38" t="s">
        <v>704</v>
      </c>
      <c r="B66" s="38" t="s">
        <v>705</v>
      </c>
      <c r="C66" s="38" t="s">
        <v>706</v>
      </c>
      <c r="D66" s="38" t="s">
        <v>707</v>
      </c>
      <c r="E66" s="39">
        <v>3000</v>
      </c>
      <c r="F66" s="38" t="s">
        <v>583</v>
      </c>
      <c r="G66" s="38" t="s">
        <v>584</v>
      </c>
      <c r="H66" t="s">
        <v>585</v>
      </c>
    </row>
    <row r="67" spans="1:8">
      <c r="A67" s="38" t="s">
        <v>704</v>
      </c>
      <c r="B67" s="38" t="s">
        <v>705</v>
      </c>
      <c r="C67" s="38" t="s">
        <v>708</v>
      </c>
      <c r="D67" s="38" t="s">
        <v>709</v>
      </c>
      <c r="E67" s="39">
        <v>3024</v>
      </c>
      <c r="F67" s="38" t="s">
        <v>583</v>
      </c>
      <c r="G67" s="38" t="s">
        <v>584</v>
      </c>
      <c r="H67" t="s">
        <v>585</v>
      </c>
    </row>
    <row r="68" spans="1:8">
      <c r="A68" s="38" t="s">
        <v>704</v>
      </c>
      <c r="B68" s="38" t="s">
        <v>705</v>
      </c>
      <c r="C68" s="38" t="s">
        <v>710</v>
      </c>
      <c r="D68" s="38" t="s">
        <v>711</v>
      </c>
      <c r="E68" s="39">
        <v>600</v>
      </c>
      <c r="F68" s="38" t="s">
        <v>583</v>
      </c>
      <c r="G68" s="38" t="s">
        <v>584</v>
      </c>
      <c r="H68" t="s">
        <v>585</v>
      </c>
    </row>
    <row r="69" spans="1:8">
      <c r="A69" s="38" t="s">
        <v>704</v>
      </c>
      <c r="B69" s="38" t="s">
        <v>705</v>
      </c>
      <c r="C69" s="38" t="s">
        <v>712</v>
      </c>
      <c r="D69" s="38" t="s">
        <v>713</v>
      </c>
      <c r="E69" s="39">
        <v>1411.1999999999998</v>
      </c>
      <c r="F69" s="38" t="s">
        <v>583</v>
      </c>
      <c r="G69" s="38" t="s">
        <v>584</v>
      </c>
      <c r="H69" t="s">
        <v>585</v>
      </c>
    </row>
    <row r="70" spans="1:8">
      <c r="A70" s="38" t="s">
        <v>704</v>
      </c>
      <c r="B70" s="38" t="s">
        <v>705</v>
      </c>
      <c r="C70" s="38" t="s">
        <v>714</v>
      </c>
      <c r="D70" s="38" t="s">
        <v>715</v>
      </c>
      <c r="E70" s="39">
        <v>3835.2000000000007</v>
      </c>
      <c r="F70" s="38" t="s">
        <v>583</v>
      </c>
      <c r="G70" s="38" t="s">
        <v>584</v>
      </c>
      <c r="H70" t="s">
        <v>585</v>
      </c>
    </row>
    <row r="71" spans="1:8">
      <c r="A71" s="38" t="s">
        <v>704</v>
      </c>
      <c r="B71" s="38" t="s">
        <v>705</v>
      </c>
      <c r="C71" s="38" t="s">
        <v>716</v>
      </c>
      <c r="D71" s="38" t="s">
        <v>717</v>
      </c>
      <c r="E71" s="39">
        <v>100.80000000000001</v>
      </c>
      <c r="F71" s="38" t="s">
        <v>583</v>
      </c>
      <c r="G71" s="38" t="s">
        <v>584</v>
      </c>
      <c r="H71" t="s">
        <v>585</v>
      </c>
    </row>
    <row r="72" spans="1:8">
      <c r="A72" s="38" t="s">
        <v>704</v>
      </c>
      <c r="B72" s="38" t="s">
        <v>705</v>
      </c>
      <c r="C72" s="38" t="s">
        <v>718</v>
      </c>
      <c r="D72" s="38" t="s">
        <v>719</v>
      </c>
      <c r="E72" s="39">
        <v>201.60000000000002</v>
      </c>
      <c r="F72" s="38" t="s">
        <v>583</v>
      </c>
      <c r="G72" s="38" t="s">
        <v>584</v>
      </c>
      <c r="H72" t="s">
        <v>585</v>
      </c>
    </row>
    <row r="73" spans="1:8">
      <c r="A73" s="38" t="s">
        <v>704</v>
      </c>
      <c r="B73" s="38" t="s">
        <v>705</v>
      </c>
      <c r="C73" s="38" t="s">
        <v>720</v>
      </c>
      <c r="D73" s="38" t="s">
        <v>721</v>
      </c>
      <c r="E73" s="39">
        <v>20.159999999999997</v>
      </c>
      <c r="F73" s="38" t="s">
        <v>583</v>
      </c>
      <c r="G73" s="38" t="s">
        <v>584</v>
      </c>
      <c r="H73" t="s">
        <v>585</v>
      </c>
    </row>
    <row r="74" spans="1:8">
      <c r="A74" s="38" t="s">
        <v>704</v>
      </c>
      <c r="B74" s="38" t="s">
        <v>705</v>
      </c>
      <c r="C74" s="38" t="s">
        <v>722</v>
      </c>
      <c r="D74" s="38" t="s">
        <v>723</v>
      </c>
      <c r="E74" s="39">
        <v>20.159999999999997</v>
      </c>
      <c r="F74" s="38" t="s">
        <v>583</v>
      </c>
      <c r="G74" s="38" t="s">
        <v>584</v>
      </c>
      <c r="H74" t="s">
        <v>585</v>
      </c>
    </row>
    <row r="75" spans="1:8">
      <c r="A75" s="38" t="s">
        <v>704</v>
      </c>
      <c r="B75" s="38" t="s">
        <v>705</v>
      </c>
      <c r="C75" s="38" t="s">
        <v>724</v>
      </c>
      <c r="D75" s="38" t="s">
        <v>725</v>
      </c>
      <c r="E75" s="39">
        <v>20.159999999999997</v>
      </c>
      <c r="F75" s="38" t="s">
        <v>583</v>
      </c>
      <c r="G75" s="38" t="s">
        <v>584</v>
      </c>
      <c r="H75" t="s">
        <v>585</v>
      </c>
    </row>
    <row r="76" spans="1:8">
      <c r="A76" s="38" t="s">
        <v>704</v>
      </c>
      <c r="B76" s="38" t="s">
        <v>705</v>
      </c>
      <c r="C76" s="38" t="s">
        <v>726</v>
      </c>
      <c r="D76" s="38" t="s">
        <v>727</v>
      </c>
      <c r="E76" s="39">
        <v>20.159999999999997</v>
      </c>
      <c r="F76" s="38" t="s">
        <v>583</v>
      </c>
      <c r="G76" s="38" t="s">
        <v>584</v>
      </c>
      <c r="H76" t="s">
        <v>585</v>
      </c>
    </row>
    <row r="77" spans="1:8">
      <c r="A77" s="38" t="s">
        <v>704</v>
      </c>
      <c r="B77" s="38" t="s">
        <v>705</v>
      </c>
      <c r="C77" s="38" t="s">
        <v>728</v>
      </c>
      <c r="D77" s="38" t="s">
        <v>729</v>
      </c>
      <c r="E77" s="39">
        <v>20.159999999999997</v>
      </c>
      <c r="F77" s="38" t="s">
        <v>583</v>
      </c>
      <c r="G77" s="38" t="s">
        <v>584</v>
      </c>
      <c r="H77" t="s">
        <v>585</v>
      </c>
    </row>
    <row r="78" spans="1:8">
      <c r="A78" s="38" t="s">
        <v>704</v>
      </c>
      <c r="B78" s="38" t="s">
        <v>705</v>
      </c>
      <c r="C78" s="38" t="s">
        <v>730</v>
      </c>
      <c r="D78" s="38" t="s">
        <v>731</v>
      </c>
      <c r="E78" s="39">
        <v>201.60000000000002</v>
      </c>
      <c r="F78" s="38" t="s">
        <v>583</v>
      </c>
      <c r="G78" s="38" t="s">
        <v>584</v>
      </c>
      <c r="H78" t="s">
        <v>585</v>
      </c>
    </row>
    <row r="79" spans="1:8">
      <c r="A79" s="38" t="s">
        <v>704</v>
      </c>
      <c r="B79" s="38" t="s">
        <v>705</v>
      </c>
      <c r="C79" s="38" t="s">
        <v>732</v>
      </c>
      <c r="D79" s="38" t="s">
        <v>733</v>
      </c>
      <c r="E79" s="39">
        <v>1519.5</v>
      </c>
      <c r="F79" s="38" t="s">
        <v>583</v>
      </c>
      <c r="G79" s="38" t="s">
        <v>584</v>
      </c>
      <c r="H79" t="s">
        <v>585</v>
      </c>
    </row>
    <row r="80" spans="1:8">
      <c r="A80" s="38" t="s">
        <v>704</v>
      </c>
      <c r="B80" s="38" t="s">
        <v>705</v>
      </c>
      <c r="C80" s="38" t="s">
        <v>662</v>
      </c>
      <c r="D80" s="38" t="s">
        <v>663</v>
      </c>
      <c r="E80" s="39">
        <v>1519.5</v>
      </c>
      <c r="F80" s="38" t="s">
        <v>583</v>
      </c>
      <c r="G80" s="38" t="s">
        <v>584</v>
      </c>
      <c r="H80" t="s">
        <v>585</v>
      </c>
    </row>
    <row r="81" spans="1:8">
      <c r="A81" s="38" t="s">
        <v>704</v>
      </c>
      <c r="B81" s="38" t="s">
        <v>705</v>
      </c>
      <c r="C81" s="38" t="s">
        <v>734</v>
      </c>
      <c r="D81" s="38" t="s">
        <v>735</v>
      </c>
      <c r="E81" s="39">
        <v>24</v>
      </c>
      <c r="F81" s="38" t="s">
        <v>583</v>
      </c>
      <c r="G81" s="38" t="s">
        <v>584</v>
      </c>
      <c r="H81" t="s">
        <v>585</v>
      </c>
    </row>
    <row r="82" spans="1:8">
      <c r="A82" s="38" t="s">
        <v>704</v>
      </c>
      <c r="B82" s="38" t="s">
        <v>705</v>
      </c>
      <c r="C82" s="38" t="s">
        <v>736</v>
      </c>
      <c r="D82" s="38" t="s">
        <v>737</v>
      </c>
      <c r="E82" s="39">
        <v>24</v>
      </c>
      <c r="F82" s="38" t="s">
        <v>583</v>
      </c>
      <c r="G82" s="38" t="s">
        <v>584</v>
      </c>
      <c r="H82" t="s">
        <v>585</v>
      </c>
    </row>
    <row r="83" spans="1:8">
      <c r="A83" s="38" t="s">
        <v>704</v>
      </c>
      <c r="B83" s="38" t="s">
        <v>705</v>
      </c>
      <c r="C83" s="38" t="s">
        <v>738</v>
      </c>
      <c r="D83" s="38" t="s">
        <v>739</v>
      </c>
      <c r="E83" s="39">
        <v>12</v>
      </c>
      <c r="F83" s="38" t="s">
        <v>583</v>
      </c>
      <c r="G83" s="38" t="s">
        <v>584</v>
      </c>
      <c r="H83" t="s">
        <v>585</v>
      </c>
    </row>
    <row r="84" spans="1:8">
      <c r="A84" s="38" t="s">
        <v>704</v>
      </c>
      <c r="B84" s="38" t="s">
        <v>705</v>
      </c>
      <c r="C84" s="38" t="s">
        <v>740</v>
      </c>
      <c r="D84" s="38" t="s">
        <v>741</v>
      </c>
      <c r="E84" s="39">
        <v>12</v>
      </c>
      <c r="F84" s="38" t="s">
        <v>583</v>
      </c>
      <c r="G84" s="38" t="s">
        <v>584</v>
      </c>
      <c r="H84" t="s">
        <v>585</v>
      </c>
    </row>
    <row r="85" spans="1:8">
      <c r="A85" s="38" t="s">
        <v>704</v>
      </c>
      <c r="B85" s="38" t="s">
        <v>705</v>
      </c>
      <c r="C85" s="38" t="s">
        <v>586</v>
      </c>
      <c r="D85" s="38" t="s">
        <v>587</v>
      </c>
      <c r="E85" s="39">
        <v>30240</v>
      </c>
      <c r="F85" s="38" t="s">
        <v>583</v>
      </c>
      <c r="G85" s="38" t="s">
        <v>584</v>
      </c>
      <c r="H85" t="s">
        <v>585</v>
      </c>
    </row>
    <row r="86" spans="1:8">
      <c r="A86" s="38" t="s">
        <v>704</v>
      </c>
      <c r="B86" s="38" t="s">
        <v>705</v>
      </c>
      <c r="C86" s="38" t="s">
        <v>692</v>
      </c>
      <c r="D86" s="38" t="s">
        <v>693</v>
      </c>
      <c r="E86" s="39">
        <v>1.3512999999999999</v>
      </c>
      <c r="F86" s="38" t="s">
        <v>583</v>
      </c>
      <c r="G86" s="38" t="s">
        <v>584</v>
      </c>
      <c r="H86" t="s">
        <v>585</v>
      </c>
    </row>
    <row r="87" spans="1:8">
      <c r="A87" s="38" t="s">
        <v>742</v>
      </c>
      <c r="B87" s="38" t="s">
        <v>743</v>
      </c>
      <c r="C87" s="38" t="s">
        <v>744</v>
      </c>
      <c r="D87" s="38" t="s">
        <v>745</v>
      </c>
      <c r="E87" s="39">
        <v>21.6</v>
      </c>
      <c r="F87" s="38" t="s">
        <v>592</v>
      </c>
      <c r="G87" s="38" t="s">
        <v>593</v>
      </c>
      <c r="H87" t="s">
        <v>585</v>
      </c>
    </row>
    <row r="88" spans="1:8">
      <c r="A88" s="38" t="s">
        <v>746</v>
      </c>
      <c r="B88" s="38" t="s">
        <v>747</v>
      </c>
      <c r="C88" s="38" t="s">
        <v>744</v>
      </c>
      <c r="D88" s="38" t="s">
        <v>745</v>
      </c>
      <c r="E88" s="39">
        <v>3.4000000000000004</v>
      </c>
      <c r="F88" s="38" t="s">
        <v>592</v>
      </c>
      <c r="G88" s="38" t="s">
        <v>593</v>
      </c>
      <c r="H88" t="s">
        <v>585</v>
      </c>
    </row>
    <row r="89" spans="1:8">
      <c r="A89" s="38" t="s">
        <v>748</v>
      </c>
      <c r="B89" s="38" t="s">
        <v>749</v>
      </c>
      <c r="C89" s="38" t="s">
        <v>750</v>
      </c>
      <c r="D89" s="38" t="s">
        <v>751</v>
      </c>
      <c r="E89" s="39">
        <v>684</v>
      </c>
      <c r="F89" s="38" t="s">
        <v>592</v>
      </c>
      <c r="G89" s="38" t="s">
        <v>593</v>
      </c>
      <c r="H89" t="s">
        <v>585</v>
      </c>
    </row>
    <row r="90" spans="1:8">
      <c r="A90" s="38" t="s">
        <v>752</v>
      </c>
      <c r="B90" s="38" t="s">
        <v>753</v>
      </c>
      <c r="C90" s="38" t="s">
        <v>754</v>
      </c>
      <c r="D90" s="38" t="s">
        <v>755</v>
      </c>
      <c r="E90" s="39">
        <v>6.8</v>
      </c>
      <c r="F90" s="38" t="s">
        <v>592</v>
      </c>
      <c r="G90" s="38" t="s">
        <v>593</v>
      </c>
      <c r="H90" t="s">
        <v>585</v>
      </c>
    </row>
    <row r="91" spans="1:8">
      <c r="A91" s="38" t="s">
        <v>752</v>
      </c>
      <c r="B91" s="38" t="s">
        <v>753</v>
      </c>
      <c r="C91" s="38" t="s">
        <v>756</v>
      </c>
      <c r="D91" s="38" t="s">
        <v>757</v>
      </c>
      <c r="E91" s="39">
        <v>7.9</v>
      </c>
      <c r="F91" s="38" t="s">
        <v>592</v>
      </c>
      <c r="G91" s="38" t="s">
        <v>593</v>
      </c>
      <c r="H91" t="s">
        <v>585</v>
      </c>
    </row>
    <row r="92" spans="1:8">
      <c r="A92" s="38" t="s">
        <v>752</v>
      </c>
      <c r="B92" s="38" t="s">
        <v>753</v>
      </c>
      <c r="C92" s="38" t="s">
        <v>758</v>
      </c>
      <c r="D92" s="38" t="s">
        <v>759</v>
      </c>
      <c r="E92" s="39">
        <v>9</v>
      </c>
      <c r="F92" s="38" t="s">
        <v>592</v>
      </c>
      <c r="G92" s="38" t="s">
        <v>593</v>
      </c>
      <c r="H92" t="s">
        <v>585</v>
      </c>
    </row>
    <row r="93" spans="1:8">
      <c r="A93" s="38" t="s">
        <v>760</v>
      </c>
      <c r="B93" s="38" t="s">
        <v>761</v>
      </c>
      <c r="C93" s="38" t="s">
        <v>762</v>
      </c>
      <c r="D93" s="38" t="s">
        <v>763</v>
      </c>
      <c r="E93" s="39">
        <v>25</v>
      </c>
      <c r="F93" s="38" t="s">
        <v>592</v>
      </c>
      <c r="G93" s="38" t="s">
        <v>593</v>
      </c>
      <c r="H93" t="s">
        <v>585</v>
      </c>
    </row>
    <row r="94" spans="1:8">
      <c r="A94" s="38" t="s">
        <v>760</v>
      </c>
      <c r="B94" s="38" t="s">
        <v>761</v>
      </c>
      <c r="C94" s="38" t="s">
        <v>764</v>
      </c>
      <c r="D94" s="38" t="s">
        <v>765</v>
      </c>
      <c r="E94" s="39">
        <v>25</v>
      </c>
      <c r="F94" s="38" t="s">
        <v>592</v>
      </c>
      <c r="G94" s="38" t="s">
        <v>593</v>
      </c>
      <c r="H94" t="s">
        <v>585</v>
      </c>
    </row>
    <row r="95" spans="1:8">
      <c r="A95" s="38" t="s">
        <v>760</v>
      </c>
      <c r="B95" s="38" t="s">
        <v>761</v>
      </c>
      <c r="C95" s="38" t="s">
        <v>766</v>
      </c>
      <c r="D95" s="38" t="s">
        <v>767</v>
      </c>
      <c r="E95" s="39">
        <v>2.5</v>
      </c>
      <c r="F95" s="38" t="s">
        <v>592</v>
      </c>
      <c r="G95" s="38" t="s">
        <v>593</v>
      </c>
      <c r="H95" t="s">
        <v>585</v>
      </c>
    </row>
    <row r="96" spans="1:8">
      <c r="A96" s="38" t="s">
        <v>768</v>
      </c>
      <c r="B96" s="38" t="s">
        <v>769</v>
      </c>
      <c r="C96" s="38" t="s">
        <v>762</v>
      </c>
      <c r="D96" s="38" t="s">
        <v>763</v>
      </c>
      <c r="E96" s="39">
        <v>6</v>
      </c>
      <c r="F96" s="38" t="s">
        <v>592</v>
      </c>
      <c r="G96" s="38" t="s">
        <v>593</v>
      </c>
      <c r="H96" t="s">
        <v>585</v>
      </c>
    </row>
    <row r="97" spans="1:8">
      <c r="A97" s="38" t="s">
        <v>770</v>
      </c>
      <c r="B97" s="38" t="s">
        <v>771</v>
      </c>
      <c r="C97" s="38" t="s">
        <v>744</v>
      </c>
      <c r="D97" s="38" t="s">
        <v>745</v>
      </c>
      <c r="E97" s="39">
        <v>2.6</v>
      </c>
      <c r="F97" s="38" t="s">
        <v>592</v>
      </c>
      <c r="G97" s="38" t="s">
        <v>593</v>
      </c>
      <c r="H97" t="s">
        <v>585</v>
      </c>
    </row>
    <row r="98" spans="1:8">
      <c r="A98" s="38" t="s">
        <v>772</v>
      </c>
      <c r="B98" s="38" t="s">
        <v>773</v>
      </c>
      <c r="C98" s="38" t="s">
        <v>744</v>
      </c>
      <c r="D98" s="38" t="s">
        <v>745</v>
      </c>
      <c r="E98" s="39">
        <v>42.899999999999991</v>
      </c>
      <c r="F98" s="38" t="s">
        <v>592</v>
      </c>
      <c r="G98" s="38" t="s">
        <v>593</v>
      </c>
      <c r="H98" t="s">
        <v>585</v>
      </c>
    </row>
    <row r="99" spans="1:8">
      <c r="A99" s="38" t="s">
        <v>774</v>
      </c>
      <c r="B99" s="38" t="s">
        <v>775</v>
      </c>
      <c r="C99" s="38" t="s">
        <v>776</v>
      </c>
      <c r="D99" s="38" t="s">
        <v>777</v>
      </c>
      <c r="E99" s="39">
        <v>20</v>
      </c>
      <c r="F99" s="38" t="s">
        <v>592</v>
      </c>
      <c r="G99" s="38" t="s">
        <v>593</v>
      </c>
      <c r="H99" t="s">
        <v>585</v>
      </c>
    </row>
    <row r="100" spans="1:8">
      <c r="A100" s="38" t="s">
        <v>778</v>
      </c>
      <c r="B100" s="38" t="s">
        <v>779</v>
      </c>
      <c r="C100" s="38" t="s">
        <v>780</v>
      </c>
      <c r="D100" s="38" t="s">
        <v>781</v>
      </c>
      <c r="E100" s="39">
        <v>50.400000000000013</v>
      </c>
      <c r="F100" s="38" t="s">
        <v>592</v>
      </c>
      <c r="G100" s="38" t="s">
        <v>593</v>
      </c>
      <c r="H100" t="s">
        <v>585</v>
      </c>
    </row>
    <row r="101" spans="1:8">
      <c r="A101" s="38" t="s">
        <v>778</v>
      </c>
      <c r="B101" s="38" t="s">
        <v>779</v>
      </c>
      <c r="C101" s="38" t="s">
        <v>782</v>
      </c>
      <c r="D101" s="38" t="s">
        <v>783</v>
      </c>
      <c r="E101" s="39">
        <v>1120</v>
      </c>
      <c r="F101" s="38" t="s">
        <v>592</v>
      </c>
      <c r="G101" s="38" t="s">
        <v>593</v>
      </c>
      <c r="H101" t="s">
        <v>585</v>
      </c>
    </row>
    <row r="102" spans="1:8">
      <c r="A102" s="38" t="s">
        <v>778</v>
      </c>
      <c r="B102" s="38" t="s">
        <v>779</v>
      </c>
      <c r="C102" s="38" t="s">
        <v>784</v>
      </c>
      <c r="D102" s="38" t="s">
        <v>785</v>
      </c>
      <c r="E102" s="39">
        <v>140</v>
      </c>
      <c r="F102" s="38" t="s">
        <v>592</v>
      </c>
      <c r="G102" s="38" t="s">
        <v>593</v>
      </c>
      <c r="H102" t="s">
        <v>585</v>
      </c>
    </row>
    <row r="103" spans="1:8">
      <c r="A103" s="38" t="s">
        <v>786</v>
      </c>
      <c r="B103" s="38" t="s">
        <v>173</v>
      </c>
      <c r="C103" s="38" t="s">
        <v>744</v>
      </c>
      <c r="D103" s="38" t="s">
        <v>745</v>
      </c>
      <c r="E103" s="39">
        <v>32</v>
      </c>
      <c r="F103" s="38" t="s">
        <v>592</v>
      </c>
      <c r="G103" s="38" t="s">
        <v>593</v>
      </c>
      <c r="H103" t="s">
        <v>585</v>
      </c>
    </row>
    <row r="104" spans="1:8">
      <c r="A104" s="38" t="s">
        <v>787</v>
      </c>
      <c r="B104" s="38" t="s">
        <v>788</v>
      </c>
      <c r="C104" s="38" t="s">
        <v>750</v>
      </c>
      <c r="D104" s="38" t="s">
        <v>751</v>
      </c>
      <c r="E104" s="39">
        <v>180</v>
      </c>
      <c r="F104" s="38" t="s">
        <v>592</v>
      </c>
      <c r="G104" s="38" t="s">
        <v>593</v>
      </c>
      <c r="H104" t="s">
        <v>585</v>
      </c>
    </row>
    <row r="105" spans="1:8">
      <c r="A105" s="38" t="s">
        <v>789</v>
      </c>
      <c r="B105" s="38" t="s">
        <v>790</v>
      </c>
      <c r="C105" s="38" t="s">
        <v>744</v>
      </c>
      <c r="D105" s="38" t="s">
        <v>745</v>
      </c>
      <c r="E105" s="39">
        <v>10.8</v>
      </c>
      <c r="F105" s="38" t="s">
        <v>592</v>
      </c>
      <c r="G105" s="38" t="s">
        <v>593</v>
      </c>
      <c r="H105" t="s">
        <v>585</v>
      </c>
    </row>
    <row r="106" spans="1:8">
      <c r="A106" s="38" t="s">
        <v>791</v>
      </c>
      <c r="B106" s="38" t="s">
        <v>792</v>
      </c>
      <c r="C106" s="38" t="s">
        <v>762</v>
      </c>
      <c r="D106" s="38" t="s">
        <v>763</v>
      </c>
      <c r="E106" s="39">
        <v>16</v>
      </c>
      <c r="F106" s="38" t="s">
        <v>592</v>
      </c>
      <c r="G106" s="38" t="s">
        <v>593</v>
      </c>
      <c r="H106" t="s">
        <v>585</v>
      </c>
    </row>
    <row r="107" spans="1:8">
      <c r="A107" s="38" t="s">
        <v>791</v>
      </c>
      <c r="B107" s="38" t="s">
        <v>792</v>
      </c>
      <c r="C107" s="38" t="s">
        <v>793</v>
      </c>
      <c r="D107" s="38" t="s">
        <v>794</v>
      </c>
      <c r="E107" s="39">
        <v>16</v>
      </c>
      <c r="F107" s="38" t="s">
        <v>592</v>
      </c>
      <c r="G107" s="38" t="s">
        <v>593</v>
      </c>
      <c r="H107" t="s">
        <v>585</v>
      </c>
    </row>
    <row r="108" spans="1:8">
      <c r="A108" s="38" t="s">
        <v>795</v>
      </c>
      <c r="B108" s="38" t="s">
        <v>183</v>
      </c>
      <c r="C108" s="38" t="s">
        <v>796</v>
      </c>
      <c r="D108" s="38" t="s">
        <v>797</v>
      </c>
      <c r="E108" s="39">
        <v>73</v>
      </c>
      <c r="F108" s="38" t="s">
        <v>592</v>
      </c>
      <c r="G108" s="38" t="s">
        <v>593</v>
      </c>
      <c r="H108" t="s">
        <v>585</v>
      </c>
    </row>
    <row r="109" spans="1:8">
      <c r="A109" s="38" t="s">
        <v>798</v>
      </c>
      <c r="B109" s="38" t="s">
        <v>228</v>
      </c>
      <c r="C109" s="38" t="s">
        <v>799</v>
      </c>
      <c r="D109" s="38" t="s">
        <v>800</v>
      </c>
      <c r="E109" s="39">
        <v>919.29</v>
      </c>
      <c r="F109" s="38" t="s">
        <v>583</v>
      </c>
      <c r="G109" s="38" t="s">
        <v>584</v>
      </c>
      <c r="H109" t="s">
        <v>585</v>
      </c>
    </row>
    <row r="110" spans="1:8">
      <c r="A110" s="38" t="s">
        <v>801</v>
      </c>
      <c r="B110" s="38" t="s">
        <v>802</v>
      </c>
      <c r="C110" s="38" t="s">
        <v>600</v>
      </c>
      <c r="D110" s="38" t="s">
        <v>601</v>
      </c>
      <c r="E110" s="39">
        <v>1070</v>
      </c>
      <c r="F110" s="38" t="s">
        <v>583</v>
      </c>
      <c r="G110" s="38" t="s">
        <v>584</v>
      </c>
      <c r="H110" t="s">
        <v>585</v>
      </c>
    </row>
    <row r="111" spans="1:8">
      <c r="A111" s="38" t="s">
        <v>801</v>
      </c>
      <c r="B111" s="38" t="s">
        <v>802</v>
      </c>
      <c r="C111" s="38" t="s">
        <v>586</v>
      </c>
      <c r="D111" s="38" t="s">
        <v>587</v>
      </c>
      <c r="E111" s="39">
        <v>267.5</v>
      </c>
      <c r="F111" s="38" t="s">
        <v>583</v>
      </c>
      <c r="G111" s="38" t="s">
        <v>584</v>
      </c>
      <c r="H111" t="s">
        <v>585</v>
      </c>
    </row>
    <row r="112" spans="1:8">
      <c r="E112"/>
    </row>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sheetData>
  <phoneticPr fontId="3"/>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60"/>
  <sheetViews>
    <sheetView workbookViewId="0">
      <selection sqref="A1:XFD1048576"/>
    </sheetView>
  </sheetViews>
  <sheetFormatPr defaultRowHeight="18"/>
  <cols>
    <col min="1" max="1" width="15.33203125" customWidth="1"/>
    <col min="2" max="2" width="17.1640625" style="40" bestFit="1" customWidth="1"/>
    <col min="4" max="4" width="10.1640625" bestFit="1" customWidth="1"/>
    <col min="5" max="5" width="17.1640625" bestFit="1" customWidth="1"/>
    <col min="6" max="6" width="11.9140625" style="40" bestFit="1" customWidth="1"/>
  </cols>
  <sheetData>
    <row r="1" spans="1:6">
      <c r="A1" t="s">
        <v>1548</v>
      </c>
      <c r="E1" s="40"/>
    </row>
    <row r="2" spans="1:6">
      <c r="E2" s="40"/>
    </row>
    <row r="3" spans="1:6">
      <c r="A3" s="50" t="s">
        <v>1549</v>
      </c>
      <c r="B3" s="116" t="s">
        <v>1550</v>
      </c>
      <c r="D3" t="s">
        <v>1549</v>
      </c>
      <c r="E3" t="s">
        <v>1550</v>
      </c>
      <c r="F3" s="40" t="s">
        <v>1551</v>
      </c>
    </row>
    <row r="4" spans="1:6">
      <c r="A4" s="117" t="s">
        <v>1552</v>
      </c>
      <c r="B4" s="116">
        <v>246945</v>
      </c>
      <c r="D4" s="118" t="s">
        <v>1553</v>
      </c>
      <c r="E4">
        <v>1810915</v>
      </c>
      <c r="F4" s="40">
        <v>99975815.081810802</v>
      </c>
    </row>
    <row r="5" spans="1:6">
      <c r="A5" s="119" t="s">
        <v>156</v>
      </c>
      <c r="B5" s="116">
        <v>17700</v>
      </c>
      <c r="D5" s="118" t="s">
        <v>1552</v>
      </c>
      <c r="E5">
        <v>246945</v>
      </c>
      <c r="F5" s="40">
        <v>13633178.617095649</v>
      </c>
    </row>
    <row r="6" spans="1:6">
      <c r="A6" s="119" t="s">
        <v>825</v>
      </c>
      <c r="B6" s="116">
        <v>900</v>
      </c>
      <c r="D6" s="118" t="s">
        <v>1017</v>
      </c>
      <c r="E6">
        <v>36240</v>
      </c>
      <c r="F6" s="40">
        <v>2000714.3010935485</v>
      </c>
    </row>
    <row r="7" spans="1:6">
      <c r="A7" s="119" t="s">
        <v>821</v>
      </c>
      <c r="B7" s="116">
        <v>5845</v>
      </c>
      <c r="D7" s="118" t="s">
        <v>1554</v>
      </c>
      <c r="E7">
        <v>2094100</v>
      </c>
      <c r="F7" s="40">
        <v>115609708</v>
      </c>
    </row>
    <row r="8" spans="1:6">
      <c r="A8" s="119" t="s">
        <v>816</v>
      </c>
      <c r="B8" s="116">
        <v>440</v>
      </c>
    </row>
    <row r="9" spans="1:6">
      <c r="A9" s="119" t="s">
        <v>909</v>
      </c>
      <c r="B9" s="116">
        <v>1740</v>
      </c>
    </row>
    <row r="10" spans="1:6">
      <c r="A10" s="119" t="s">
        <v>837</v>
      </c>
      <c r="B10" s="116">
        <v>150</v>
      </c>
    </row>
    <row r="11" spans="1:6">
      <c r="A11" s="119" t="s">
        <v>194</v>
      </c>
      <c r="B11" s="116">
        <v>525</v>
      </c>
    </row>
    <row r="12" spans="1:6">
      <c r="A12" s="119" t="s">
        <v>206</v>
      </c>
      <c r="B12" s="116">
        <v>240</v>
      </c>
    </row>
    <row r="13" spans="1:6">
      <c r="A13" s="119" t="s">
        <v>1313</v>
      </c>
      <c r="B13" s="116">
        <v>390</v>
      </c>
    </row>
    <row r="14" spans="1:6">
      <c r="A14" s="119" t="s">
        <v>210</v>
      </c>
      <c r="B14" s="116">
        <v>2825</v>
      </c>
    </row>
    <row r="15" spans="1:6">
      <c r="A15" s="119" t="s">
        <v>842</v>
      </c>
      <c r="B15" s="116">
        <v>30</v>
      </c>
      <c r="E15" t="s">
        <v>1553</v>
      </c>
      <c r="F15" s="40">
        <v>99975815.081810802</v>
      </c>
    </row>
    <row r="16" spans="1:6">
      <c r="A16" s="119" t="s">
        <v>827</v>
      </c>
      <c r="B16" s="116">
        <v>7380</v>
      </c>
      <c r="E16" t="s">
        <v>1552</v>
      </c>
      <c r="F16" s="40">
        <v>13633178.617095649</v>
      </c>
    </row>
    <row r="17" spans="1:6">
      <c r="A17" s="119" t="s">
        <v>829</v>
      </c>
      <c r="B17" s="116">
        <v>9790</v>
      </c>
      <c r="E17" s="115" t="s">
        <v>1554</v>
      </c>
      <c r="F17" s="120">
        <v>113608993.69890645</v>
      </c>
    </row>
    <row r="18" spans="1:6">
      <c r="A18" s="119" t="s">
        <v>879</v>
      </c>
      <c r="B18" s="116">
        <v>19795</v>
      </c>
      <c r="F18" s="40" t="s">
        <v>1555</v>
      </c>
    </row>
    <row r="19" spans="1:6">
      <c r="A19" s="119" t="s">
        <v>832</v>
      </c>
      <c r="B19" s="116">
        <v>8030</v>
      </c>
    </row>
    <row r="20" spans="1:6">
      <c r="A20" s="119" t="s">
        <v>589</v>
      </c>
      <c r="B20" s="116">
        <v>21280</v>
      </c>
    </row>
    <row r="21" spans="1:6">
      <c r="A21" s="119" t="s">
        <v>595</v>
      </c>
      <c r="B21" s="116">
        <v>2185</v>
      </c>
    </row>
    <row r="22" spans="1:6">
      <c r="A22" s="119" t="s">
        <v>597</v>
      </c>
      <c r="B22" s="116">
        <v>200</v>
      </c>
    </row>
    <row r="23" spans="1:6">
      <c r="A23" s="119" t="s">
        <v>639</v>
      </c>
      <c r="B23" s="116">
        <v>15970</v>
      </c>
    </row>
    <row r="24" spans="1:6">
      <c r="A24" s="119" t="s">
        <v>705</v>
      </c>
      <c r="B24" s="116">
        <v>12755</v>
      </c>
    </row>
    <row r="25" spans="1:6">
      <c r="A25" s="119" t="s">
        <v>792</v>
      </c>
      <c r="B25" s="116">
        <v>195</v>
      </c>
    </row>
    <row r="26" spans="1:6">
      <c r="A26" s="119" t="s">
        <v>860</v>
      </c>
      <c r="B26" s="116">
        <v>1295</v>
      </c>
    </row>
    <row r="27" spans="1:6">
      <c r="A27" s="119" t="s">
        <v>747</v>
      </c>
      <c r="B27" s="116">
        <v>335</v>
      </c>
    </row>
    <row r="28" spans="1:6">
      <c r="A28" s="119" t="s">
        <v>749</v>
      </c>
      <c r="B28" s="116">
        <v>1820</v>
      </c>
    </row>
    <row r="29" spans="1:6">
      <c r="A29" s="119" t="s">
        <v>862</v>
      </c>
      <c r="B29" s="116">
        <v>370</v>
      </c>
    </row>
    <row r="30" spans="1:6">
      <c r="A30" s="119" t="s">
        <v>864</v>
      </c>
      <c r="B30" s="116">
        <v>180</v>
      </c>
    </row>
    <row r="31" spans="1:6">
      <c r="A31" s="119" t="s">
        <v>753</v>
      </c>
      <c r="B31" s="116">
        <v>385</v>
      </c>
    </row>
    <row r="32" spans="1:6">
      <c r="A32" s="119" t="s">
        <v>868</v>
      </c>
      <c r="B32" s="116">
        <v>360</v>
      </c>
    </row>
    <row r="33" spans="1:2">
      <c r="A33" s="119" t="s">
        <v>901</v>
      </c>
      <c r="B33" s="116">
        <v>490</v>
      </c>
    </row>
    <row r="34" spans="1:2">
      <c r="A34" s="119" t="s">
        <v>761</v>
      </c>
      <c r="B34" s="116">
        <v>640</v>
      </c>
    </row>
    <row r="35" spans="1:2">
      <c r="A35" s="119" t="s">
        <v>769</v>
      </c>
      <c r="B35" s="116">
        <v>170</v>
      </c>
    </row>
    <row r="36" spans="1:2">
      <c r="A36" s="119" t="s">
        <v>857</v>
      </c>
      <c r="B36" s="116">
        <v>5855</v>
      </c>
    </row>
    <row r="37" spans="1:2">
      <c r="A37" s="119" t="s">
        <v>743</v>
      </c>
      <c r="B37" s="116">
        <v>375</v>
      </c>
    </row>
    <row r="38" spans="1:2">
      <c r="A38" s="119" t="s">
        <v>128</v>
      </c>
      <c r="B38" s="116">
        <v>270</v>
      </c>
    </row>
    <row r="39" spans="1:2">
      <c r="A39" s="119" t="s">
        <v>899</v>
      </c>
      <c r="B39" s="116">
        <v>210</v>
      </c>
    </row>
    <row r="40" spans="1:2">
      <c r="A40" s="119" t="s">
        <v>844</v>
      </c>
      <c r="B40" s="116">
        <v>25295</v>
      </c>
    </row>
    <row r="41" spans="1:2">
      <c r="A41" s="119" t="s">
        <v>874</v>
      </c>
      <c r="B41" s="116">
        <v>10640</v>
      </c>
    </row>
    <row r="42" spans="1:2">
      <c r="A42" s="119" t="s">
        <v>790</v>
      </c>
      <c r="B42" s="116">
        <v>85</v>
      </c>
    </row>
    <row r="43" spans="1:2">
      <c r="A43" s="119" t="s">
        <v>872</v>
      </c>
      <c r="B43" s="116">
        <v>920</v>
      </c>
    </row>
    <row r="44" spans="1:2">
      <c r="A44" s="119" t="s">
        <v>771</v>
      </c>
      <c r="B44" s="116">
        <v>170</v>
      </c>
    </row>
    <row r="45" spans="1:2">
      <c r="A45" s="119" t="s">
        <v>866</v>
      </c>
      <c r="B45" s="116">
        <v>20760</v>
      </c>
    </row>
    <row r="46" spans="1:2">
      <c r="A46" s="119" t="s">
        <v>877</v>
      </c>
      <c r="B46" s="116">
        <v>22475</v>
      </c>
    </row>
    <row r="47" spans="1:2">
      <c r="A47" s="119" t="s">
        <v>773</v>
      </c>
      <c r="B47" s="116">
        <v>650</v>
      </c>
    </row>
    <row r="48" spans="1:2">
      <c r="A48" s="119" t="s">
        <v>775</v>
      </c>
      <c r="B48" s="116">
        <v>850</v>
      </c>
    </row>
    <row r="49" spans="1:2">
      <c r="A49" s="119" t="s">
        <v>779</v>
      </c>
      <c r="B49" s="116">
        <v>4225</v>
      </c>
    </row>
    <row r="50" spans="1:2">
      <c r="A50" s="119" t="s">
        <v>172</v>
      </c>
      <c r="B50" s="116">
        <v>4140</v>
      </c>
    </row>
    <row r="51" spans="1:2">
      <c r="A51" s="119" t="s">
        <v>173</v>
      </c>
      <c r="B51" s="116">
        <v>450</v>
      </c>
    </row>
    <row r="52" spans="1:2">
      <c r="A52" s="119" t="s">
        <v>788</v>
      </c>
      <c r="B52" s="116">
        <v>380</v>
      </c>
    </row>
    <row r="53" spans="1:2">
      <c r="A53" s="119" t="s">
        <v>882</v>
      </c>
      <c r="B53" s="116">
        <v>170</v>
      </c>
    </row>
    <row r="54" spans="1:2">
      <c r="A54" s="119" t="s">
        <v>894</v>
      </c>
      <c r="B54" s="116">
        <v>2940</v>
      </c>
    </row>
    <row r="55" spans="1:2">
      <c r="A55" s="119" t="s">
        <v>1556</v>
      </c>
      <c r="B55" s="116">
        <v>660</v>
      </c>
    </row>
    <row r="56" spans="1:2">
      <c r="A56" s="119" t="s">
        <v>884</v>
      </c>
      <c r="B56" s="116">
        <v>5615</v>
      </c>
    </row>
    <row r="57" spans="1:2">
      <c r="A57" s="119" t="s">
        <v>903</v>
      </c>
      <c r="B57" s="116">
        <v>260</v>
      </c>
    </row>
    <row r="58" spans="1:2">
      <c r="A58" s="119" t="s">
        <v>890</v>
      </c>
      <c r="B58" s="116">
        <v>3750</v>
      </c>
    </row>
    <row r="59" spans="1:2">
      <c r="A59" s="119" t="s">
        <v>183</v>
      </c>
      <c r="B59" s="116">
        <v>1090</v>
      </c>
    </row>
    <row r="60" spans="1:2">
      <c r="A60" s="119" t="s">
        <v>886</v>
      </c>
      <c r="B60" s="116">
        <v>300</v>
      </c>
    </row>
  </sheetData>
  <phoneticPr fontId="3"/>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4"/>
  <sheetViews>
    <sheetView topLeftCell="A91" workbookViewId="0">
      <selection sqref="A1:XFD1048576"/>
    </sheetView>
  </sheetViews>
  <sheetFormatPr defaultColWidth="8.1640625" defaultRowHeight="18"/>
  <cols>
    <col min="1" max="1" width="13.1640625" customWidth="1"/>
    <col min="2" max="2" width="12.5" bestFit="1" customWidth="1"/>
    <col min="3" max="4" width="22" customWidth="1"/>
    <col min="5" max="5" width="22" style="51" customWidth="1"/>
  </cols>
  <sheetData>
    <row r="1" spans="1:5" ht="39">
      <c r="A1" s="45" t="s">
        <v>572</v>
      </c>
      <c r="B1" s="45" t="s">
        <v>573</v>
      </c>
      <c r="C1" s="46" t="s">
        <v>905</v>
      </c>
      <c r="D1" s="46" t="s">
        <v>906</v>
      </c>
      <c r="E1" s="46" t="s">
        <v>907</v>
      </c>
    </row>
    <row r="2" spans="1:5">
      <c r="A2" s="47" t="s">
        <v>811</v>
      </c>
      <c r="B2" s="47" t="s">
        <v>812</v>
      </c>
      <c r="C2" s="48">
        <v>663.5</v>
      </c>
      <c r="D2" s="49">
        <v>0</v>
      </c>
      <c r="E2" s="49">
        <f>C2-D2</f>
        <v>663.5</v>
      </c>
    </row>
    <row r="3" spans="1:5">
      <c r="A3" s="47" t="s">
        <v>820</v>
      </c>
      <c r="B3" s="47" t="s">
        <v>821</v>
      </c>
      <c r="C3" s="48">
        <v>15343</v>
      </c>
      <c r="D3" s="49">
        <v>15498.5</v>
      </c>
      <c r="E3" s="49">
        <f t="shared" ref="E3:E66" si="0">C3-D3</f>
        <v>-155.5</v>
      </c>
    </row>
    <row r="4" spans="1:5">
      <c r="A4" s="47" t="s">
        <v>815</v>
      </c>
      <c r="B4" s="47" t="s">
        <v>816</v>
      </c>
      <c r="C4" s="48">
        <v>5715.5</v>
      </c>
      <c r="D4" s="49">
        <v>2305</v>
      </c>
      <c r="E4" s="49">
        <f t="shared" si="0"/>
        <v>3410.5</v>
      </c>
    </row>
    <row r="5" spans="1:5">
      <c r="A5" s="47" t="s">
        <v>824</v>
      </c>
      <c r="B5" s="47" t="s">
        <v>825</v>
      </c>
      <c r="C5" s="48">
        <v>3320</v>
      </c>
      <c r="D5" s="49">
        <v>3357</v>
      </c>
      <c r="E5" s="49">
        <f t="shared" si="0"/>
        <v>-37</v>
      </c>
    </row>
    <row r="6" spans="1:5">
      <c r="A6" s="47" t="s">
        <v>822</v>
      </c>
      <c r="B6" s="47" t="s">
        <v>823</v>
      </c>
      <c r="C6" s="48">
        <v>3488</v>
      </c>
      <c r="D6" s="49">
        <v>0</v>
      </c>
      <c r="E6" s="49">
        <f t="shared" si="0"/>
        <v>3488</v>
      </c>
    </row>
    <row r="7" spans="1:5">
      <c r="A7" s="47" t="s">
        <v>908</v>
      </c>
      <c r="B7" s="47" t="s">
        <v>909</v>
      </c>
      <c r="C7" s="48">
        <v>5590</v>
      </c>
      <c r="D7" s="49">
        <v>5595.7000000000007</v>
      </c>
      <c r="E7" s="49">
        <f t="shared" si="0"/>
        <v>-5.7000000000007276</v>
      </c>
    </row>
    <row r="8" spans="1:5">
      <c r="A8" s="47" t="s">
        <v>836</v>
      </c>
      <c r="B8" s="47" t="s">
        <v>837</v>
      </c>
      <c r="C8" s="48">
        <v>396</v>
      </c>
      <c r="D8" s="49">
        <v>398.5</v>
      </c>
      <c r="E8" s="49">
        <f t="shared" si="0"/>
        <v>-2.5</v>
      </c>
    </row>
    <row r="9" spans="1:5">
      <c r="A9" s="47" t="s">
        <v>895</v>
      </c>
      <c r="B9" s="47" t="s">
        <v>194</v>
      </c>
      <c r="C9" s="48">
        <v>1166.5</v>
      </c>
      <c r="D9" s="49">
        <v>1176</v>
      </c>
      <c r="E9" s="49">
        <f t="shared" si="0"/>
        <v>-9.5</v>
      </c>
    </row>
    <row r="10" spans="1:5">
      <c r="A10" s="47" t="s">
        <v>813</v>
      </c>
      <c r="B10" s="47" t="s">
        <v>210</v>
      </c>
      <c r="C10" s="48">
        <v>7344.5</v>
      </c>
      <c r="D10" s="49">
        <v>7418.7000000000007</v>
      </c>
      <c r="E10" s="49">
        <f t="shared" si="0"/>
        <v>-74.200000000000728</v>
      </c>
    </row>
    <row r="11" spans="1:5">
      <c r="A11" s="47" t="s">
        <v>826</v>
      </c>
      <c r="B11" s="47" t="s">
        <v>827</v>
      </c>
      <c r="C11" s="48">
        <v>33370.5</v>
      </c>
      <c r="D11" s="49">
        <v>21593.4</v>
      </c>
      <c r="E11" s="49">
        <f t="shared" si="0"/>
        <v>11777.099999999999</v>
      </c>
    </row>
    <row r="12" spans="1:5">
      <c r="A12" s="47" t="s">
        <v>828</v>
      </c>
      <c r="B12" s="47" t="s">
        <v>829</v>
      </c>
      <c r="C12" s="48">
        <v>17755</v>
      </c>
      <c r="D12" s="49">
        <v>0</v>
      </c>
      <c r="E12" s="49">
        <f t="shared" si="0"/>
        <v>17755</v>
      </c>
    </row>
    <row r="13" spans="1:5">
      <c r="A13" s="47" t="s">
        <v>588</v>
      </c>
      <c r="B13" s="47" t="s">
        <v>589</v>
      </c>
      <c r="C13" s="48">
        <v>67339</v>
      </c>
      <c r="D13" s="49">
        <v>67787.299999999959</v>
      </c>
      <c r="E13" s="49">
        <f t="shared" si="0"/>
        <v>-448.29999999995925</v>
      </c>
    </row>
    <row r="14" spans="1:5">
      <c r="A14" s="47" t="s">
        <v>878</v>
      </c>
      <c r="B14" s="47" t="s">
        <v>879</v>
      </c>
      <c r="C14" s="48">
        <v>52600.5</v>
      </c>
      <c r="D14" s="49">
        <v>53181.599999999977</v>
      </c>
      <c r="E14" s="49">
        <f t="shared" si="0"/>
        <v>-581.09999999997672</v>
      </c>
    </row>
    <row r="15" spans="1:5">
      <c r="A15" s="47" t="s">
        <v>831</v>
      </c>
      <c r="B15" s="47" t="s">
        <v>832</v>
      </c>
      <c r="C15" s="48">
        <v>48216.5</v>
      </c>
      <c r="D15" s="49">
        <v>24828.7</v>
      </c>
      <c r="E15" s="49">
        <f t="shared" si="0"/>
        <v>23387.8</v>
      </c>
    </row>
    <row r="16" spans="1:5">
      <c r="A16" s="47" t="s">
        <v>594</v>
      </c>
      <c r="B16" s="47" t="s">
        <v>595</v>
      </c>
      <c r="C16" s="48">
        <v>44904.5</v>
      </c>
      <c r="D16" s="49">
        <v>0</v>
      </c>
      <c r="E16" s="49">
        <f t="shared" si="0"/>
        <v>44904.5</v>
      </c>
    </row>
    <row r="17" spans="1:5">
      <c r="A17" s="47" t="s">
        <v>910</v>
      </c>
      <c r="B17" s="47" t="s">
        <v>218</v>
      </c>
      <c r="C17" s="48">
        <v>279283.5</v>
      </c>
      <c r="D17" s="49">
        <v>287844.67999999953</v>
      </c>
      <c r="E17" s="49">
        <f t="shared" si="0"/>
        <v>-8561.1799999995274</v>
      </c>
    </row>
    <row r="18" spans="1:5">
      <c r="A18" s="47" t="s">
        <v>911</v>
      </c>
      <c r="B18" s="47" t="s">
        <v>912</v>
      </c>
      <c r="C18" s="48">
        <v>86255</v>
      </c>
      <c r="D18" s="49">
        <v>89879.28</v>
      </c>
      <c r="E18" s="49">
        <f t="shared" si="0"/>
        <v>-3624.2799999999988</v>
      </c>
    </row>
    <row r="19" spans="1:5">
      <c r="A19" s="47" t="s">
        <v>596</v>
      </c>
      <c r="B19" s="47" t="s">
        <v>597</v>
      </c>
      <c r="C19" s="48">
        <v>6860</v>
      </c>
      <c r="D19" s="49">
        <v>6861.9299999999985</v>
      </c>
      <c r="E19" s="49">
        <f t="shared" si="0"/>
        <v>-1.929999999998472</v>
      </c>
    </row>
    <row r="20" spans="1:5">
      <c r="A20" s="47" t="s">
        <v>638</v>
      </c>
      <c r="B20" s="47" t="s">
        <v>639</v>
      </c>
      <c r="C20" s="48">
        <v>28570.78000000001</v>
      </c>
      <c r="D20" s="49">
        <v>28570.780000000013</v>
      </c>
      <c r="E20" s="49">
        <f t="shared" si="0"/>
        <v>0</v>
      </c>
    </row>
    <row r="21" spans="1:5">
      <c r="A21" s="47" t="s">
        <v>704</v>
      </c>
      <c r="B21" s="47" t="s">
        <v>705</v>
      </c>
      <c r="C21" s="48">
        <v>418.8</v>
      </c>
      <c r="D21" s="49">
        <v>418.8</v>
      </c>
      <c r="E21" s="49">
        <f t="shared" si="0"/>
        <v>0</v>
      </c>
    </row>
    <row r="22" spans="1:5">
      <c r="A22" s="47" t="s">
        <v>834</v>
      </c>
      <c r="B22" s="47" t="s">
        <v>835</v>
      </c>
      <c r="C22" s="48">
        <v>564.5</v>
      </c>
      <c r="D22" s="49">
        <v>0</v>
      </c>
      <c r="E22" s="49">
        <f t="shared" si="0"/>
        <v>564.5</v>
      </c>
    </row>
    <row r="23" spans="1:5">
      <c r="A23" s="47" t="s">
        <v>838</v>
      </c>
      <c r="B23" s="47" t="s">
        <v>156</v>
      </c>
      <c r="C23" s="48">
        <v>51183.5</v>
      </c>
      <c r="D23" s="49">
        <v>34152</v>
      </c>
      <c r="E23" s="49">
        <f t="shared" si="0"/>
        <v>17031.5</v>
      </c>
    </row>
    <row r="24" spans="1:5">
      <c r="A24" s="47" t="s">
        <v>841</v>
      </c>
      <c r="B24" s="47" t="s">
        <v>842</v>
      </c>
      <c r="C24" s="48">
        <v>37166.5</v>
      </c>
      <c r="D24" s="49">
        <v>0</v>
      </c>
      <c r="E24" s="49">
        <f t="shared" si="0"/>
        <v>37166.5</v>
      </c>
    </row>
    <row r="25" spans="1:5">
      <c r="A25" s="47" t="s">
        <v>845</v>
      </c>
      <c r="B25" s="47" t="s">
        <v>846</v>
      </c>
      <c r="C25" s="48">
        <v>4711.5</v>
      </c>
      <c r="D25" s="49">
        <v>389.5</v>
      </c>
      <c r="E25" s="49">
        <f t="shared" si="0"/>
        <v>4322</v>
      </c>
    </row>
    <row r="26" spans="1:5">
      <c r="A26" s="47" t="s">
        <v>849</v>
      </c>
      <c r="B26" s="47" t="s">
        <v>850</v>
      </c>
      <c r="C26" s="48">
        <v>3540</v>
      </c>
      <c r="D26" s="49">
        <v>0</v>
      </c>
      <c r="E26" s="49">
        <f t="shared" si="0"/>
        <v>3540</v>
      </c>
    </row>
    <row r="27" spans="1:5">
      <c r="A27" s="47" t="s">
        <v>851</v>
      </c>
      <c r="B27" s="47" t="s">
        <v>852</v>
      </c>
      <c r="C27" s="48">
        <v>402</v>
      </c>
      <c r="D27" s="49">
        <v>0</v>
      </c>
      <c r="E27" s="49">
        <f t="shared" si="0"/>
        <v>402</v>
      </c>
    </row>
    <row r="28" spans="1:5">
      <c r="A28" s="47" t="s">
        <v>855</v>
      </c>
      <c r="B28" s="47" t="s">
        <v>128</v>
      </c>
      <c r="C28" s="48">
        <v>15334</v>
      </c>
      <c r="D28" s="49">
        <v>0</v>
      </c>
      <c r="E28" s="49">
        <f t="shared" si="0"/>
        <v>15334</v>
      </c>
    </row>
    <row r="29" spans="1:5">
      <c r="A29" s="47" t="s">
        <v>856</v>
      </c>
      <c r="B29" s="47" t="s">
        <v>857</v>
      </c>
      <c r="C29" s="48">
        <v>19630</v>
      </c>
      <c r="D29" s="49">
        <v>0</v>
      </c>
      <c r="E29" s="49">
        <f t="shared" si="0"/>
        <v>19630</v>
      </c>
    </row>
    <row r="30" spans="1:5">
      <c r="A30" s="47" t="s">
        <v>859</v>
      </c>
      <c r="B30" s="47" t="s">
        <v>860</v>
      </c>
      <c r="C30" s="48">
        <v>3528</v>
      </c>
      <c r="D30" s="49">
        <v>764.5</v>
      </c>
      <c r="E30" s="49">
        <f t="shared" si="0"/>
        <v>2763.5</v>
      </c>
    </row>
    <row r="31" spans="1:5">
      <c r="A31" s="47" t="s">
        <v>861</v>
      </c>
      <c r="B31" s="47" t="s">
        <v>862</v>
      </c>
      <c r="C31" s="48">
        <v>399.5</v>
      </c>
      <c r="D31" s="49">
        <v>0</v>
      </c>
      <c r="E31" s="49">
        <f t="shared" si="0"/>
        <v>399.5</v>
      </c>
    </row>
    <row r="32" spans="1:5">
      <c r="A32" s="47" t="s">
        <v>863</v>
      </c>
      <c r="B32" s="47" t="s">
        <v>864</v>
      </c>
      <c r="C32" s="48">
        <v>299.5</v>
      </c>
      <c r="D32" s="49">
        <v>0</v>
      </c>
      <c r="E32" s="49">
        <f t="shared" si="0"/>
        <v>299.5</v>
      </c>
    </row>
    <row r="33" spans="1:5">
      <c r="A33" s="47" t="s">
        <v>867</v>
      </c>
      <c r="B33" s="47" t="s">
        <v>868</v>
      </c>
      <c r="C33" s="48">
        <v>546.5</v>
      </c>
      <c r="D33" s="49">
        <v>0</v>
      </c>
      <c r="E33" s="49">
        <f t="shared" si="0"/>
        <v>546.5</v>
      </c>
    </row>
    <row r="34" spans="1:5">
      <c r="A34" s="47" t="s">
        <v>871</v>
      </c>
      <c r="B34" s="47" t="s">
        <v>872</v>
      </c>
      <c r="C34" s="48">
        <v>2615.5</v>
      </c>
      <c r="D34" s="49">
        <v>659</v>
      </c>
      <c r="E34" s="49">
        <f t="shared" si="0"/>
        <v>1956.5</v>
      </c>
    </row>
    <row r="35" spans="1:5">
      <c r="A35" s="47" t="s">
        <v>865</v>
      </c>
      <c r="B35" s="47" t="s">
        <v>866</v>
      </c>
      <c r="C35" s="48">
        <v>39020</v>
      </c>
      <c r="D35" s="49">
        <v>5186</v>
      </c>
      <c r="E35" s="49">
        <f t="shared" si="0"/>
        <v>33834</v>
      </c>
    </row>
    <row r="36" spans="1:5">
      <c r="A36" s="47" t="s">
        <v>876</v>
      </c>
      <c r="B36" s="47" t="s">
        <v>877</v>
      </c>
      <c r="C36" s="48">
        <v>62782.5</v>
      </c>
      <c r="D36" s="49">
        <v>19226</v>
      </c>
      <c r="E36" s="49">
        <f t="shared" si="0"/>
        <v>43556.5</v>
      </c>
    </row>
    <row r="37" spans="1:5">
      <c r="A37" s="47" t="s">
        <v>880</v>
      </c>
      <c r="B37" s="47" t="s">
        <v>172</v>
      </c>
      <c r="C37" s="48">
        <v>14759.5</v>
      </c>
      <c r="D37" s="49">
        <v>2406</v>
      </c>
      <c r="E37" s="49">
        <f t="shared" si="0"/>
        <v>12353.5</v>
      </c>
    </row>
    <row r="38" spans="1:5">
      <c r="A38" s="47" t="s">
        <v>881</v>
      </c>
      <c r="B38" s="47" t="s">
        <v>882</v>
      </c>
      <c r="C38" s="48">
        <v>200</v>
      </c>
      <c r="D38" s="49">
        <v>0</v>
      </c>
      <c r="E38" s="49">
        <f t="shared" si="0"/>
        <v>200</v>
      </c>
    </row>
    <row r="39" spans="1:5">
      <c r="A39" s="47" t="s">
        <v>883</v>
      </c>
      <c r="B39" s="47" t="s">
        <v>884</v>
      </c>
      <c r="C39" s="48">
        <v>12733.5</v>
      </c>
      <c r="D39" s="49">
        <v>0</v>
      </c>
      <c r="E39" s="49">
        <f t="shared" si="0"/>
        <v>12733.5</v>
      </c>
    </row>
    <row r="40" spans="1:5">
      <c r="A40" s="47" t="s">
        <v>885</v>
      </c>
      <c r="B40" s="47" t="s">
        <v>886</v>
      </c>
      <c r="C40" s="48">
        <v>435</v>
      </c>
      <c r="D40" s="49">
        <v>0</v>
      </c>
      <c r="E40" s="49">
        <f t="shared" si="0"/>
        <v>435</v>
      </c>
    </row>
    <row r="41" spans="1:5">
      <c r="A41" s="47" t="s">
        <v>873</v>
      </c>
      <c r="B41" s="47" t="s">
        <v>874</v>
      </c>
      <c r="C41" s="48">
        <v>28326.5</v>
      </c>
      <c r="D41" s="49">
        <v>7371</v>
      </c>
      <c r="E41" s="49">
        <f t="shared" si="0"/>
        <v>20955.5</v>
      </c>
    </row>
    <row r="42" spans="1:5">
      <c r="A42" s="47" t="s">
        <v>889</v>
      </c>
      <c r="B42" s="47" t="s">
        <v>890</v>
      </c>
      <c r="C42" s="48">
        <v>11965</v>
      </c>
      <c r="D42" s="49">
        <v>0</v>
      </c>
      <c r="E42" s="49">
        <f t="shared" si="0"/>
        <v>11965</v>
      </c>
    </row>
    <row r="43" spans="1:5">
      <c r="A43" s="47" t="s">
        <v>893</v>
      </c>
      <c r="B43" s="47" t="s">
        <v>894</v>
      </c>
      <c r="C43" s="48">
        <v>6999.5</v>
      </c>
      <c r="D43" s="49">
        <v>0</v>
      </c>
      <c r="E43" s="49">
        <f t="shared" si="0"/>
        <v>6999.5</v>
      </c>
    </row>
    <row r="44" spans="1:5">
      <c r="A44" s="47" t="s">
        <v>898</v>
      </c>
      <c r="B44" s="47" t="s">
        <v>899</v>
      </c>
      <c r="C44" s="48">
        <v>1288.5</v>
      </c>
      <c r="D44" s="49">
        <v>0</v>
      </c>
      <c r="E44" s="49">
        <f t="shared" si="0"/>
        <v>1288.5</v>
      </c>
    </row>
    <row r="45" spans="1:5">
      <c r="A45" s="47" t="s">
        <v>742</v>
      </c>
      <c r="B45" s="47" t="s">
        <v>743</v>
      </c>
      <c r="C45" s="48">
        <v>1049.5</v>
      </c>
      <c r="D45" s="49">
        <v>0</v>
      </c>
      <c r="E45" s="49">
        <f t="shared" si="0"/>
        <v>1049.5</v>
      </c>
    </row>
    <row r="46" spans="1:5">
      <c r="A46" s="47" t="s">
        <v>746</v>
      </c>
      <c r="B46" s="47" t="s">
        <v>747</v>
      </c>
      <c r="C46" s="48">
        <v>134.5</v>
      </c>
      <c r="D46" s="49">
        <v>0</v>
      </c>
      <c r="E46" s="49">
        <f t="shared" si="0"/>
        <v>134.5</v>
      </c>
    </row>
    <row r="47" spans="1:5">
      <c r="A47" s="47" t="s">
        <v>748</v>
      </c>
      <c r="B47" s="47" t="s">
        <v>749</v>
      </c>
      <c r="C47" s="48">
        <v>3796.5</v>
      </c>
      <c r="D47" s="49">
        <v>1899</v>
      </c>
      <c r="E47" s="49">
        <f t="shared" si="0"/>
        <v>1897.5</v>
      </c>
    </row>
    <row r="48" spans="1:5">
      <c r="A48" s="47" t="s">
        <v>752</v>
      </c>
      <c r="B48" s="47" t="s">
        <v>753</v>
      </c>
      <c r="C48" s="48">
        <v>812.5</v>
      </c>
      <c r="D48" s="49">
        <v>0</v>
      </c>
      <c r="E48" s="49">
        <f t="shared" si="0"/>
        <v>812.5</v>
      </c>
    </row>
    <row r="49" spans="1:5">
      <c r="A49" s="47" t="s">
        <v>900</v>
      </c>
      <c r="B49" s="47" t="s">
        <v>901</v>
      </c>
      <c r="C49" s="48">
        <v>799</v>
      </c>
      <c r="D49" s="49">
        <v>0</v>
      </c>
      <c r="E49" s="49">
        <f t="shared" si="0"/>
        <v>799</v>
      </c>
    </row>
    <row r="50" spans="1:5">
      <c r="A50" s="47" t="s">
        <v>760</v>
      </c>
      <c r="B50" s="47" t="s">
        <v>761</v>
      </c>
      <c r="C50" s="48">
        <v>2551</v>
      </c>
      <c r="D50" s="49">
        <v>0</v>
      </c>
      <c r="E50" s="49">
        <f t="shared" si="0"/>
        <v>2551</v>
      </c>
    </row>
    <row r="51" spans="1:5">
      <c r="A51" s="47" t="s">
        <v>768</v>
      </c>
      <c r="B51" s="47" t="s">
        <v>769</v>
      </c>
      <c r="C51" s="48">
        <v>205.5</v>
      </c>
      <c r="D51" s="49">
        <v>0</v>
      </c>
      <c r="E51" s="49">
        <f t="shared" si="0"/>
        <v>205.5</v>
      </c>
    </row>
    <row r="52" spans="1:5">
      <c r="A52" s="47" t="s">
        <v>770</v>
      </c>
      <c r="B52" s="47" t="s">
        <v>771</v>
      </c>
      <c r="C52" s="48">
        <v>121.5</v>
      </c>
      <c r="D52" s="49">
        <v>0</v>
      </c>
      <c r="E52" s="49">
        <f t="shared" si="0"/>
        <v>121.5</v>
      </c>
    </row>
    <row r="53" spans="1:5">
      <c r="A53" s="47" t="s">
        <v>772</v>
      </c>
      <c r="B53" s="47" t="s">
        <v>773</v>
      </c>
      <c r="C53" s="48">
        <v>2067.5</v>
      </c>
      <c r="D53" s="49">
        <v>0</v>
      </c>
      <c r="E53" s="49">
        <f t="shared" si="0"/>
        <v>2067.5</v>
      </c>
    </row>
    <row r="54" spans="1:5">
      <c r="A54" s="47" t="s">
        <v>774</v>
      </c>
      <c r="B54" s="47" t="s">
        <v>775</v>
      </c>
      <c r="C54" s="48">
        <v>1698</v>
      </c>
      <c r="D54" s="49">
        <v>1022.5</v>
      </c>
      <c r="E54" s="49">
        <f t="shared" si="0"/>
        <v>675.5</v>
      </c>
    </row>
    <row r="55" spans="1:5">
      <c r="A55" s="47" t="s">
        <v>778</v>
      </c>
      <c r="B55" s="47" t="s">
        <v>779</v>
      </c>
      <c r="C55" s="48">
        <v>5652.5</v>
      </c>
      <c r="D55" s="49">
        <v>2845.5</v>
      </c>
      <c r="E55" s="49">
        <f t="shared" si="0"/>
        <v>2807</v>
      </c>
    </row>
    <row r="56" spans="1:5">
      <c r="A56" s="47" t="s">
        <v>786</v>
      </c>
      <c r="B56" s="47" t="s">
        <v>173</v>
      </c>
      <c r="C56" s="48">
        <v>1555</v>
      </c>
      <c r="D56" s="49">
        <v>0</v>
      </c>
      <c r="E56" s="49">
        <f t="shared" si="0"/>
        <v>1555</v>
      </c>
    </row>
    <row r="57" spans="1:5">
      <c r="A57" s="47" t="s">
        <v>787</v>
      </c>
      <c r="B57" s="47" t="s">
        <v>788</v>
      </c>
      <c r="C57" s="48">
        <v>998</v>
      </c>
      <c r="D57" s="49">
        <v>500</v>
      </c>
      <c r="E57" s="49">
        <f t="shared" si="0"/>
        <v>498</v>
      </c>
    </row>
    <row r="58" spans="1:5">
      <c r="A58" s="47" t="s">
        <v>902</v>
      </c>
      <c r="B58" s="47" t="s">
        <v>903</v>
      </c>
      <c r="C58" s="48">
        <v>899.5</v>
      </c>
      <c r="D58" s="49">
        <v>0</v>
      </c>
      <c r="E58" s="49">
        <f t="shared" si="0"/>
        <v>899.5</v>
      </c>
    </row>
    <row r="59" spans="1:5">
      <c r="A59" s="47" t="s">
        <v>789</v>
      </c>
      <c r="B59" s="47" t="s">
        <v>790</v>
      </c>
      <c r="C59" s="48">
        <v>524</v>
      </c>
      <c r="D59" s="49">
        <v>0</v>
      </c>
      <c r="E59" s="49">
        <f t="shared" si="0"/>
        <v>524</v>
      </c>
    </row>
    <row r="60" spans="1:5">
      <c r="A60" s="47" t="s">
        <v>791</v>
      </c>
      <c r="B60" s="47" t="s">
        <v>792</v>
      </c>
      <c r="C60" s="48">
        <v>191.5</v>
      </c>
      <c r="D60" s="49">
        <v>0</v>
      </c>
      <c r="E60" s="49">
        <f t="shared" si="0"/>
        <v>191.5</v>
      </c>
    </row>
    <row r="61" spans="1:5">
      <c r="A61" s="47" t="s">
        <v>795</v>
      </c>
      <c r="B61" s="47" t="s">
        <v>183</v>
      </c>
      <c r="C61" s="48">
        <v>3240</v>
      </c>
      <c r="D61" s="49">
        <v>0</v>
      </c>
      <c r="E61" s="49">
        <f t="shared" si="0"/>
        <v>3240</v>
      </c>
    </row>
    <row r="62" spans="1:5">
      <c r="A62" s="47" t="s">
        <v>843</v>
      </c>
      <c r="B62" s="47" t="s">
        <v>844</v>
      </c>
      <c r="C62" s="48">
        <v>19920</v>
      </c>
      <c r="D62" s="49">
        <v>0</v>
      </c>
      <c r="E62" s="49">
        <f t="shared" si="0"/>
        <v>19920</v>
      </c>
    </row>
    <row r="63" spans="1:5">
      <c r="A63" s="47" t="s">
        <v>896</v>
      </c>
      <c r="B63" s="47" t="s">
        <v>897</v>
      </c>
      <c r="C63" s="48">
        <v>1089.5</v>
      </c>
      <c r="D63" s="49">
        <v>0</v>
      </c>
      <c r="E63" s="49">
        <f t="shared" si="0"/>
        <v>1089.5</v>
      </c>
    </row>
    <row r="64" spans="1:5">
      <c r="A64" s="47" t="s">
        <v>913</v>
      </c>
      <c r="B64" s="47" t="s">
        <v>914</v>
      </c>
      <c r="C64" s="48">
        <v>5481</v>
      </c>
      <c r="D64" s="49">
        <v>0</v>
      </c>
      <c r="E64" s="49">
        <f t="shared" si="0"/>
        <v>5481</v>
      </c>
    </row>
    <row r="65" spans="1:5">
      <c r="A65" s="47"/>
      <c r="B65" s="47"/>
      <c r="C65" s="48"/>
      <c r="D65" s="49">
        <v>0</v>
      </c>
      <c r="E65" s="49">
        <f t="shared" si="0"/>
        <v>0</v>
      </c>
    </row>
    <row r="66" spans="1:5">
      <c r="A66" s="47"/>
      <c r="B66" s="47"/>
      <c r="C66" s="48"/>
      <c r="D66" s="49">
        <v>0</v>
      </c>
      <c r="E66" s="49">
        <f t="shared" si="0"/>
        <v>0</v>
      </c>
    </row>
    <row r="67" spans="1:5">
      <c r="A67" s="47"/>
      <c r="B67" s="47"/>
      <c r="C67" s="48"/>
      <c r="D67" s="49">
        <v>0</v>
      </c>
      <c r="E67" s="49">
        <f t="shared" ref="E67:E94" si="1">C67-D67</f>
        <v>0</v>
      </c>
    </row>
    <row r="68" spans="1:5">
      <c r="A68" s="47"/>
      <c r="B68" s="47"/>
      <c r="C68" s="48"/>
      <c r="D68" s="49">
        <v>0</v>
      </c>
      <c r="E68" s="49">
        <f t="shared" si="1"/>
        <v>0</v>
      </c>
    </row>
    <row r="69" spans="1:5">
      <c r="A69" s="47"/>
      <c r="B69" s="47"/>
      <c r="C69" s="48"/>
      <c r="D69" s="49">
        <v>0</v>
      </c>
      <c r="E69" s="49">
        <f t="shared" si="1"/>
        <v>0</v>
      </c>
    </row>
    <row r="70" spans="1:5">
      <c r="A70" s="47"/>
      <c r="B70" s="47"/>
      <c r="C70" s="48"/>
      <c r="D70" s="49">
        <v>0</v>
      </c>
      <c r="E70" s="49">
        <f t="shared" si="1"/>
        <v>0</v>
      </c>
    </row>
    <row r="71" spans="1:5">
      <c r="A71" s="47"/>
      <c r="B71" s="47"/>
      <c r="C71" s="48"/>
      <c r="D71" s="49">
        <v>0</v>
      </c>
      <c r="E71" s="49">
        <f t="shared" si="1"/>
        <v>0</v>
      </c>
    </row>
    <row r="72" spans="1:5">
      <c r="A72" s="47"/>
      <c r="B72" s="47"/>
      <c r="C72" s="48"/>
      <c r="D72" s="49">
        <v>0</v>
      </c>
      <c r="E72" s="49">
        <f t="shared" si="1"/>
        <v>0</v>
      </c>
    </row>
    <row r="73" spans="1:5">
      <c r="A73" s="47"/>
      <c r="B73" s="47"/>
      <c r="C73" s="48"/>
      <c r="D73" s="49">
        <v>0</v>
      </c>
      <c r="E73" s="49">
        <f t="shared" si="1"/>
        <v>0</v>
      </c>
    </row>
    <row r="74" spans="1:5">
      <c r="A74" s="47"/>
      <c r="B74" s="47"/>
      <c r="C74" s="48"/>
      <c r="D74" s="49">
        <v>0</v>
      </c>
      <c r="E74" s="49">
        <f t="shared" si="1"/>
        <v>0</v>
      </c>
    </row>
    <row r="75" spans="1:5">
      <c r="A75" s="47"/>
      <c r="B75" s="47"/>
      <c r="C75" s="48"/>
      <c r="D75" s="49">
        <v>0</v>
      </c>
      <c r="E75" s="49">
        <f t="shared" si="1"/>
        <v>0</v>
      </c>
    </row>
    <row r="76" spans="1:5">
      <c r="A76" s="47"/>
      <c r="B76" s="47"/>
      <c r="C76" s="48"/>
      <c r="D76" s="49">
        <v>0</v>
      </c>
      <c r="E76" s="49">
        <f t="shared" si="1"/>
        <v>0</v>
      </c>
    </row>
    <row r="77" spans="1:5">
      <c r="A77" s="47"/>
      <c r="B77" s="47"/>
      <c r="C77" s="48"/>
      <c r="D77" s="49">
        <v>0</v>
      </c>
      <c r="E77" s="49">
        <f t="shared" si="1"/>
        <v>0</v>
      </c>
    </row>
    <row r="78" spans="1:5">
      <c r="A78" s="47"/>
      <c r="B78" s="47"/>
      <c r="C78" s="48"/>
      <c r="D78" s="49">
        <v>0</v>
      </c>
      <c r="E78" s="49">
        <f t="shared" si="1"/>
        <v>0</v>
      </c>
    </row>
    <row r="79" spans="1:5">
      <c r="A79" s="47"/>
      <c r="B79" s="47"/>
      <c r="C79" s="48"/>
      <c r="D79" s="49">
        <v>0</v>
      </c>
      <c r="E79" s="49">
        <f t="shared" si="1"/>
        <v>0</v>
      </c>
    </row>
    <row r="80" spans="1:5">
      <c r="A80" s="47"/>
      <c r="B80" s="47"/>
      <c r="C80" s="48"/>
      <c r="D80" s="49">
        <v>0</v>
      </c>
      <c r="E80" s="49">
        <f t="shared" si="1"/>
        <v>0</v>
      </c>
    </row>
    <row r="81" spans="1:5">
      <c r="A81" s="47"/>
      <c r="B81" s="47"/>
      <c r="C81" s="48"/>
      <c r="D81" s="49">
        <v>0</v>
      </c>
      <c r="E81" s="49">
        <f t="shared" si="1"/>
        <v>0</v>
      </c>
    </row>
    <row r="82" spans="1:5">
      <c r="A82" s="47"/>
      <c r="B82" s="47"/>
      <c r="C82" s="48"/>
      <c r="D82" s="49">
        <v>0</v>
      </c>
      <c r="E82" s="49">
        <f t="shared" si="1"/>
        <v>0</v>
      </c>
    </row>
    <row r="83" spans="1:5">
      <c r="A83" s="47"/>
      <c r="B83" s="47"/>
      <c r="C83" s="48"/>
      <c r="D83" s="49">
        <v>0</v>
      </c>
      <c r="E83" s="49">
        <f t="shared" si="1"/>
        <v>0</v>
      </c>
    </row>
    <row r="84" spans="1:5">
      <c r="A84" s="47"/>
      <c r="B84" s="47"/>
      <c r="C84" s="48"/>
      <c r="D84" s="49">
        <v>0</v>
      </c>
      <c r="E84" s="49">
        <f t="shared" si="1"/>
        <v>0</v>
      </c>
    </row>
    <row r="85" spans="1:5">
      <c r="A85" s="47"/>
      <c r="B85" s="47"/>
      <c r="C85" s="48"/>
      <c r="D85" s="49">
        <v>0</v>
      </c>
      <c r="E85" s="49">
        <f t="shared" si="1"/>
        <v>0</v>
      </c>
    </row>
    <row r="86" spans="1:5">
      <c r="A86" s="47"/>
      <c r="B86" s="47"/>
      <c r="C86" s="48"/>
      <c r="D86" s="49">
        <v>0</v>
      </c>
      <c r="E86" s="49">
        <f t="shared" si="1"/>
        <v>0</v>
      </c>
    </row>
    <row r="87" spans="1:5">
      <c r="A87" s="47"/>
      <c r="B87" s="47"/>
      <c r="C87" s="48"/>
      <c r="D87" s="49">
        <v>0</v>
      </c>
      <c r="E87" s="49">
        <f t="shared" si="1"/>
        <v>0</v>
      </c>
    </row>
    <row r="88" spans="1:5">
      <c r="A88" s="47"/>
      <c r="B88" s="47"/>
      <c r="C88" s="48"/>
      <c r="D88" s="49">
        <v>0</v>
      </c>
      <c r="E88" s="49">
        <f t="shared" si="1"/>
        <v>0</v>
      </c>
    </row>
    <row r="89" spans="1:5">
      <c r="A89" s="47"/>
      <c r="B89" s="47"/>
      <c r="C89" s="48"/>
      <c r="D89" s="49">
        <v>0</v>
      </c>
      <c r="E89" s="49">
        <f t="shared" si="1"/>
        <v>0</v>
      </c>
    </row>
    <row r="90" spans="1:5">
      <c r="A90" s="47"/>
      <c r="B90" s="47"/>
      <c r="C90" s="48"/>
      <c r="D90" s="49">
        <v>0</v>
      </c>
      <c r="E90" s="49">
        <f t="shared" si="1"/>
        <v>0</v>
      </c>
    </row>
    <row r="91" spans="1:5">
      <c r="A91" s="50"/>
      <c r="B91" s="50"/>
      <c r="C91" s="49"/>
      <c r="D91" s="49">
        <v>0</v>
      </c>
      <c r="E91" s="49">
        <f t="shared" si="1"/>
        <v>0</v>
      </c>
    </row>
    <row r="92" spans="1:5">
      <c r="A92" s="50"/>
      <c r="B92" s="50"/>
      <c r="C92" s="49"/>
      <c r="D92" s="49">
        <v>0</v>
      </c>
      <c r="E92" s="49">
        <f t="shared" si="1"/>
        <v>0</v>
      </c>
    </row>
    <row r="93" spans="1:5">
      <c r="A93" s="50"/>
      <c r="B93" s="50"/>
      <c r="C93" s="49"/>
      <c r="D93" s="49">
        <v>0</v>
      </c>
      <c r="E93" s="49">
        <f t="shared" si="1"/>
        <v>0</v>
      </c>
    </row>
    <row r="94" spans="1:5">
      <c r="A94" s="50"/>
      <c r="B94" s="50"/>
      <c r="C94" s="49"/>
      <c r="D94" s="49">
        <v>0</v>
      </c>
      <c r="E94" s="49">
        <f t="shared" si="1"/>
        <v>0</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5"/>
  <sheetViews>
    <sheetView workbookViewId="0">
      <selection sqref="A1:XFD1048576"/>
    </sheetView>
  </sheetViews>
  <sheetFormatPr defaultColWidth="8.25" defaultRowHeight="18"/>
  <cols>
    <col min="1" max="1" width="9.58203125" bestFit="1" customWidth="1"/>
    <col min="2" max="3" width="9.58203125" customWidth="1"/>
    <col min="4" max="4" width="9.1640625" bestFit="1" customWidth="1"/>
    <col min="5" max="5" width="6.5" bestFit="1" customWidth="1"/>
    <col min="6" max="6" width="18.9140625" bestFit="1" customWidth="1"/>
    <col min="7" max="7" width="20.5" bestFit="1" customWidth="1"/>
    <col min="8" max="16384" width="8.25" style="52"/>
  </cols>
  <sheetData>
    <row r="1" spans="1:8">
      <c r="A1" s="219" t="s">
        <v>915</v>
      </c>
      <c r="C1" t="s">
        <v>578</v>
      </c>
      <c r="D1" t="s">
        <v>573</v>
      </c>
      <c r="E1" t="s">
        <v>916</v>
      </c>
      <c r="H1"/>
    </row>
    <row r="2" spans="1:8">
      <c r="A2" s="220"/>
      <c r="C2" t="s">
        <v>917</v>
      </c>
      <c r="D2" t="s">
        <v>840</v>
      </c>
      <c r="E2">
        <v>4</v>
      </c>
      <c r="H2"/>
    </row>
    <row r="3" spans="1:8">
      <c r="A3" s="220"/>
      <c r="C3" t="s">
        <v>917</v>
      </c>
      <c r="D3" t="s">
        <v>589</v>
      </c>
      <c r="E3">
        <v>5</v>
      </c>
      <c r="H3"/>
    </row>
    <row r="4" spans="1:8">
      <c r="A4" s="220"/>
      <c r="C4" t="s">
        <v>917</v>
      </c>
      <c r="D4" t="s">
        <v>580</v>
      </c>
      <c r="E4">
        <v>0.2</v>
      </c>
      <c r="H4"/>
    </row>
    <row r="5" spans="1:8">
      <c r="A5" s="220"/>
      <c r="C5" t="s">
        <v>917</v>
      </c>
      <c r="D5" t="s">
        <v>918</v>
      </c>
      <c r="E5">
        <v>0.1</v>
      </c>
      <c r="H5"/>
    </row>
    <row r="6" spans="1:8">
      <c r="A6" s="220"/>
      <c r="C6" t="s">
        <v>917</v>
      </c>
      <c r="D6" t="s">
        <v>919</v>
      </c>
      <c r="E6">
        <v>0.1</v>
      </c>
      <c r="H6"/>
    </row>
    <row r="7" spans="1:8">
      <c r="A7" s="220"/>
      <c r="C7" t="s">
        <v>917</v>
      </c>
      <c r="D7" t="s">
        <v>920</v>
      </c>
      <c r="E7">
        <v>0.1</v>
      </c>
      <c r="H7"/>
    </row>
    <row r="8" spans="1:8">
      <c r="A8" s="220"/>
      <c r="C8" t="s">
        <v>917</v>
      </c>
      <c r="D8" t="s">
        <v>921</v>
      </c>
      <c r="E8">
        <v>0.1</v>
      </c>
      <c r="H8"/>
    </row>
    <row r="9" spans="1:8">
      <c r="A9" s="221"/>
      <c r="C9" t="s">
        <v>917</v>
      </c>
      <c r="D9" t="s">
        <v>922</v>
      </c>
      <c r="E9">
        <v>0.1</v>
      </c>
      <c r="H9"/>
    </row>
    <row r="10" spans="1:8">
      <c r="G10" s="222" t="s">
        <v>923</v>
      </c>
      <c r="H10" s="223"/>
    </row>
    <row r="11" spans="1:8" ht="18.5" thickBot="1">
      <c r="H11"/>
    </row>
    <row r="12" spans="1:8" ht="18.5" thickBot="1">
      <c r="A12" s="53" t="s">
        <v>924</v>
      </c>
      <c r="B12" s="53" t="s">
        <v>925</v>
      </c>
      <c r="C12" s="53" t="s">
        <v>926</v>
      </c>
      <c r="D12" s="53" t="s">
        <v>927</v>
      </c>
      <c r="E12" s="53" t="s">
        <v>928</v>
      </c>
      <c r="F12" s="53" t="s">
        <v>929</v>
      </c>
      <c r="G12" s="53" t="s">
        <v>930</v>
      </c>
      <c r="H12"/>
    </row>
    <row r="13" spans="1:8" ht="18.5" thickBot="1">
      <c r="A13" s="54">
        <v>1</v>
      </c>
      <c r="B13" s="55" t="s">
        <v>931</v>
      </c>
      <c r="C13" s="55" t="s">
        <v>932</v>
      </c>
      <c r="D13" s="55" t="s">
        <v>761</v>
      </c>
      <c r="E13" s="54">
        <v>0.2</v>
      </c>
      <c r="F13" s="55" t="s">
        <v>933</v>
      </c>
      <c r="G13" s="55"/>
      <c r="H13" s="56" t="s">
        <v>934</v>
      </c>
    </row>
    <row r="14" spans="1:8" ht="18.5" thickBot="1">
      <c r="A14" s="54">
        <v>4</v>
      </c>
      <c r="B14" s="55" t="s">
        <v>931</v>
      </c>
      <c r="C14" s="55" t="s">
        <v>935</v>
      </c>
      <c r="D14" s="55" t="s">
        <v>877</v>
      </c>
      <c r="E14" s="54">
        <v>4.3</v>
      </c>
      <c r="F14" s="55" t="s">
        <v>933</v>
      </c>
      <c r="G14" s="55"/>
      <c r="H14" s="56" t="s">
        <v>934</v>
      </c>
    </row>
    <row r="15" spans="1:8" ht="18.5" thickBot="1">
      <c r="A15" s="54">
        <v>5</v>
      </c>
      <c r="B15" s="55" t="s">
        <v>931</v>
      </c>
      <c r="C15" s="55" t="s">
        <v>936</v>
      </c>
      <c r="D15" s="55" t="s">
        <v>890</v>
      </c>
      <c r="E15" s="54">
        <v>5</v>
      </c>
      <c r="F15" s="55" t="s">
        <v>937</v>
      </c>
      <c r="G15" s="55"/>
      <c r="H15" s="56" t="s">
        <v>934</v>
      </c>
    </row>
    <row r="16" spans="1:8" ht="18.5" thickBot="1">
      <c r="A16" s="54">
        <v>6</v>
      </c>
      <c r="B16" s="55" t="s">
        <v>931</v>
      </c>
      <c r="C16" s="55" t="s">
        <v>936</v>
      </c>
      <c r="D16" s="55" t="s">
        <v>890</v>
      </c>
      <c r="E16" s="54">
        <v>15</v>
      </c>
      <c r="F16" s="55" t="s">
        <v>938</v>
      </c>
      <c r="G16" s="55"/>
      <c r="H16" s="56" t="s">
        <v>934</v>
      </c>
    </row>
    <row r="17" spans="1:8" ht="18.5" thickBot="1">
      <c r="A17" s="54">
        <v>7</v>
      </c>
      <c r="B17" s="55" t="s">
        <v>931</v>
      </c>
      <c r="C17" s="55" t="s">
        <v>939</v>
      </c>
      <c r="D17" s="55" t="s">
        <v>940</v>
      </c>
      <c r="E17" s="54">
        <v>0.2</v>
      </c>
      <c r="F17" s="55" t="s">
        <v>933</v>
      </c>
      <c r="G17" s="55"/>
      <c r="H17" s="56" t="s">
        <v>934</v>
      </c>
    </row>
    <row r="18" spans="1:8" ht="18.5" thickBot="1">
      <c r="A18" s="54">
        <v>8</v>
      </c>
      <c r="B18" s="55" t="s">
        <v>931</v>
      </c>
      <c r="C18" s="55" t="s">
        <v>941</v>
      </c>
      <c r="D18" s="55" t="s">
        <v>942</v>
      </c>
      <c r="E18" s="54">
        <v>0.2</v>
      </c>
      <c r="F18" s="55" t="s">
        <v>933</v>
      </c>
      <c r="G18" s="55"/>
      <c r="H18" s="56" t="s">
        <v>934</v>
      </c>
    </row>
    <row r="19" spans="1:8" ht="18.5" thickBot="1">
      <c r="A19" s="54">
        <v>9</v>
      </c>
      <c r="B19" s="55" t="s">
        <v>931</v>
      </c>
      <c r="C19" s="55" t="s">
        <v>943</v>
      </c>
      <c r="D19" s="55" t="s">
        <v>172</v>
      </c>
      <c r="E19" s="54">
        <v>0.2</v>
      </c>
      <c r="F19" s="55" t="s">
        <v>933</v>
      </c>
      <c r="G19" s="55"/>
      <c r="H19" s="56" t="s">
        <v>934</v>
      </c>
    </row>
    <row r="20" spans="1:8" ht="18.5" thickBot="1">
      <c r="A20" s="54">
        <v>10</v>
      </c>
      <c r="B20" s="55" t="s">
        <v>931</v>
      </c>
      <c r="C20" s="55" t="s">
        <v>944</v>
      </c>
      <c r="D20" s="55" t="s">
        <v>899</v>
      </c>
      <c r="E20" s="54">
        <v>0.1</v>
      </c>
      <c r="F20" s="55" t="s">
        <v>933</v>
      </c>
      <c r="G20" s="55"/>
      <c r="H20" s="56" t="s">
        <v>934</v>
      </c>
    </row>
    <row r="21" spans="1:8" ht="18.5" thickBot="1">
      <c r="A21" s="54">
        <v>12</v>
      </c>
      <c r="B21" s="55" t="s">
        <v>931</v>
      </c>
      <c r="C21" s="55" t="s">
        <v>936</v>
      </c>
      <c r="D21" s="55" t="s">
        <v>890</v>
      </c>
      <c r="E21" s="54">
        <v>1.5</v>
      </c>
      <c r="F21" s="55" t="s">
        <v>945</v>
      </c>
      <c r="G21" s="55" t="s">
        <v>946</v>
      </c>
      <c r="H21" s="56" t="s">
        <v>934</v>
      </c>
    </row>
    <row r="22" spans="1:8" ht="18.5" thickBot="1">
      <c r="A22" s="54">
        <v>13</v>
      </c>
      <c r="B22" s="55" t="s">
        <v>931</v>
      </c>
      <c r="C22" s="55" t="s">
        <v>947</v>
      </c>
      <c r="D22" s="55" t="s">
        <v>874</v>
      </c>
      <c r="E22" s="54">
        <v>8.6999999999999993</v>
      </c>
      <c r="F22" s="55" t="s">
        <v>948</v>
      </c>
      <c r="G22" s="55" t="s">
        <v>949</v>
      </c>
      <c r="H22" s="56" t="s">
        <v>934</v>
      </c>
    </row>
    <row r="23" spans="1:8" ht="18.5" thickBot="1">
      <c r="A23" s="54">
        <v>14</v>
      </c>
      <c r="B23" s="55" t="s">
        <v>931</v>
      </c>
      <c r="C23" s="55" t="s">
        <v>950</v>
      </c>
      <c r="D23" s="55" t="s">
        <v>866</v>
      </c>
      <c r="E23" s="54">
        <v>5.4</v>
      </c>
      <c r="F23" s="55" t="s">
        <v>951</v>
      </c>
      <c r="G23" s="55" t="s">
        <v>952</v>
      </c>
      <c r="H23" s="56" t="s">
        <v>934</v>
      </c>
    </row>
    <row r="24" spans="1:8" ht="18.5" thickBot="1">
      <c r="A24" s="54">
        <v>16</v>
      </c>
      <c r="B24" s="55" t="s">
        <v>931</v>
      </c>
      <c r="C24" s="55" t="s">
        <v>953</v>
      </c>
      <c r="D24" s="55" t="s">
        <v>860</v>
      </c>
      <c r="E24" s="54">
        <v>1</v>
      </c>
      <c r="F24" s="55" t="s">
        <v>954</v>
      </c>
      <c r="G24" s="55" t="s">
        <v>955</v>
      </c>
      <c r="H24" s="56" t="s">
        <v>934</v>
      </c>
    </row>
    <row r="25" spans="1:8" ht="18.5" thickBot="1">
      <c r="A25" s="54">
        <v>17</v>
      </c>
      <c r="B25" s="55" t="s">
        <v>931</v>
      </c>
      <c r="C25" s="55" t="s">
        <v>956</v>
      </c>
      <c r="D25" s="55" t="s">
        <v>884</v>
      </c>
      <c r="E25" s="54">
        <v>23.5</v>
      </c>
      <c r="F25" s="55" t="s">
        <v>957</v>
      </c>
      <c r="G25" s="55" t="s">
        <v>958</v>
      </c>
      <c r="H25" s="56" t="s">
        <v>934</v>
      </c>
    </row>
    <row r="26" spans="1:8" ht="18.5" thickBot="1">
      <c r="A26" s="54">
        <v>18</v>
      </c>
      <c r="B26" s="55" t="s">
        <v>931</v>
      </c>
      <c r="C26" s="55" t="s">
        <v>936</v>
      </c>
      <c r="D26" s="55" t="s">
        <v>890</v>
      </c>
      <c r="E26" s="54">
        <v>0.2</v>
      </c>
      <c r="F26" s="55" t="s">
        <v>959</v>
      </c>
      <c r="G26" s="55" t="s">
        <v>954</v>
      </c>
      <c r="H26" s="56" t="s">
        <v>934</v>
      </c>
    </row>
    <row r="27" spans="1:8" ht="18.5" thickBot="1">
      <c r="A27" s="54">
        <v>19</v>
      </c>
      <c r="B27" s="55" t="s">
        <v>931</v>
      </c>
      <c r="C27" s="55" t="s">
        <v>950</v>
      </c>
      <c r="D27" s="55" t="s">
        <v>866</v>
      </c>
      <c r="E27" s="54">
        <v>2.7</v>
      </c>
      <c r="F27" s="55" t="s">
        <v>960</v>
      </c>
      <c r="G27" s="55" t="s">
        <v>961</v>
      </c>
      <c r="H27" s="56" t="s">
        <v>934</v>
      </c>
    </row>
    <row r="28" spans="1:8" ht="18.5" thickBot="1">
      <c r="A28" s="54">
        <v>20</v>
      </c>
      <c r="B28" s="55" t="s">
        <v>931</v>
      </c>
      <c r="C28" s="55" t="s">
        <v>935</v>
      </c>
      <c r="D28" s="55" t="s">
        <v>877</v>
      </c>
      <c r="E28" s="54">
        <v>16.8</v>
      </c>
      <c r="F28" s="55" t="s">
        <v>962</v>
      </c>
      <c r="G28" s="55" t="s">
        <v>963</v>
      </c>
      <c r="H28" s="56" t="s">
        <v>934</v>
      </c>
    </row>
    <row r="29" spans="1:8" ht="18.5" thickBot="1">
      <c r="A29" s="54">
        <v>21</v>
      </c>
      <c r="B29" s="55" t="s">
        <v>931</v>
      </c>
      <c r="C29" s="55" t="s">
        <v>943</v>
      </c>
      <c r="D29" s="55" t="s">
        <v>172</v>
      </c>
      <c r="E29" s="54">
        <v>5</v>
      </c>
      <c r="F29" s="55" t="s">
        <v>964</v>
      </c>
      <c r="G29" s="55" t="s">
        <v>965</v>
      </c>
      <c r="H29" s="56" t="s">
        <v>934</v>
      </c>
    </row>
    <row r="30" spans="1:8" ht="18.5" thickBot="1">
      <c r="A30" s="54">
        <v>22</v>
      </c>
      <c r="B30" s="55" t="s">
        <v>931</v>
      </c>
      <c r="C30" s="55" t="s">
        <v>966</v>
      </c>
      <c r="D30" s="55" t="s">
        <v>857</v>
      </c>
      <c r="E30" s="54">
        <v>30</v>
      </c>
      <c r="F30" s="55" t="s">
        <v>945</v>
      </c>
      <c r="G30" s="55" t="s">
        <v>967</v>
      </c>
      <c r="H30" s="56" t="s">
        <v>934</v>
      </c>
    </row>
    <row r="31" spans="1:8" ht="18.5" thickBot="1">
      <c r="A31" s="54">
        <v>23</v>
      </c>
      <c r="B31" s="55" t="s">
        <v>931</v>
      </c>
      <c r="C31" s="55" t="s">
        <v>950</v>
      </c>
      <c r="D31" s="55" t="s">
        <v>866</v>
      </c>
      <c r="E31" s="54">
        <v>0.15</v>
      </c>
      <c r="F31" s="55" t="s">
        <v>968</v>
      </c>
      <c r="G31" s="55" t="s">
        <v>969</v>
      </c>
      <c r="H31" s="56" t="s">
        <v>934</v>
      </c>
    </row>
    <row r="32" spans="1:8" ht="18.5" thickBot="1">
      <c r="A32" s="54">
        <v>25</v>
      </c>
      <c r="B32" s="55" t="s">
        <v>931</v>
      </c>
      <c r="C32" s="55" t="s">
        <v>936</v>
      </c>
      <c r="D32" s="55" t="s">
        <v>890</v>
      </c>
      <c r="E32" s="54">
        <v>14.5</v>
      </c>
      <c r="F32" s="55" t="s">
        <v>970</v>
      </c>
      <c r="G32" s="55" t="s">
        <v>971</v>
      </c>
      <c r="H32" s="56" t="s">
        <v>934</v>
      </c>
    </row>
    <row r="33" spans="1:8" ht="18.5" thickBot="1">
      <c r="A33" s="54">
        <v>26</v>
      </c>
      <c r="B33" s="55" t="s">
        <v>931</v>
      </c>
      <c r="C33" s="55" t="s">
        <v>935</v>
      </c>
      <c r="D33" s="55" t="s">
        <v>877</v>
      </c>
      <c r="E33" s="54">
        <v>17.899999999999999</v>
      </c>
      <c r="F33" s="55" t="s">
        <v>972</v>
      </c>
      <c r="G33" s="55" t="s">
        <v>973</v>
      </c>
      <c r="H33" s="56" t="s">
        <v>934</v>
      </c>
    </row>
    <row r="34" spans="1:8">
      <c r="A34" s="52"/>
      <c r="B34" s="52"/>
      <c r="C34" s="52"/>
      <c r="D34" s="52"/>
      <c r="E34" s="52"/>
      <c r="F34" s="52"/>
      <c r="G34" s="52"/>
    </row>
    <row r="35" spans="1:8">
      <c r="A35" s="52"/>
      <c r="B35" s="52"/>
      <c r="C35" s="52"/>
      <c r="D35" s="52"/>
      <c r="E35" s="52"/>
      <c r="F35" s="52"/>
      <c r="G35" s="52"/>
    </row>
  </sheetData>
  <mergeCells count="2">
    <mergeCell ref="A1:A9"/>
    <mergeCell ref="G10:H10"/>
  </mergeCells>
  <phoneticPr fontId="3"/>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0"/>
  <sheetViews>
    <sheetView workbookViewId="0">
      <selection sqref="A1:XFD1048576"/>
    </sheetView>
  </sheetViews>
  <sheetFormatPr defaultColWidth="8.25" defaultRowHeight="18"/>
  <cols>
    <col min="1" max="1" width="9.58203125" bestFit="1" customWidth="1"/>
    <col min="2" max="3" width="9.58203125" customWidth="1"/>
    <col min="4" max="4" width="6.83203125" bestFit="1" customWidth="1"/>
    <col min="5" max="5" width="6.5" bestFit="1" customWidth="1"/>
    <col min="6" max="6" width="13.75" style="52" bestFit="1" customWidth="1"/>
    <col min="7" max="16384" width="8.25" style="52"/>
  </cols>
  <sheetData>
    <row r="1" spans="1:8">
      <c r="A1" s="213" t="s">
        <v>915</v>
      </c>
      <c r="C1" t="s">
        <v>578</v>
      </c>
      <c r="D1" t="s">
        <v>573</v>
      </c>
      <c r="E1" t="s">
        <v>916</v>
      </c>
      <c r="F1"/>
      <c r="G1"/>
      <c r="H1"/>
    </row>
    <row r="2" spans="1:8">
      <c r="A2" s="224"/>
      <c r="C2" t="s">
        <v>974</v>
      </c>
      <c r="D2" t="s">
        <v>194</v>
      </c>
      <c r="E2">
        <v>100</v>
      </c>
      <c r="F2"/>
      <c r="G2"/>
      <c r="H2"/>
    </row>
    <row r="3" spans="1:8">
      <c r="A3" s="224"/>
      <c r="C3" t="s">
        <v>974</v>
      </c>
      <c r="D3" t="s">
        <v>589</v>
      </c>
      <c r="E3">
        <v>20</v>
      </c>
      <c r="F3"/>
      <c r="G3"/>
      <c r="H3"/>
    </row>
    <row r="4" spans="1:8">
      <c r="A4" s="224"/>
      <c r="C4" t="s">
        <v>974</v>
      </c>
      <c r="D4" t="s">
        <v>597</v>
      </c>
      <c r="E4">
        <v>160</v>
      </c>
      <c r="F4"/>
      <c r="G4"/>
      <c r="H4"/>
    </row>
    <row r="5" spans="1:8">
      <c r="A5" s="224"/>
      <c r="C5" t="s">
        <v>974</v>
      </c>
      <c r="D5" t="s">
        <v>975</v>
      </c>
      <c r="E5">
        <v>5</v>
      </c>
      <c r="F5"/>
      <c r="G5"/>
      <c r="H5"/>
    </row>
    <row r="6" spans="1:8">
      <c r="A6" s="224"/>
      <c r="C6" t="s">
        <v>974</v>
      </c>
      <c r="D6" t="s">
        <v>909</v>
      </c>
      <c r="E6">
        <v>5</v>
      </c>
      <c r="F6"/>
      <c r="G6"/>
      <c r="H6"/>
    </row>
    <row r="7" spans="1:8">
      <c r="A7" s="214"/>
      <c r="C7" t="s">
        <v>974</v>
      </c>
      <c r="D7" t="s">
        <v>22</v>
      </c>
      <c r="E7">
        <v>10</v>
      </c>
      <c r="F7"/>
      <c r="G7"/>
      <c r="H7"/>
    </row>
    <row r="8" spans="1:8">
      <c r="A8" s="57"/>
      <c r="F8"/>
      <c r="G8" s="222" t="s">
        <v>923</v>
      </c>
      <c r="H8" s="223"/>
    </row>
    <row r="9" spans="1:8" ht="18.5" thickBot="1">
      <c r="A9" s="58"/>
      <c r="F9"/>
      <c r="G9"/>
      <c r="H9"/>
    </row>
    <row r="10" spans="1:8" ht="18.5" thickBot="1">
      <c r="A10" s="53" t="s">
        <v>924</v>
      </c>
      <c r="B10" s="53" t="s">
        <v>925</v>
      </c>
      <c r="C10" s="53" t="s">
        <v>926</v>
      </c>
      <c r="D10" s="53" t="s">
        <v>927</v>
      </c>
      <c r="E10" s="53" t="s">
        <v>928</v>
      </c>
      <c r="F10" s="53" t="s">
        <v>929</v>
      </c>
      <c r="G10" s="53" t="s">
        <v>930</v>
      </c>
      <c r="H10"/>
    </row>
    <row r="11" spans="1:8" ht="18.5" thickBot="1">
      <c r="A11" s="59">
        <v>2</v>
      </c>
      <c r="B11" s="60" t="s">
        <v>931</v>
      </c>
      <c r="C11" s="60" t="s">
        <v>976</v>
      </c>
      <c r="D11" s="60" t="s">
        <v>872</v>
      </c>
      <c r="E11" s="59">
        <v>0.2</v>
      </c>
      <c r="F11" s="60" t="s">
        <v>977</v>
      </c>
      <c r="G11" s="60"/>
      <c r="H11" s="61" t="s">
        <v>978</v>
      </c>
    </row>
    <row r="12" spans="1:8" ht="18.5" thickBot="1">
      <c r="A12" s="59">
        <v>3</v>
      </c>
      <c r="B12" s="60" t="s">
        <v>931</v>
      </c>
      <c r="C12" s="60" t="s">
        <v>935</v>
      </c>
      <c r="D12" s="60" t="s">
        <v>877</v>
      </c>
      <c r="E12" s="59">
        <v>0.2</v>
      </c>
      <c r="F12" s="60" t="s">
        <v>977</v>
      </c>
      <c r="G12" s="60"/>
      <c r="H12" s="61" t="s">
        <v>978</v>
      </c>
    </row>
    <row r="13" spans="1:8" ht="18.5" thickBot="1">
      <c r="A13" s="59">
        <v>11</v>
      </c>
      <c r="B13" s="60" t="s">
        <v>931</v>
      </c>
      <c r="C13" s="60" t="s">
        <v>966</v>
      </c>
      <c r="D13" s="60" t="s">
        <v>857</v>
      </c>
      <c r="E13" s="59">
        <v>0.2</v>
      </c>
      <c r="F13" s="60" t="s">
        <v>977</v>
      </c>
      <c r="G13" s="60"/>
      <c r="H13" s="61" t="s">
        <v>978</v>
      </c>
    </row>
    <row r="14" spans="1:8" ht="18.5" thickBot="1">
      <c r="A14" s="59">
        <v>15</v>
      </c>
      <c r="B14" s="60" t="s">
        <v>931</v>
      </c>
      <c r="C14" s="60" t="s">
        <v>936</v>
      </c>
      <c r="D14" s="60" t="s">
        <v>890</v>
      </c>
      <c r="E14" s="59">
        <v>5.3</v>
      </c>
      <c r="F14" s="60" t="s">
        <v>979</v>
      </c>
      <c r="G14" s="60" t="s">
        <v>980</v>
      </c>
      <c r="H14" s="61" t="s">
        <v>978</v>
      </c>
    </row>
    <row r="15" spans="1:8" ht="18.5" thickBot="1">
      <c r="A15" s="59">
        <v>24</v>
      </c>
      <c r="B15" s="60" t="s">
        <v>931</v>
      </c>
      <c r="C15" s="60" t="s">
        <v>936</v>
      </c>
      <c r="D15" s="60" t="s">
        <v>890</v>
      </c>
      <c r="E15" s="59">
        <v>0.8</v>
      </c>
      <c r="F15" s="60" t="s">
        <v>981</v>
      </c>
      <c r="G15" s="60" t="s">
        <v>982</v>
      </c>
      <c r="H15" s="61" t="s">
        <v>978</v>
      </c>
    </row>
    <row r="16" spans="1:8">
      <c r="F16"/>
      <c r="G16"/>
    </row>
    <row r="17" spans="6:7">
      <c r="F17"/>
      <c r="G17"/>
    </row>
    <row r="18" spans="6:7">
      <c r="F18"/>
      <c r="G18"/>
    </row>
    <row r="19" spans="6:7">
      <c r="F19"/>
      <c r="G19"/>
    </row>
    <row r="20" spans="6:7">
      <c r="F20"/>
      <c r="G20"/>
    </row>
    <row r="21" spans="6:7">
      <c r="F21"/>
      <c r="G21"/>
    </row>
    <row r="22" spans="6:7">
      <c r="F22"/>
      <c r="G22"/>
    </row>
    <row r="23" spans="6:7">
      <c r="F23"/>
      <c r="G23"/>
    </row>
    <row r="24" spans="6:7">
      <c r="F24"/>
      <c r="G24"/>
    </row>
    <row r="25" spans="6:7">
      <c r="F25"/>
      <c r="G25"/>
    </row>
    <row r="26" spans="6:7">
      <c r="F26"/>
      <c r="G26"/>
    </row>
    <row r="27" spans="6:7">
      <c r="F27"/>
      <c r="G27"/>
    </row>
    <row r="28" spans="6:7">
      <c r="F28"/>
      <c r="G28"/>
    </row>
    <row r="29" spans="6:7">
      <c r="F29"/>
      <c r="G29"/>
    </row>
    <row r="30" spans="6:7">
      <c r="F30"/>
      <c r="G30"/>
    </row>
  </sheetData>
  <mergeCells count="2">
    <mergeCell ref="A1:A7"/>
    <mergeCell ref="G8:H8"/>
  </mergeCells>
  <phoneticPr fontId="3"/>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
  <sheetViews>
    <sheetView workbookViewId="0">
      <selection sqref="A1:XFD1048576"/>
    </sheetView>
  </sheetViews>
  <sheetFormatPr defaultColWidth="8.1640625" defaultRowHeight="18"/>
  <cols>
    <col min="4" max="4" width="11.08203125" bestFit="1" customWidth="1"/>
    <col min="5" max="5" width="12.33203125" bestFit="1" customWidth="1"/>
  </cols>
  <sheetData>
    <row r="1" spans="1:5">
      <c r="A1" s="62" t="s">
        <v>915</v>
      </c>
      <c r="C1" t="s">
        <v>578</v>
      </c>
      <c r="D1" t="s">
        <v>573</v>
      </c>
      <c r="E1" t="s">
        <v>916</v>
      </c>
    </row>
    <row r="2" spans="1:5">
      <c r="A2" s="57"/>
      <c r="C2" t="s">
        <v>983</v>
      </c>
      <c r="D2" t="s">
        <v>580</v>
      </c>
      <c r="E2">
        <v>44.8</v>
      </c>
    </row>
    <row r="3" spans="1:5">
      <c r="A3" s="57"/>
      <c r="C3" t="s">
        <v>983</v>
      </c>
      <c r="D3" t="s">
        <v>984</v>
      </c>
      <c r="E3">
        <v>12.8</v>
      </c>
    </row>
    <row r="4" spans="1:5">
      <c r="A4" s="57"/>
      <c r="C4" t="s">
        <v>983</v>
      </c>
      <c r="D4" t="s">
        <v>639</v>
      </c>
      <c r="E4">
        <v>4</v>
      </c>
    </row>
    <row r="5" spans="1:5">
      <c r="A5" s="58"/>
      <c r="C5" t="s">
        <v>983</v>
      </c>
      <c r="D5" t="s">
        <v>985</v>
      </c>
      <c r="E5">
        <v>6056.5</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7"/>
  <sheetViews>
    <sheetView workbookViewId="0">
      <selection sqref="A1:XFD1048576"/>
    </sheetView>
  </sheetViews>
  <sheetFormatPr defaultColWidth="8.1640625" defaultRowHeight="18"/>
  <sheetData>
    <row r="1" spans="1:9" ht="18.5" thickBot="1">
      <c r="A1" s="63" t="s">
        <v>924</v>
      </c>
      <c r="B1" s="63" t="s">
        <v>926</v>
      </c>
      <c r="C1" s="63" t="s">
        <v>927</v>
      </c>
      <c r="D1" s="63" t="s">
        <v>986</v>
      </c>
      <c r="E1" s="63" t="s">
        <v>987</v>
      </c>
      <c r="F1" s="63" t="s">
        <v>988</v>
      </c>
      <c r="H1" s="222" t="s">
        <v>989</v>
      </c>
      <c r="I1" s="223"/>
    </row>
    <row r="2" spans="1:9" ht="18.5" thickBot="1">
      <c r="A2" s="64">
        <v>124</v>
      </c>
      <c r="B2" s="65" t="s">
        <v>990</v>
      </c>
      <c r="C2" s="65" t="s">
        <v>792</v>
      </c>
      <c r="D2" s="64">
        <v>187.6</v>
      </c>
      <c r="E2" s="65" t="s">
        <v>991</v>
      </c>
      <c r="F2" s="65" t="s">
        <v>992</v>
      </c>
    </row>
    <row r="3" spans="1:9" ht="18.5" thickBot="1">
      <c r="A3" s="64">
        <v>125</v>
      </c>
      <c r="B3" s="65" t="s">
        <v>953</v>
      </c>
      <c r="C3" s="65" t="s">
        <v>860</v>
      </c>
      <c r="D3" s="64">
        <v>548.9</v>
      </c>
      <c r="E3" s="65" t="s">
        <v>991</v>
      </c>
      <c r="F3" s="65" t="s">
        <v>992</v>
      </c>
    </row>
    <row r="4" spans="1:9" ht="18.5" thickBot="1">
      <c r="A4" s="64">
        <v>126</v>
      </c>
      <c r="B4" s="65" t="s">
        <v>993</v>
      </c>
      <c r="C4" s="65" t="s">
        <v>994</v>
      </c>
      <c r="D4" s="64">
        <v>278</v>
      </c>
      <c r="E4" s="65" t="s">
        <v>991</v>
      </c>
      <c r="F4" s="65" t="s">
        <v>992</v>
      </c>
    </row>
    <row r="5" spans="1:9" ht="18.5" thickBot="1">
      <c r="A5" s="64">
        <v>127</v>
      </c>
      <c r="B5" s="65" t="s">
        <v>995</v>
      </c>
      <c r="C5" s="65" t="s">
        <v>862</v>
      </c>
      <c r="D5" s="64">
        <v>28.1</v>
      </c>
      <c r="E5" s="65" t="s">
        <v>991</v>
      </c>
      <c r="F5" s="65" t="s">
        <v>992</v>
      </c>
    </row>
    <row r="6" spans="1:9" ht="18.5" thickBot="1">
      <c r="A6" s="64">
        <v>128</v>
      </c>
      <c r="B6" s="65" t="s">
        <v>996</v>
      </c>
      <c r="C6" s="65" t="s">
        <v>864</v>
      </c>
      <c r="D6" s="64">
        <v>185</v>
      </c>
      <c r="E6" s="65" t="s">
        <v>991</v>
      </c>
      <c r="F6" s="65" t="s">
        <v>992</v>
      </c>
    </row>
    <row r="7" spans="1:9" ht="18.5" thickBot="1">
      <c r="A7" s="64">
        <v>129</v>
      </c>
      <c r="B7" s="65" t="s">
        <v>997</v>
      </c>
      <c r="C7" s="65" t="s">
        <v>753</v>
      </c>
      <c r="D7" s="64">
        <v>987.5</v>
      </c>
      <c r="E7" s="65" t="s">
        <v>991</v>
      </c>
      <c r="F7" s="65" t="s">
        <v>992</v>
      </c>
    </row>
    <row r="8" spans="1:9" ht="18.5" thickBot="1">
      <c r="A8" s="64">
        <v>130</v>
      </c>
      <c r="B8" s="65" t="s">
        <v>998</v>
      </c>
      <c r="C8" s="65" t="s">
        <v>901</v>
      </c>
      <c r="D8" s="64">
        <v>661.2</v>
      </c>
      <c r="E8" s="65" t="s">
        <v>991</v>
      </c>
      <c r="F8" s="65" t="s">
        <v>992</v>
      </c>
    </row>
    <row r="9" spans="1:9" ht="18.5" thickBot="1">
      <c r="A9" s="64">
        <v>131</v>
      </c>
      <c r="B9" s="65" t="s">
        <v>932</v>
      </c>
      <c r="C9" s="65" t="s">
        <v>761</v>
      </c>
      <c r="D9" s="64">
        <v>584.4</v>
      </c>
      <c r="E9" s="65" t="s">
        <v>991</v>
      </c>
      <c r="F9" s="65" t="s">
        <v>992</v>
      </c>
    </row>
    <row r="10" spans="1:9" ht="18.5" thickBot="1">
      <c r="A10" s="64">
        <v>132</v>
      </c>
      <c r="B10" s="65" t="s">
        <v>999</v>
      </c>
      <c r="C10" s="65" t="s">
        <v>769</v>
      </c>
      <c r="D10" s="64">
        <v>59.3</v>
      </c>
      <c r="E10" s="65" t="s">
        <v>991</v>
      </c>
      <c r="F10" s="65" t="s">
        <v>992</v>
      </c>
    </row>
    <row r="11" spans="1:9" ht="18.5" thickBot="1">
      <c r="A11" s="64">
        <v>133</v>
      </c>
      <c r="B11" s="65" t="s">
        <v>976</v>
      </c>
      <c r="C11" s="65" t="s">
        <v>872</v>
      </c>
      <c r="D11" s="64">
        <v>255.6</v>
      </c>
      <c r="E11" s="65" t="s">
        <v>991</v>
      </c>
      <c r="F11" s="65" t="s">
        <v>992</v>
      </c>
    </row>
    <row r="12" spans="1:9" ht="18.5" thickBot="1">
      <c r="A12" s="64">
        <v>134</v>
      </c>
      <c r="B12" s="65" t="s">
        <v>950</v>
      </c>
      <c r="C12" s="65" t="s">
        <v>866</v>
      </c>
      <c r="D12" s="64">
        <v>4697.6000000000004</v>
      </c>
      <c r="E12" s="65" t="s">
        <v>991</v>
      </c>
      <c r="F12" s="65" t="s">
        <v>992</v>
      </c>
    </row>
    <row r="13" spans="1:9" ht="18.5" thickBot="1">
      <c r="A13" s="64">
        <v>135</v>
      </c>
      <c r="B13" s="65" t="s">
        <v>935</v>
      </c>
      <c r="C13" s="65" t="s">
        <v>877</v>
      </c>
      <c r="D13" s="64">
        <v>37048.5</v>
      </c>
      <c r="E13" s="65" t="s">
        <v>991</v>
      </c>
      <c r="F13" s="65" t="s">
        <v>992</v>
      </c>
    </row>
    <row r="14" spans="1:9" ht="18.5" thickBot="1">
      <c r="A14" s="64">
        <v>136</v>
      </c>
      <c r="B14" s="65" t="s">
        <v>1000</v>
      </c>
      <c r="C14" s="65" t="s">
        <v>1001</v>
      </c>
      <c r="D14" s="64">
        <v>190.7</v>
      </c>
      <c r="E14" s="65" t="s">
        <v>991</v>
      </c>
      <c r="F14" s="65" t="s">
        <v>992</v>
      </c>
    </row>
    <row r="15" spans="1:9" ht="18.5" thickBot="1">
      <c r="A15" s="64">
        <v>137</v>
      </c>
      <c r="B15" s="65" t="s">
        <v>1002</v>
      </c>
      <c r="C15" s="65" t="s">
        <v>775</v>
      </c>
      <c r="D15" s="64">
        <v>534.5</v>
      </c>
      <c r="E15" s="65" t="s">
        <v>991</v>
      </c>
      <c r="F15" s="65" t="s">
        <v>992</v>
      </c>
    </row>
    <row r="16" spans="1:9" ht="18.5" thickBot="1">
      <c r="A16" s="64">
        <v>138</v>
      </c>
      <c r="B16" s="65" t="s">
        <v>1003</v>
      </c>
      <c r="C16" s="65" t="s">
        <v>882</v>
      </c>
      <c r="D16" s="64">
        <v>183.2</v>
      </c>
      <c r="E16" s="65" t="s">
        <v>991</v>
      </c>
      <c r="F16" s="65" t="s">
        <v>992</v>
      </c>
    </row>
    <row r="17" spans="1:6" ht="18.5" thickBot="1">
      <c r="A17" s="64">
        <v>139</v>
      </c>
      <c r="B17" s="65" t="s">
        <v>956</v>
      </c>
      <c r="C17" s="65" t="s">
        <v>884</v>
      </c>
      <c r="D17" s="64">
        <v>6932.3</v>
      </c>
      <c r="E17" s="65" t="s">
        <v>991</v>
      </c>
      <c r="F17" s="65" t="s">
        <v>992</v>
      </c>
    </row>
    <row r="18" spans="1:6" ht="18.5" thickBot="1">
      <c r="A18" s="64">
        <v>140</v>
      </c>
      <c r="B18" s="65" t="s">
        <v>1004</v>
      </c>
      <c r="C18" s="65" t="s">
        <v>903</v>
      </c>
      <c r="D18" s="64">
        <v>679</v>
      </c>
      <c r="E18" s="65" t="s">
        <v>991</v>
      </c>
      <c r="F18" s="65" t="s">
        <v>992</v>
      </c>
    </row>
    <row r="19" spans="1:6" ht="18.5" thickBot="1">
      <c r="A19" s="64">
        <v>141</v>
      </c>
      <c r="B19" s="65" t="s">
        <v>936</v>
      </c>
      <c r="C19" s="65" t="s">
        <v>890</v>
      </c>
      <c r="D19" s="64">
        <v>2458.3000000000002</v>
      </c>
      <c r="E19" s="65" t="s">
        <v>991</v>
      </c>
      <c r="F19" s="65" t="s">
        <v>992</v>
      </c>
    </row>
    <row r="20" spans="1:6" ht="18.5" thickBot="1">
      <c r="A20" s="64">
        <v>142</v>
      </c>
      <c r="B20" s="65" t="s">
        <v>1005</v>
      </c>
      <c r="C20" s="65" t="s">
        <v>886</v>
      </c>
      <c r="D20" s="64">
        <v>322.60000000000002</v>
      </c>
      <c r="E20" s="65" t="s">
        <v>991</v>
      </c>
      <c r="F20" s="65" t="s">
        <v>992</v>
      </c>
    </row>
    <row r="21" spans="1:6" ht="18.5" thickBot="1">
      <c r="A21" s="64">
        <v>143</v>
      </c>
      <c r="B21" s="65" t="s">
        <v>939</v>
      </c>
      <c r="C21" s="65" t="s">
        <v>940</v>
      </c>
      <c r="D21" s="64">
        <v>4.7</v>
      </c>
      <c r="E21" s="65" t="s">
        <v>991</v>
      </c>
      <c r="F21" s="65" t="s">
        <v>992</v>
      </c>
    </row>
    <row r="22" spans="1:6" ht="18.5" thickBot="1">
      <c r="A22" s="64">
        <v>144</v>
      </c>
      <c r="B22" s="65" t="s">
        <v>941</v>
      </c>
      <c r="C22" s="65" t="s">
        <v>942</v>
      </c>
      <c r="D22" s="64">
        <v>27</v>
      </c>
      <c r="E22" s="65" t="s">
        <v>991</v>
      </c>
      <c r="F22" s="65" t="s">
        <v>992</v>
      </c>
    </row>
    <row r="23" spans="1:6" ht="18.5" thickBot="1">
      <c r="A23" s="64">
        <v>145</v>
      </c>
      <c r="B23" s="65" t="s">
        <v>1006</v>
      </c>
      <c r="C23" s="65" t="s">
        <v>1007</v>
      </c>
      <c r="D23" s="64">
        <v>146.19999999999999</v>
      </c>
      <c r="E23" s="65" t="s">
        <v>991</v>
      </c>
      <c r="F23" s="65" t="s">
        <v>992</v>
      </c>
    </row>
    <row r="24" spans="1:6" ht="18.5" thickBot="1">
      <c r="A24" s="64">
        <v>146</v>
      </c>
      <c r="B24" s="65" t="s">
        <v>1008</v>
      </c>
      <c r="C24" s="65" t="s">
        <v>844</v>
      </c>
      <c r="D24" s="64">
        <v>6.1</v>
      </c>
      <c r="E24" s="65" t="s">
        <v>991</v>
      </c>
      <c r="F24" s="65" t="s">
        <v>992</v>
      </c>
    </row>
    <row r="25" spans="1:6" ht="18.5" thickBot="1">
      <c r="A25" s="64">
        <v>159</v>
      </c>
      <c r="B25" s="65" t="s">
        <v>1009</v>
      </c>
      <c r="C25" s="65" t="s">
        <v>779</v>
      </c>
      <c r="D25" s="64">
        <v>2247.5</v>
      </c>
      <c r="E25" s="65" t="s">
        <v>991</v>
      </c>
      <c r="F25" s="65" t="s">
        <v>992</v>
      </c>
    </row>
    <row r="26" spans="1:6" ht="18.5" thickBot="1">
      <c r="A26" s="64">
        <v>196</v>
      </c>
      <c r="B26" s="65" t="s">
        <v>1010</v>
      </c>
      <c r="C26" s="65" t="s">
        <v>183</v>
      </c>
      <c r="D26" s="64">
        <v>1639.7</v>
      </c>
      <c r="E26" s="65" t="s">
        <v>991</v>
      </c>
      <c r="F26" s="65" t="s">
        <v>992</v>
      </c>
    </row>
    <row r="27" spans="1:6" ht="18.5" thickBot="1">
      <c r="A27" s="64">
        <v>211</v>
      </c>
      <c r="B27" s="65" t="s">
        <v>943</v>
      </c>
      <c r="C27" s="65" t="s">
        <v>172</v>
      </c>
      <c r="D27" s="64">
        <v>12588.5</v>
      </c>
      <c r="E27" s="65" t="s">
        <v>991</v>
      </c>
      <c r="F27" s="65" t="s">
        <v>992</v>
      </c>
    </row>
    <row r="28" spans="1:6" ht="18.5" thickBot="1">
      <c r="A28" s="64">
        <v>218</v>
      </c>
      <c r="B28" s="65" t="s">
        <v>947</v>
      </c>
      <c r="C28" s="65" t="s">
        <v>874</v>
      </c>
      <c r="D28" s="64">
        <v>16519.3</v>
      </c>
      <c r="E28" s="65" t="s">
        <v>991</v>
      </c>
      <c r="F28" s="65" t="s">
        <v>992</v>
      </c>
    </row>
    <row r="29" spans="1:6" ht="18.5" thickBot="1">
      <c r="A29" s="64">
        <v>282</v>
      </c>
      <c r="B29" s="65" t="s">
        <v>944</v>
      </c>
      <c r="C29" s="65" t="s">
        <v>899</v>
      </c>
      <c r="D29" s="64">
        <v>1263.5999999999999</v>
      </c>
      <c r="E29" s="65" t="s">
        <v>991</v>
      </c>
      <c r="F29" s="65" t="s">
        <v>992</v>
      </c>
    </row>
    <row r="30" spans="1:6" ht="18.5" thickBot="1">
      <c r="A30" s="64">
        <v>287</v>
      </c>
      <c r="B30" s="65" t="s">
        <v>1011</v>
      </c>
      <c r="C30" s="65" t="s">
        <v>788</v>
      </c>
      <c r="D30" s="64">
        <v>819</v>
      </c>
      <c r="E30" s="65" t="s">
        <v>991</v>
      </c>
      <c r="F30" s="65" t="s">
        <v>992</v>
      </c>
    </row>
    <row r="31" spans="1:6" ht="18.5" thickBot="1">
      <c r="A31" s="64">
        <v>295</v>
      </c>
      <c r="B31" s="65" t="s">
        <v>1012</v>
      </c>
      <c r="C31" s="65" t="s">
        <v>1013</v>
      </c>
      <c r="D31" s="64">
        <v>50.5</v>
      </c>
      <c r="E31" s="65" t="s">
        <v>991</v>
      </c>
      <c r="F31" s="65" t="s">
        <v>992</v>
      </c>
    </row>
    <row r="32" spans="1:6" ht="18.5" thickBot="1">
      <c r="A32" s="64">
        <v>381</v>
      </c>
      <c r="B32" s="65" t="s">
        <v>966</v>
      </c>
      <c r="C32" s="65" t="s">
        <v>857</v>
      </c>
      <c r="D32" s="64">
        <v>17994.099999999999</v>
      </c>
      <c r="E32" s="65" t="s">
        <v>991</v>
      </c>
      <c r="F32" s="65" t="s">
        <v>992</v>
      </c>
    </row>
    <row r="33" spans="1:6" ht="18.5" thickBot="1">
      <c r="A33" s="64">
        <v>447</v>
      </c>
      <c r="B33" s="65" t="s">
        <v>1014</v>
      </c>
      <c r="C33" s="65" t="s">
        <v>749</v>
      </c>
      <c r="D33" s="64">
        <v>1288.0999999999999</v>
      </c>
      <c r="E33" s="65" t="s">
        <v>991</v>
      </c>
      <c r="F33" s="65" t="s">
        <v>992</v>
      </c>
    </row>
    <row r="34" spans="1:6">
      <c r="A34" s="66"/>
      <c r="B34" s="67"/>
      <c r="C34" s="67"/>
      <c r="D34" s="66"/>
      <c r="E34" s="67"/>
      <c r="F34" s="67"/>
    </row>
    <row r="35" spans="1:6">
      <c r="A35" s="66"/>
      <c r="B35" s="67"/>
      <c r="C35" s="67"/>
      <c r="D35" s="66"/>
      <c r="E35" s="67"/>
      <c r="F35" s="67"/>
    </row>
    <row r="36" spans="1:6">
      <c r="A36" s="66"/>
      <c r="B36" s="67"/>
      <c r="C36" s="67"/>
      <c r="D36" s="66"/>
      <c r="E36" s="67"/>
      <c r="F36" s="67"/>
    </row>
    <row r="37" spans="1:6">
      <c r="A37" s="50"/>
      <c r="B37" s="50"/>
      <c r="C37" s="50"/>
      <c r="D37" s="50"/>
      <c r="E37" s="50"/>
      <c r="F37" s="50"/>
    </row>
  </sheetData>
  <mergeCells count="1">
    <mergeCell ref="H1:I1"/>
  </mergeCells>
  <phoneticPr fontId="3"/>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6"/>
  <sheetViews>
    <sheetView workbookViewId="0">
      <selection sqref="A1:XFD1048576"/>
    </sheetView>
  </sheetViews>
  <sheetFormatPr defaultColWidth="8.1640625" defaultRowHeight="18"/>
  <cols>
    <col min="1" max="1" width="9.08203125" bestFit="1" customWidth="1"/>
    <col min="2" max="2" width="6.5" bestFit="1" customWidth="1"/>
    <col min="3" max="3" width="7.25" bestFit="1" customWidth="1"/>
    <col min="4" max="4" width="10.5" bestFit="1" customWidth="1"/>
  </cols>
  <sheetData>
    <row r="1" spans="1:4">
      <c r="A1" s="41" t="s">
        <v>572</v>
      </c>
      <c r="B1" s="41" t="s">
        <v>573</v>
      </c>
      <c r="C1" s="41" t="s">
        <v>1068</v>
      </c>
      <c r="D1" s="41" t="s">
        <v>578</v>
      </c>
    </row>
    <row r="2" spans="1:4">
      <c r="A2" s="43" t="s">
        <v>254</v>
      </c>
      <c r="B2" s="43" t="s">
        <v>254</v>
      </c>
      <c r="C2" s="106"/>
      <c r="D2" s="43" t="s">
        <v>875</v>
      </c>
    </row>
    <row r="3" spans="1:4">
      <c r="A3" s="43" t="s">
        <v>856</v>
      </c>
      <c r="B3" s="43" t="s">
        <v>857</v>
      </c>
      <c r="C3" s="44"/>
      <c r="D3" s="43" t="s">
        <v>875</v>
      </c>
    </row>
    <row r="4" spans="1:4">
      <c r="A4" s="43" t="s">
        <v>859</v>
      </c>
      <c r="B4" s="43" t="s">
        <v>860</v>
      </c>
      <c r="C4" s="44"/>
      <c r="D4" s="43" t="s">
        <v>875</v>
      </c>
    </row>
    <row r="5" spans="1:4">
      <c r="A5" s="43" t="s">
        <v>861</v>
      </c>
      <c r="B5" s="43" t="s">
        <v>862</v>
      </c>
      <c r="C5" s="44"/>
      <c r="D5" s="43" t="s">
        <v>875</v>
      </c>
    </row>
    <row r="6" spans="1:4">
      <c r="A6" s="43" t="s">
        <v>863</v>
      </c>
      <c r="B6" s="43" t="s">
        <v>864</v>
      </c>
      <c r="C6" s="44"/>
      <c r="D6" s="43" t="s">
        <v>875</v>
      </c>
    </row>
    <row r="7" spans="1:4">
      <c r="A7" s="43" t="s">
        <v>867</v>
      </c>
      <c r="B7" s="43" t="s">
        <v>868</v>
      </c>
      <c r="C7" s="44"/>
      <c r="D7" s="43" t="s">
        <v>875</v>
      </c>
    </row>
    <row r="8" spans="1:4">
      <c r="A8" s="43" t="s">
        <v>871</v>
      </c>
      <c r="B8" s="43" t="s">
        <v>872</v>
      </c>
      <c r="C8" s="44"/>
      <c r="D8" s="43" t="s">
        <v>875</v>
      </c>
    </row>
    <row r="9" spans="1:4">
      <c r="A9" s="43" t="s">
        <v>865</v>
      </c>
      <c r="B9" s="43" t="s">
        <v>866</v>
      </c>
      <c r="C9" s="44"/>
      <c r="D9" s="43" t="s">
        <v>875</v>
      </c>
    </row>
    <row r="10" spans="1:4">
      <c r="A10" s="43" t="s">
        <v>876</v>
      </c>
      <c r="B10" s="43" t="s">
        <v>877</v>
      </c>
      <c r="C10" s="44"/>
      <c r="D10" s="43" t="s">
        <v>875</v>
      </c>
    </row>
    <row r="11" spans="1:4">
      <c r="A11" s="43" t="s">
        <v>880</v>
      </c>
      <c r="B11" s="43" t="s">
        <v>172</v>
      </c>
      <c r="C11" s="44"/>
      <c r="D11" s="43" t="s">
        <v>875</v>
      </c>
    </row>
    <row r="12" spans="1:4">
      <c r="A12" s="43" t="s">
        <v>883</v>
      </c>
      <c r="B12" s="43" t="s">
        <v>884</v>
      </c>
      <c r="C12" s="44"/>
      <c r="D12" s="43" t="s">
        <v>875</v>
      </c>
    </row>
    <row r="13" spans="1:4">
      <c r="A13" s="43" t="s">
        <v>1069</v>
      </c>
      <c r="B13" s="43" t="s">
        <v>940</v>
      </c>
      <c r="C13" s="44"/>
      <c r="D13" s="43" t="s">
        <v>875</v>
      </c>
    </row>
    <row r="14" spans="1:4">
      <c r="A14" s="43" t="s">
        <v>873</v>
      </c>
      <c r="B14" s="43" t="s">
        <v>874</v>
      </c>
      <c r="C14" s="44"/>
      <c r="D14" s="43" t="s">
        <v>875</v>
      </c>
    </row>
    <row r="15" spans="1:4">
      <c r="A15" s="43" t="s">
        <v>889</v>
      </c>
      <c r="B15" s="43" t="s">
        <v>890</v>
      </c>
      <c r="C15" s="44"/>
      <c r="D15" s="43" t="s">
        <v>875</v>
      </c>
    </row>
    <row r="16" spans="1:4">
      <c r="A16" s="43" t="s">
        <v>843</v>
      </c>
      <c r="B16" s="43" t="s">
        <v>844</v>
      </c>
      <c r="C16" s="44"/>
      <c r="D16" s="43" t="s">
        <v>875</v>
      </c>
    </row>
  </sheetData>
  <phoneticPr fontId="3"/>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00"/>
  <sheetViews>
    <sheetView topLeftCell="A21" workbookViewId="0">
      <selection sqref="A1:XFD1048576"/>
    </sheetView>
  </sheetViews>
  <sheetFormatPr defaultColWidth="8.1640625" defaultRowHeight="18"/>
  <cols>
    <col min="1" max="1" width="13.75" bestFit="1" customWidth="1"/>
    <col min="2" max="2" width="31.25" bestFit="1" customWidth="1"/>
    <col min="3" max="3" width="6.5" bestFit="1" customWidth="1"/>
    <col min="4" max="4" width="32.5" bestFit="1" customWidth="1"/>
    <col min="5" max="5" width="33.08203125" bestFit="1" customWidth="1"/>
    <col min="6" max="6" width="10.08203125" bestFit="1" customWidth="1"/>
    <col min="7" max="7" width="8.25" bestFit="1" customWidth="1"/>
    <col min="8" max="8" width="10.6640625" style="40" bestFit="1" customWidth="1"/>
  </cols>
  <sheetData>
    <row r="1" spans="1:11">
      <c r="A1" s="107" t="s">
        <v>572</v>
      </c>
      <c r="B1" s="107" t="s">
        <v>573</v>
      </c>
      <c r="C1" s="107" t="s">
        <v>1070</v>
      </c>
      <c r="D1" s="107" t="s">
        <v>1071</v>
      </c>
      <c r="E1" s="107" t="s">
        <v>1072</v>
      </c>
      <c r="F1" s="107" t="s">
        <v>1073</v>
      </c>
      <c r="G1" s="107" t="s">
        <v>1074</v>
      </c>
      <c r="H1" s="107" t="s">
        <v>1075</v>
      </c>
      <c r="I1" s="108" t="s">
        <v>1076</v>
      </c>
      <c r="J1" s="108" t="s">
        <v>1077</v>
      </c>
      <c r="K1" s="108" t="s">
        <v>1078</v>
      </c>
    </row>
    <row r="2" spans="1:11">
      <c r="A2" s="109" t="s">
        <v>1079</v>
      </c>
      <c r="B2" s="109" t="s">
        <v>1080</v>
      </c>
      <c r="C2" s="109" t="s">
        <v>254</v>
      </c>
      <c r="D2" s="109" t="s">
        <v>254</v>
      </c>
      <c r="E2" s="109" t="s">
        <v>254</v>
      </c>
      <c r="F2" s="110">
        <v>300</v>
      </c>
      <c r="G2" s="110">
        <v>300</v>
      </c>
      <c r="H2" s="111">
        <v>0</v>
      </c>
      <c r="I2">
        <v>0</v>
      </c>
    </row>
    <row r="3" spans="1:11">
      <c r="A3" s="109" t="s">
        <v>1081</v>
      </c>
      <c r="B3" s="109" t="s">
        <v>1082</v>
      </c>
      <c r="C3" s="109" t="s">
        <v>254</v>
      </c>
      <c r="D3" s="109" t="s">
        <v>254</v>
      </c>
      <c r="E3" s="109" t="s">
        <v>254</v>
      </c>
      <c r="F3" s="110">
        <v>150</v>
      </c>
      <c r="G3" s="110">
        <v>149.99999999999997</v>
      </c>
      <c r="H3" s="111">
        <v>2.8421709430404007E-14</v>
      </c>
      <c r="I3">
        <v>0</v>
      </c>
    </row>
    <row r="4" spans="1:11">
      <c r="A4" s="109" t="s">
        <v>1083</v>
      </c>
      <c r="B4" s="109" t="s">
        <v>1084</v>
      </c>
      <c r="C4" s="109" t="s">
        <v>254</v>
      </c>
      <c r="D4" s="109" t="s">
        <v>254</v>
      </c>
      <c r="E4" s="109" t="s">
        <v>254</v>
      </c>
      <c r="F4" s="110">
        <v>385</v>
      </c>
      <c r="G4" s="110">
        <v>385.00000000000006</v>
      </c>
      <c r="H4" s="111">
        <v>-5.6843418860808015E-14</v>
      </c>
      <c r="I4">
        <v>0</v>
      </c>
    </row>
    <row r="5" spans="1:11">
      <c r="A5" s="109" t="s">
        <v>579</v>
      </c>
      <c r="B5" s="109" t="s">
        <v>580</v>
      </c>
      <c r="C5" s="109" t="s">
        <v>254</v>
      </c>
      <c r="D5" s="109" t="s">
        <v>254</v>
      </c>
      <c r="E5" s="109" t="s">
        <v>254</v>
      </c>
      <c r="F5" s="110">
        <v>3736.3</v>
      </c>
      <c r="G5" s="110">
        <v>2492.4</v>
      </c>
      <c r="H5" s="111">
        <v>1243.9000000000001</v>
      </c>
      <c r="I5">
        <v>4</v>
      </c>
    </row>
    <row r="6" spans="1:11">
      <c r="A6" s="109" t="s">
        <v>1085</v>
      </c>
      <c r="B6" s="109" t="s">
        <v>41</v>
      </c>
      <c r="C6" s="109" t="s">
        <v>254</v>
      </c>
      <c r="D6" s="109" t="s">
        <v>1086</v>
      </c>
      <c r="E6" s="109" t="s">
        <v>254</v>
      </c>
      <c r="F6" s="110">
        <v>500</v>
      </c>
      <c r="G6" s="110">
        <v>500</v>
      </c>
      <c r="H6" s="111">
        <v>0</v>
      </c>
      <c r="I6">
        <v>0</v>
      </c>
    </row>
    <row r="7" spans="1:11">
      <c r="A7" s="109" t="s">
        <v>1087</v>
      </c>
      <c r="B7" s="109" t="s">
        <v>1088</v>
      </c>
      <c r="C7" s="109" t="s">
        <v>254</v>
      </c>
      <c r="D7" s="109" t="s">
        <v>254</v>
      </c>
      <c r="E7" s="109" t="s">
        <v>254</v>
      </c>
      <c r="F7" s="112"/>
      <c r="G7" s="110">
        <v>0</v>
      </c>
      <c r="H7" s="111">
        <v>0</v>
      </c>
      <c r="I7">
        <v>0</v>
      </c>
    </row>
    <row r="8" spans="1:11">
      <c r="A8" s="109" t="s">
        <v>811</v>
      </c>
      <c r="B8" s="109" t="s">
        <v>812</v>
      </c>
      <c r="C8" s="109" t="s">
        <v>254</v>
      </c>
      <c r="D8" s="109" t="s">
        <v>254</v>
      </c>
      <c r="E8" s="109" t="s">
        <v>254</v>
      </c>
      <c r="F8" s="110">
        <v>684.39400000000001</v>
      </c>
      <c r="G8" s="110">
        <v>20.893999999999998</v>
      </c>
      <c r="H8" s="111">
        <v>663.5</v>
      </c>
      <c r="I8">
        <v>2</v>
      </c>
    </row>
    <row r="9" spans="1:11">
      <c r="A9" s="109" t="s">
        <v>1089</v>
      </c>
      <c r="B9" s="109" t="s">
        <v>231</v>
      </c>
      <c r="C9" s="109" t="s">
        <v>254</v>
      </c>
      <c r="D9" s="109" t="s">
        <v>254</v>
      </c>
      <c r="E9" s="109" t="s">
        <v>1090</v>
      </c>
      <c r="F9" s="110">
        <v>113109.99999999996</v>
      </c>
      <c r="G9" s="110">
        <v>11588.8</v>
      </c>
      <c r="H9" s="111">
        <v>101521.19999999995</v>
      </c>
      <c r="I9">
        <v>92</v>
      </c>
    </row>
    <row r="10" spans="1:11">
      <c r="A10" s="109" t="s">
        <v>1091</v>
      </c>
      <c r="B10" s="109" t="s">
        <v>232</v>
      </c>
      <c r="C10" s="109" t="s">
        <v>254</v>
      </c>
      <c r="D10" s="109" t="s">
        <v>1092</v>
      </c>
      <c r="E10" s="109" t="s">
        <v>1090</v>
      </c>
      <c r="F10" s="110">
        <v>19954.099999999988</v>
      </c>
      <c r="G10" s="110">
        <v>18133.099999999995</v>
      </c>
      <c r="H10" s="111">
        <v>1820.9999999999927</v>
      </c>
      <c r="I10">
        <v>7</v>
      </c>
    </row>
    <row r="11" spans="1:11">
      <c r="A11" s="109" t="s">
        <v>1093</v>
      </c>
      <c r="B11" s="109" t="s">
        <v>1094</v>
      </c>
      <c r="C11" s="109" t="s">
        <v>254</v>
      </c>
      <c r="D11" s="109" t="s">
        <v>254</v>
      </c>
      <c r="E11" s="109" t="s">
        <v>254</v>
      </c>
      <c r="F11" s="110">
        <v>11579.5</v>
      </c>
      <c r="G11" s="110">
        <v>11579.5</v>
      </c>
      <c r="H11" s="111">
        <v>0</v>
      </c>
      <c r="I11">
        <v>0</v>
      </c>
    </row>
    <row r="12" spans="1:11">
      <c r="A12" s="109" t="s">
        <v>1095</v>
      </c>
      <c r="B12" s="109" t="s">
        <v>1096</v>
      </c>
      <c r="C12" s="109" t="s">
        <v>254</v>
      </c>
      <c r="D12" s="109" t="s">
        <v>1097</v>
      </c>
      <c r="E12" s="109" t="s">
        <v>254</v>
      </c>
      <c r="F12" s="110">
        <v>4213.7</v>
      </c>
      <c r="G12" s="110">
        <v>3836.7</v>
      </c>
      <c r="H12" s="111">
        <v>377</v>
      </c>
      <c r="I12">
        <v>2</v>
      </c>
    </row>
    <row r="13" spans="1:11">
      <c r="A13" s="109" t="s">
        <v>1098</v>
      </c>
      <c r="B13" s="109" t="s">
        <v>1099</v>
      </c>
      <c r="C13" s="109" t="s">
        <v>254</v>
      </c>
      <c r="D13" s="109" t="s">
        <v>1100</v>
      </c>
      <c r="E13" s="109" t="s">
        <v>254</v>
      </c>
      <c r="F13" s="110">
        <v>1223.4800000000005</v>
      </c>
      <c r="G13" s="110">
        <v>396.57</v>
      </c>
      <c r="H13" s="111">
        <v>826.91000000000054</v>
      </c>
      <c r="I13">
        <v>8</v>
      </c>
    </row>
    <row r="14" spans="1:11">
      <c r="A14" s="109" t="s">
        <v>1101</v>
      </c>
      <c r="B14" s="109" t="s">
        <v>1102</v>
      </c>
      <c r="C14" s="109" t="s">
        <v>1103</v>
      </c>
      <c r="D14" s="109" t="s">
        <v>1104</v>
      </c>
      <c r="E14" s="109" t="s">
        <v>1105</v>
      </c>
      <c r="F14" s="110">
        <v>510</v>
      </c>
      <c r="G14" s="110">
        <v>0</v>
      </c>
      <c r="H14" s="111">
        <v>510</v>
      </c>
      <c r="I14">
        <v>1</v>
      </c>
    </row>
    <row r="15" spans="1:11">
      <c r="A15" s="109" t="s">
        <v>1106</v>
      </c>
      <c r="B15" s="109" t="s">
        <v>1107</v>
      </c>
      <c r="C15" s="109" t="s">
        <v>1108</v>
      </c>
      <c r="D15" s="109" t="s">
        <v>1104</v>
      </c>
      <c r="E15" s="109" t="s">
        <v>1109</v>
      </c>
      <c r="F15" s="110">
        <v>840.5</v>
      </c>
      <c r="G15" s="110">
        <v>0</v>
      </c>
      <c r="H15" s="111">
        <v>840.5</v>
      </c>
      <c r="I15">
        <v>1</v>
      </c>
    </row>
    <row r="16" spans="1:11">
      <c r="A16" s="109" t="s">
        <v>1110</v>
      </c>
      <c r="B16" s="109" t="s">
        <v>1111</v>
      </c>
      <c r="C16" s="109" t="s">
        <v>1108</v>
      </c>
      <c r="D16" s="109" t="s">
        <v>1112</v>
      </c>
      <c r="E16" s="109" t="s">
        <v>1109</v>
      </c>
      <c r="F16" s="110">
        <v>371</v>
      </c>
      <c r="G16" s="110">
        <v>0</v>
      </c>
      <c r="H16" s="111">
        <v>371</v>
      </c>
      <c r="I16">
        <v>1</v>
      </c>
    </row>
    <row r="17" spans="1:9">
      <c r="A17" s="109" t="s">
        <v>1113</v>
      </c>
      <c r="B17" s="109" t="s">
        <v>1114</v>
      </c>
      <c r="C17" s="109" t="s">
        <v>1115</v>
      </c>
      <c r="D17" s="109" t="s">
        <v>1104</v>
      </c>
      <c r="E17" s="109" t="s">
        <v>1116</v>
      </c>
      <c r="F17" s="110">
        <v>612</v>
      </c>
      <c r="G17" s="110">
        <v>0</v>
      </c>
      <c r="H17" s="111">
        <v>612</v>
      </c>
      <c r="I17">
        <v>2</v>
      </c>
    </row>
    <row r="18" spans="1:9">
      <c r="A18" s="109" t="s">
        <v>1117</v>
      </c>
      <c r="B18" s="109" t="s">
        <v>1118</v>
      </c>
      <c r="C18" s="109" t="s">
        <v>1115</v>
      </c>
      <c r="D18" s="109" t="s">
        <v>1119</v>
      </c>
      <c r="E18" s="109" t="s">
        <v>1116</v>
      </c>
      <c r="F18" s="110">
        <v>708</v>
      </c>
      <c r="G18" s="110">
        <v>0</v>
      </c>
      <c r="H18" s="111">
        <v>708</v>
      </c>
      <c r="I18">
        <v>1</v>
      </c>
    </row>
    <row r="19" spans="1:9">
      <c r="A19" s="109" t="s">
        <v>1120</v>
      </c>
      <c r="B19" s="109" t="s">
        <v>1121</v>
      </c>
      <c r="C19" s="109" t="s">
        <v>1115</v>
      </c>
      <c r="D19" s="109" t="s">
        <v>1122</v>
      </c>
      <c r="E19" s="109" t="s">
        <v>1123</v>
      </c>
      <c r="F19" s="110">
        <v>329</v>
      </c>
      <c r="G19" s="110">
        <v>0</v>
      </c>
      <c r="H19" s="111">
        <v>329</v>
      </c>
      <c r="I19">
        <v>1</v>
      </c>
    </row>
    <row r="20" spans="1:9">
      <c r="A20" s="109" t="s">
        <v>1124</v>
      </c>
      <c r="B20" s="109" t="s">
        <v>1125</v>
      </c>
      <c r="C20" s="109" t="s">
        <v>1115</v>
      </c>
      <c r="D20" s="109" t="s">
        <v>1126</v>
      </c>
      <c r="E20" s="109" t="s">
        <v>1116</v>
      </c>
      <c r="F20" s="110">
        <v>286.5</v>
      </c>
      <c r="G20" s="110">
        <v>0</v>
      </c>
      <c r="H20" s="111">
        <v>286.5</v>
      </c>
      <c r="I20">
        <v>1</v>
      </c>
    </row>
    <row r="21" spans="1:9">
      <c r="A21" s="109" t="s">
        <v>1127</v>
      </c>
      <c r="B21" s="109" t="s">
        <v>22</v>
      </c>
      <c r="C21" s="109" t="s">
        <v>1115</v>
      </c>
      <c r="D21" s="109" t="s">
        <v>1128</v>
      </c>
      <c r="E21" s="109" t="s">
        <v>254</v>
      </c>
      <c r="F21" s="110">
        <v>314.5</v>
      </c>
      <c r="G21" s="110">
        <v>35</v>
      </c>
      <c r="H21" s="111">
        <v>279.5</v>
      </c>
      <c r="I21">
        <v>1</v>
      </c>
    </row>
    <row r="22" spans="1:9">
      <c r="A22" s="109" t="s">
        <v>1129</v>
      </c>
      <c r="B22" s="109" t="s">
        <v>1130</v>
      </c>
      <c r="C22" s="109" t="s">
        <v>1115</v>
      </c>
      <c r="D22" s="109" t="s">
        <v>1131</v>
      </c>
      <c r="E22" s="109" t="s">
        <v>1116</v>
      </c>
      <c r="F22" s="110">
        <v>892</v>
      </c>
      <c r="G22" s="110">
        <v>0</v>
      </c>
      <c r="H22" s="111">
        <v>892</v>
      </c>
      <c r="I22">
        <v>1</v>
      </c>
    </row>
    <row r="23" spans="1:9">
      <c r="A23" s="109" t="s">
        <v>1132</v>
      </c>
      <c r="B23" s="109" t="s">
        <v>1133</v>
      </c>
      <c r="C23" s="109" t="s">
        <v>1115</v>
      </c>
      <c r="D23" s="109" t="s">
        <v>1134</v>
      </c>
      <c r="E23" s="109" t="s">
        <v>1116</v>
      </c>
      <c r="F23" s="110">
        <v>1154.5</v>
      </c>
      <c r="G23" s="110">
        <v>0</v>
      </c>
      <c r="H23" s="111">
        <v>1154.5</v>
      </c>
      <c r="I23">
        <v>2</v>
      </c>
    </row>
    <row r="24" spans="1:9">
      <c r="A24" s="109" t="s">
        <v>1135</v>
      </c>
      <c r="B24" s="109" t="s">
        <v>1136</v>
      </c>
      <c r="C24" s="109" t="s">
        <v>1115</v>
      </c>
      <c r="D24" s="109" t="s">
        <v>1112</v>
      </c>
      <c r="E24" s="109" t="s">
        <v>1116</v>
      </c>
      <c r="F24" s="110">
        <v>863.5</v>
      </c>
      <c r="G24" s="110">
        <v>0</v>
      </c>
      <c r="H24" s="111">
        <v>863.5</v>
      </c>
      <c r="I24">
        <v>2</v>
      </c>
    </row>
    <row r="25" spans="1:9">
      <c r="A25" s="109" t="s">
        <v>1137</v>
      </c>
      <c r="B25" s="109" t="s">
        <v>1138</v>
      </c>
      <c r="C25" s="109" t="s">
        <v>1139</v>
      </c>
      <c r="D25" s="109" t="s">
        <v>1104</v>
      </c>
      <c r="E25" s="109" t="s">
        <v>1140</v>
      </c>
      <c r="F25" s="110">
        <v>446</v>
      </c>
      <c r="G25" s="110">
        <v>0</v>
      </c>
      <c r="H25" s="111">
        <v>446</v>
      </c>
      <c r="I25">
        <v>1</v>
      </c>
    </row>
    <row r="26" spans="1:9">
      <c r="A26" s="109" t="s">
        <v>1141</v>
      </c>
      <c r="B26" s="109" t="s">
        <v>1142</v>
      </c>
      <c r="C26" s="109" t="s">
        <v>1139</v>
      </c>
      <c r="D26" s="109" t="s">
        <v>1143</v>
      </c>
      <c r="E26" s="109" t="s">
        <v>1140</v>
      </c>
      <c r="F26" s="110">
        <v>531.5</v>
      </c>
      <c r="G26" s="110">
        <v>0</v>
      </c>
      <c r="H26" s="111">
        <v>531.5</v>
      </c>
      <c r="I26">
        <v>1</v>
      </c>
    </row>
    <row r="27" spans="1:9">
      <c r="A27" s="109" t="s">
        <v>1144</v>
      </c>
      <c r="B27" s="109" t="s">
        <v>1145</v>
      </c>
      <c r="C27" s="109" t="s">
        <v>1139</v>
      </c>
      <c r="D27" s="109" t="s">
        <v>1131</v>
      </c>
      <c r="E27" s="109" t="s">
        <v>1140</v>
      </c>
      <c r="F27" s="110">
        <v>1839.5</v>
      </c>
      <c r="G27" s="110">
        <v>0</v>
      </c>
      <c r="H27" s="111">
        <v>1839.5</v>
      </c>
      <c r="I27">
        <v>3</v>
      </c>
    </row>
    <row r="28" spans="1:9">
      <c r="A28" s="109" t="s">
        <v>817</v>
      </c>
      <c r="B28" s="109" t="s">
        <v>818</v>
      </c>
      <c r="C28" s="109" t="s">
        <v>1139</v>
      </c>
      <c r="D28" s="109" t="s">
        <v>1146</v>
      </c>
      <c r="E28" s="109" t="s">
        <v>1140</v>
      </c>
      <c r="F28" s="110">
        <v>1761.5</v>
      </c>
      <c r="G28" s="110">
        <v>1646.5</v>
      </c>
      <c r="H28" s="111">
        <v>115</v>
      </c>
      <c r="I28">
        <v>1</v>
      </c>
    </row>
    <row r="29" spans="1:9">
      <c r="A29" s="109" t="s">
        <v>1147</v>
      </c>
      <c r="B29" s="109" t="s">
        <v>28</v>
      </c>
      <c r="C29" s="109" t="s">
        <v>1139</v>
      </c>
      <c r="D29" s="109" t="s">
        <v>1112</v>
      </c>
      <c r="E29" s="109" t="s">
        <v>1140</v>
      </c>
      <c r="F29" s="110">
        <v>36.5</v>
      </c>
      <c r="G29" s="110">
        <v>0</v>
      </c>
      <c r="H29" s="111">
        <v>36.5</v>
      </c>
      <c r="I29">
        <v>1</v>
      </c>
    </row>
    <row r="30" spans="1:9">
      <c r="A30" s="109" t="s">
        <v>1148</v>
      </c>
      <c r="B30" s="109" t="s">
        <v>1149</v>
      </c>
      <c r="C30" s="109" t="s">
        <v>1150</v>
      </c>
      <c r="D30" s="109" t="s">
        <v>1104</v>
      </c>
      <c r="E30" s="109" t="s">
        <v>1151</v>
      </c>
      <c r="F30" s="110">
        <v>521.5</v>
      </c>
      <c r="G30" s="110">
        <v>0</v>
      </c>
      <c r="H30" s="111">
        <v>521.5</v>
      </c>
      <c r="I30">
        <v>1</v>
      </c>
    </row>
    <row r="31" spans="1:9">
      <c r="A31" s="109" t="s">
        <v>1152</v>
      </c>
      <c r="B31" s="109" t="s">
        <v>1153</v>
      </c>
      <c r="C31" s="109" t="s">
        <v>1150</v>
      </c>
      <c r="D31" s="109" t="s">
        <v>1143</v>
      </c>
      <c r="E31" s="109" t="s">
        <v>1151</v>
      </c>
      <c r="F31" s="110">
        <v>58641.5</v>
      </c>
      <c r="G31" s="110">
        <v>58641.5</v>
      </c>
      <c r="H31" s="111">
        <v>0</v>
      </c>
      <c r="I31">
        <v>0</v>
      </c>
    </row>
    <row r="32" spans="1:9">
      <c r="A32" s="109" t="s">
        <v>1154</v>
      </c>
      <c r="B32" s="109" t="s">
        <v>1155</v>
      </c>
      <c r="C32" s="109" t="s">
        <v>1150</v>
      </c>
      <c r="D32" s="109" t="s">
        <v>1119</v>
      </c>
      <c r="E32" s="109" t="s">
        <v>1151</v>
      </c>
      <c r="F32" s="110">
        <v>1099.5</v>
      </c>
      <c r="G32" s="110">
        <v>0</v>
      </c>
      <c r="H32" s="111">
        <v>1099.5</v>
      </c>
      <c r="I32">
        <v>2</v>
      </c>
    </row>
    <row r="33" spans="1:9">
      <c r="A33" s="109" t="s">
        <v>1156</v>
      </c>
      <c r="B33" s="109" t="s">
        <v>1157</v>
      </c>
      <c r="C33" s="109" t="s">
        <v>254</v>
      </c>
      <c r="D33" s="109" t="s">
        <v>1158</v>
      </c>
      <c r="E33" s="109" t="s">
        <v>254</v>
      </c>
      <c r="F33" s="110">
        <v>59.429999999999993</v>
      </c>
      <c r="G33" s="110">
        <v>59.429999999999993</v>
      </c>
      <c r="H33" s="111">
        <v>0</v>
      </c>
      <c r="I33">
        <v>0</v>
      </c>
    </row>
    <row r="34" spans="1:9">
      <c r="A34" s="109" t="s">
        <v>1159</v>
      </c>
      <c r="B34" s="109" t="s">
        <v>1160</v>
      </c>
      <c r="C34" s="109" t="s">
        <v>1150</v>
      </c>
      <c r="D34" s="109" t="s">
        <v>1131</v>
      </c>
      <c r="E34" s="109" t="s">
        <v>1151</v>
      </c>
      <c r="F34" s="110">
        <v>419.5</v>
      </c>
      <c r="G34" s="110">
        <v>0</v>
      </c>
      <c r="H34" s="111">
        <v>419.5</v>
      </c>
      <c r="I34">
        <v>1</v>
      </c>
    </row>
    <row r="35" spans="1:9">
      <c r="A35" s="109" t="s">
        <v>1161</v>
      </c>
      <c r="B35" s="109" t="s">
        <v>31</v>
      </c>
      <c r="C35" s="109" t="s">
        <v>1150</v>
      </c>
      <c r="D35" s="109" t="s">
        <v>1162</v>
      </c>
      <c r="E35" s="109" t="s">
        <v>1151</v>
      </c>
      <c r="F35" s="110">
        <v>28857.5</v>
      </c>
      <c r="G35" s="110">
        <v>27487</v>
      </c>
      <c r="H35" s="111">
        <v>1370.5</v>
      </c>
      <c r="I35">
        <v>2</v>
      </c>
    </row>
    <row r="36" spans="1:9">
      <c r="A36" s="109" t="s">
        <v>1163</v>
      </c>
      <c r="B36" s="109" t="s">
        <v>1164</v>
      </c>
      <c r="C36" s="109" t="s">
        <v>1150</v>
      </c>
      <c r="D36" s="109" t="s">
        <v>1165</v>
      </c>
      <c r="E36" s="109" t="s">
        <v>1151</v>
      </c>
      <c r="F36" s="110">
        <v>11348</v>
      </c>
      <c r="G36" s="110">
        <v>4548.5</v>
      </c>
      <c r="H36" s="111">
        <v>6799.5</v>
      </c>
      <c r="I36">
        <v>6</v>
      </c>
    </row>
    <row r="37" spans="1:9">
      <c r="A37" s="109" t="s">
        <v>853</v>
      </c>
      <c r="B37" s="109" t="s">
        <v>854</v>
      </c>
      <c r="C37" s="109" t="s">
        <v>1150</v>
      </c>
      <c r="D37" s="109" t="s">
        <v>1166</v>
      </c>
      <c r="E37" s="109" t="s">
        <v>1167</v>
      </c>
      <c r="F37" s="110">
        <v>4662.5</v>
      </c>
      <c r="G37" s="110">
        <v>3878.5</v>
      </c>
      <c r="H37" s="111">
        <v>784</v>
      </c>
      <c r="I37">
        <v>2</v>
      </c>
    </row>
    <row r="38" spans="1:9">
      <c r="A38" s="109" t="s">
        <v>1168</v>
      </c>
      <c r="B38" s="109" t="s">
        <v>1169</v>
      </c>
      <c r="C38" s="109" t="s">
        <v>1150</v>
      </c>
      <c r="D38" s="109" t="s">
        <v>1170</v>
      </c>
      <c r="E38" s="109" t="s">
        <v>1167</v>
      </c>
      <c r="F38" s="110">
        <v>578.5</v>
      </c>
      <c r="G38" s="110">
        <v>0</v>
      </c>
      <c r="H38" s="111">
        <v>578.5</v>
      </c>
      <c r="I38">
        <v>1</v>
      </c>
    </row>
    <row r="39" spans="1:9">
      <c r="A39" s="109" t="s">
        <v>1171</v>
      </c>
      <c r="B39" s="109" t="s">
        <v>1172</v>
      </c>
      <c r="C39" s="109" t="s">
        <v>1150</v>
      </c>
      <c r="D39" s="109" t="s">
        <v>1173</v>
      </c>
      <c r="E39" s="109" t="s">
        <v>1151</v>
      </c>
      <c r="F39" s="110">
        <v>527</v>
      </c>
      <c r="G39" s="110">
        <v>0</v>
      </c>
      <c r="H39" s="111">
        <v>527</v>
      </c>
      <c r="I39">
        <v>1</v>
      </c>
    </row>
    <row r="40" spans="1:9">
      <c r="A40" s="109" t="s">
        <v>1174</v>
      </c>
      <c r="B40" s="109" t="s">
        <v>1175</v>
      </c>
      <c r="C40" s="109" t="s">
        <v>1150</v>
      </c>
      <c r="D40" s="109" t="s">
        <v>1176</v>
      </c>
      <c r="E40" s="109" t="s">
        <v>1151</v>
      </c>
      <c r="F40" s="110">
        <v>3872</v>
      </c>
      <c r="G40" s="110">
        <v>0</v>
      </c>
      <c r="H40" s="111">
        <v>3872</v>
      </c>
      <c r="I40">
        <v>14</v>
      </c>
    </row>
    <row r="41" spans="1:9">
      <c r="A41" s="109" t="s">
        <v>1177</v>
      </c>
      <c r="B41" s="109" t="s">
        <v>1178</v>
      </c>
      <c r="C41" s="109" t="s">
        <v>1179</v>
      </c>
      <c r="D41" s="109" t="s">
        <v>1131</v>
      </c>
      <c r="E41" s="109" t="s">
        <v>1180</v>
      </c>
      <c r="F41" s="110">
        <v>2839.5</v>
      </c>
      <c r="G41" s="110">
        <v>1207</v>
      </c>
      <c r="H41" s="111">
        <v>1632.5</v>
      </c>
      <c r="I41">
        <v>3</v>
      </c>
    </row>
    <row r="42" spans="1:9">
      <c r="A42" s="109" t="s">
        <v>1181</v>
      </c>
      <c r="B42" s="109" t="s">
        <v>1182</v>
      </c>
      <c r="C42" s="109" t="s">
        <v>1179</v>
      </c>
      <c r="D42" s="109" t="s">
        <v>1166</v>
      </c>
      <c r="E42" s="109" t="s">
        <v>1183</v>
      </c>
      <c r="F42" s="110">
        <v>396</v>
      </c>
      <c r="G42" s="110">
        <v>0</v>
      </c>
      <c r="H42" s="111">
        <v>396</v>
      </c>
      <c r="I42">
        <v>1</v>
      </c>
    </row>
    <row r="43" spans="1:9">
      <c r="A43" s="109" t="s">
        <v>1184</v>
      </c>
      <c r="B43" s="109" t="s">
        <v>36</v>
      </c>
      <c r="C43" s="109" t="s">
        <v>1179</v>
      </c>
      <c r="D43" s="109" t="s">
        <v>1185</v>
      </c>
      <c r="E43" s="109" t="s">
        <v>1180</v>
      </c>
      <c r="F43" s="110">
        <v>8819.5</v>
      </c>
      <c r="G43" s="110">
        <v>8819.5</v>
      </c>
      <c r="H43" s="111">
        <v>0</v>
      </c>
      <c r="I43">
        <v>0</v>
      </c>
    </row>
    <row r="44" spans="1:9">
      <c r="A44" s="109" t="s">
        <v>1186</v>
      </c>
      <c r="B44" s="109" t="s">
        <v>37</v>
      </c>
      <c r="C44" s="109" t="s">
        <v>1179</v>
      </c>
      <c r="D44" s="109" t="s">
        <v>1187</v>
      </c>
      <c r="E44" s="109" t="s">
        <v>254</v>
      </c>
      <c r="F44" s="110">
        <v>6549.2999999999993</v>
      </c>
      <c r="G44" s="110">
        <v>6549.2999999999993</v>
      </c>
      <c r="H44" s="111">
        <v>0</v>
      </c>
      <c r="I44">
        <v>0</v>
      </c>
    </row>
    <row r="45" spans="1:9">
      <c r="A45" s="109" t="s">
        <v>1188</v>
      </c>
      <c r="B45" s="109" t="s">
        <v>43</v>
      </c>
      <c r="C45" s="109" t="s">
        <v>1179</v>
      </c>
      <c r="D45" s="109" t="s">
        <v>1176</v>
      </c>
      <c r="E45" s="109" t="s">
        <v>1180</v>
      </c>
      <c r="F45" s="110">
        <v>553</v>
      </c>
      <c r="G45" s="110">
        <v>553</v>
      </c>
      <c r="H45" s="111">
        <v>0</v>
      </c>
      <c r="I45">
        <v>0</v>
      </c>
    </row>
    <row r="46" spans="1:9">
      <c r="A46" s="109" t="s">
        <v>1189</v>
      </c>
      <c r="B46" s="109" t="s">
        <v>1190</v>
      </c>
      <c r="C46" s="109" t="s">
        <v>1191</v>
      </c>
      <c r="D46" s="109" t="s">
        <v>1104</v>
      </c>
      <c r="E46" s="109" t="s">
        <v>1192</v>
      </c>
      <c r="F46" s="110">
        <v>4339</v>
      </c>
      <c r="G46" s="110">
        <v>2912</v>
      </c>
      <c r="H46" s="111">
        <v>1427</v>
      </c>
      <c r="I46">
        <v>4</v>
      </c>
    </row>
    <row r="47" spans="1:9">
      <c r="A47" s="109" t="s">
        <v>1193</v>
      </c>
      <c r="B47" s="109" t="s">
        <v>1194</v>
      </c>
      <c r="C47" s="109" t="s">
        <v>1191</v>
      </c>
      <c r="D47" s="109" t="s">
        <v>1143</v>
      </c>
      <c r="E47" s="109" t="s">
        <v>1192</v>
      </c>
      <c r="F47" s="110">
        <v>1109</v>
      </c>
      <c r="G47" s="110">
        <v>1109</v>
      </c>
      <c r="H47" s="111">
        <v>0</v>
      </c>
      <c r="I47">
        <v>0</v>
      </c>
    </row>
    <row r="48" spans="1:9">
      <c r="A48" s="109" t="s">
        <v>820</v>
      </c>
      <c r="B48" s="109" t="s">
        <v>821</v>
      </c>
      <c r="C48" s="109" t="s">
        <v>1191</v>
      </c>
      <c r="D48" s="109" t="s">
        <v>1131</v>
      </c>
      <c r="E48" s="109" t="s">
        <v>1192</v>
      </c>
      <c r="F48" s="110">
        <v>260551.9</v>
      </c>
      <c r="G48" s="110">
        <v>193221.9</v>
      </c>
      <c r="H48" s="111">
        <v>67330</v>
      </c>
      <c r="I48">
        <v>62</v>
      </c>
    </row>
    <row r="49" spans="1:9">
      <c r="A49" s="109" t="s">
        <v>815</v>
      </c>
      <c r="B49" s="109" t="s">
        <v>816</v>
      </c>
      <c r="C49" s="109" t="s">
        <v>254</v>
      </c>
      <c r="D49" s="109" t="s">
        <v>254</v>
      </c>
      <c r="E49" s="109" t="s">
        <v>254</v>
      </c>
      <c r="F49" s="110">
        <v>21244.5</v>
      </c>
      <c r="G49" s="110">
        <v>21244.5</v>
      </c>
      <c r="H49" s="111">
        <v>0</v>
      </c>
      <c r="I49">
        <v>0</v>
      </c>
    </row>
    <row r="50" spans="1:9">
      <c r="A50" s="109" t="s">
        <v>824</v>
      </c>
      <c r="B50" s="109" t="s">
        <v>825</v>
      </c>
      <c r="C50" s="109" t="s">
        <v>254</v>
      </c>
      <c r="D50" s="109" t="s">
        <v>254</v>
      </c>
      <c r="E50" s="109" t="s">
        <v>254</v>
      </c>
      <c r="F50" s="110">
        <v>18838.5</v>
      </c>
      <c r="G50" s="110">
        <v>13299.5</v>
      </c>
      <c r="H50" s="111">
        <v>5539</v>
      </c>
      <c r="I50">
        <v>5</v>
      </c>
    </row>
    <row r="51" spans="1:9">
      <c r="A51" s="109" t="s">
        <v>822</v>
      </c>
      <c r="B51" s="109" t="s">
        <v>823</v>
      </c>
      <c r="C51" s="109" t="s">
        <v>1191</v>
      </c>
      <c r="D51" s="109" t="s">
        <v>254</v>
      </c>
      <c r="E51" s="109" t="s">
        <v>254</v>
      </c>
      <c r="F51" s="110">
        <v>6950</v>
      </c>
      <c r="G51" s="110">
        <v>6950</v>
      </c>
      <c r="H51" s="111">
        <v>0</v>
      </c>
      <c r="I51">
        <v>0</v>
      </c>
    </row>
    <row r="52" spans="1:9">
      <c r="A52" s="109" t="s">
        <v>1195</v>
      </c>
      <c r="B52" s="109" t="s">
        <v>1196</v>
      </c>
      <c r="C52" s="109" t="s">
        <v>1197</v>
      </c>
      <c r="D52" s="109" t="s">
        <v>1131</v>
      </c>
      <c r="E52" s="109" t="s">
        <v>1198</v>
      </c>
      <c r="F52" s="110">
        <v>444629.9</v>
      </c>
      <c r="G52" s="110">
        <v>12767.5</v>
      </c>
      <c r="H52" s="111">
        <v>431862.4</v>
      </c>
      <c r="I52">
        <v>424</v>
      </c>
    </row>
    <row r="53" spans="1:9">
      <c r="A53" s="109" t="s">
        <v>1199</v>
      </c>
      <c r="B53" s="109" t="s">
        <v>1200</v>
      </c>
      <c r="C53" s="109" t="s">
        <v>1197</v>
      </c>
      <c r="D53" s="109" t="s">
        <v>1162</v>
      </c>
      <c r="E53" s="109" t="s">
        <v>1198</v>
      </c>
      <c r="F53" s="110">
        <v>6530</v>
      </c>
      <c r="G53" s="110">
        <v>6530</v>
      </c>
      <c r="H53" s="111">
        <v>0</v>
      </c>
      <c r="I53">
        <v>0</v>
      </c>
    </row>
    <row r="54" spans="1:9">
      <c r="A54" s="109" t="s">
        <v>1201</v>
      </c>
      <c r="B54" s="109" t="s">
        <v>1202</v>
      </c>
      <c r="C54" s="109" t="s">
        <v>254</v>
      </c>
      <c r="D54" s="109" t="s">
        <v>254</v>
      </c>
      <c r="E54" s="109" t="s">
        <v>254</v>
      </c>
      <c r="F54" s="110">
        <v>399.5</v>
      </c>
      <c r="G54" s="110">
        <v>399.5</v>
      </c>
      <c r="H54" s="111">
        <v>0</v>
      </c>
      <c r="I54">
        <v>0</v>
      </c>
    </row>
    <row r="55" spans="1:9">
      <c r="A55" s="109" t="s">
        <v>1203</v>
      </c>
      <c r="B55" s="109" t="s">
        <v>1204</v>
      </c>
      <c r="C55" s="109" t="s">
        <v>254</v>
      </c>
      <c r="D55" s="109" t="s">
        <v>254</v>
      </c>
      <c r="E55" s="109" t="s">
        <v>254</v>
      </c>
      <c r="F55" s="110">
        <v>38235.499999999993</v>
      </c>
      <c r="G55" s="110">
        <v>38235.499999999993</v>
      </c>
      <c r="H55" s="111">
        <v>0</v>
      </c>
      <c r="I55">
        <v>0</v>
      </c>
    </row>
    <row r="56" spans="1:9">
      <c r="A56" s="109" t="s">
        <v>1205</v>
      </c>
      <c r="B56" s="109" t="s">
        <v>1206</v>
      </c>
      <c r="C56" s="109" t="s">
        <v>254</v>
      </c>
      <c r="D56" s="109" t="s">
        <v>1158</v>
      </c>
      <c r="E56" s="109" t="s">
        <v>254</v>
      </c>
      <c r="F56" s="110">
        <v>60.129999999999995</v>
      </c>
      <c r="G56" s="110">
        <v>60.129999999999995</v>
      </c>
      <c r="H56" s="111">
        <v>0</v>
      </c>
      <c r="I56">
        <v>0</v>
      </c>
    </row>
    <row r="57" spans="1:9">
      <c r="A57" s="109" t="s">
        <v>1207</v>
      </c>
      <c r="B57" s="109" t="s">
        <v>64</v>
      </c>
      <c r="C57" s="109" t="s">
        <v>1208</v>
      </c>
      <c r="D57" s="109" t="s">
        <v>1143</v>
      </c>
      <c r="E57" s="109" t="s">
        <v>1209</v>
      </c>
      <c r="F57" s="110">
        <v>36619.5</v>
      </c>
      <c r="G57" s="110">
        <v>36619.5</v>
      </c>
      <c r="H57" s="111">
        <v>0</v>
      </c>
      <c r="I57">
        <v>0</v>
      </c>
    </row>
    <row r="58" spans="1:9">
      <c r="A58" s="109" t="s">
        <v>1210</v>
      </c>
      <c r="B58" s="109" t="s">
        <v>65</v>
      </c>
      <c r="C58" s="109" t="s">
        <v>1208</v>
      </c>
      <c r="D58" s="109" t="s">
        <v>1131</v>
      </c>
      <c r="E58" s="109" t="s">
        <v>1209</v>
      </c>
      <c r="F58" s="110">
        <v>67457</v>
      </c>
      <c r="G58" s="110">
        <v>34833</v>
      </c>
      <c r="H58" s="111">
        <v>32624</v>
      </c>
      <c r="I58">
        <v>29</v>
      </c>
    </row>
    <row r="59" spans="1:9">
      <c r="A59" s="109" t="s">
        <v>1211</v>
      </c>
      <c r="B59" s="109" t="s">
        <v>1212</v>
      </c>
      <c r="C59" s="109" t="s">
        <v>1208</v>
      </c>
      <c r="D59" s="109" t="s">
        <v>1162</v>
      </c>
      <c r="E59" s="109" t="s">
        <v>1209</v>
      </c>
      <c r="F59" s="110">
        <v>35892.5</v>
      </c>
      <c r="G59" s="110">
        <v>35532.5</v>
      </c>
      <c r="H59" s="111">
        <v>360</v>
      </c>
      <c r="I59">
        <v>1</v>
      </c>
    </row>
    <row r="60" spans="1:9">
      <c r="A60" s="109" t="s">
        <v>908</v>
      </c>
      <c r="B60" s="109" t="s">
        <v>909</v>
      </c>
      <c r="C60" s="109" t="s">
        <v>254</v>
      </c>
      <c r="D60" s="109" t="s">
        <v>254</v>
      </c>
      <c r="E60" s="109" t="s">
        <v>254</v>
      </c>
      <c r="F60" s="110">
        <v>53451.100000000057</v>
      </c>
      <c r="G60" s="110">
        <v>42213.10000000002</v>
      </c>
      <c r="H60" s="111">
        <v>11238.000000000036</v>
      </c>
      <c r="I60">
        <v>20</v>
      </c>
    </row>
    <row r="61" spans="1:9">
      <c r="A61" s="109" t="s">
        <v>1213</v>
      </c>
      <c r="B61" s="109" t="s">
        <v>1214</v>
      </c>
      <c r="C61" s="109" t="s">
        <v>1215</v>
      </c>
      <c r="D61" s="109" t="s">
        <v>1104</v>
      </c>
      <c r="E61" s="109" t="s">
        <v>1216</v>
      </c>
      <c r="F61" s="110">
        <v>551.5</v>
      </c>
      <c r="G61" s="110">
        <v>0</v>
      </c>
      <c r="H61" s="111">
        <v>551.5</v>
      </c>
      <c r="I61">
        <v>1</v>
      </c>
    </row>
    <row r="62" spans="1:9">
      <c r="A62" s="109" t="s">
        <v>836</v>
      </c>
      <c r="B62" s="109" t="s">
        <v>837</v>
      </c>
      <c r="C62" s="109" t="s">
        <v>1215</v>
      </c>
      <c r="D62" s="109" t="s">
        <v>1143</v>
      </c>
      <c r="E62" s="109" t="s">
        <v>1216</v>
      </c>
      <c r="F62" s="110">
        <v>22736.5</v>
      </c>
      <c r="G62" s="110">
        <v>4527.5</v>
      </c>
      <c r="H62" s="111">
        <v>18209</v>
      </c>
      <c r="I62">
        <v>16</v>
      </c>
    </row>
    <row r="63" spans="1:9">
      <c r="A63" s="109" t="s">
        <v>1217</v>
      </c>
      <c r="B63" s="109" t="s">
        <v>1218</v>
      </c>
      <c r="C63" s="109" t="s">
        <v>1215</v>
      </c>
      <c r="D63" s="109" t="s">
        <v>1131</v>
      </c>
      <c r="E63" s="109" t="s">
        <v>1216</v>
      </c>
      <c r="F63" s="110">
        <v>78994</v>
      </c>
      <c r="G63" s="110">
        <v>0</v>
      </c>
      <c r="H63" s="111">
        <v>78994</v>
      </c>
      <c r="I63">
        <v>71</v>
      </c>
    </row>
    <row r="64" spans="1:9">
      <c r="A64" s="109" t="s">
        <v>1219</v>
      </c>
      <c r="B64" s="109" t="s">
        <v>1220</v>
      </c>
      <c r="C64" s="109" t="s">
        <v>1215</v>
      </c>
      <c r="D64" s="109" t="s">
        <v>1162</v>
      </c>
      <c r="E64" s="109" t="s">
        <v>1216</v>
      </c>
      <c r="F64" s="110">
        <v>10316.5</v>
      </c>
      <c r="G64" s="110">
        <v>9165</v>
      </c>
      <c r="H64" s="111">
        <v>1151.5</v>
      </c>
      <c r="I64">
        <v>2</v>
      </c>
    </row>
    <row r="65" spans="1:9">
      <c r="A65" s="109" t="s">
        <v>1221</v>
      </c>
      <c r="B65" s="109" t="s">
        <v>193</v>
      </c>
      <c r="C65" s="109" t="s">
        <v>1215</v>
      </c>
      <c r="D65" s="109" t="s">
        <v>1112</v>
      </c>
      <c r="E65" s="109" t="s">
        <v>1216</v>
      </c>
      <c r="F65" s="110">
        <v>5267</v>
      </c>
      <c r="G65" s="110">
        <v>0</v>
      </c>
      <c r="H65" s="111">
        <v>5267</v>
      </c>
      <c r="I65">
        <v>11</v>
      </c>
    </row>
    <row r="66" spans="1:9">
      <c r="A66" s="109" t="s">
        <v>1222</v>
      </c>
      <c r="B66" s="109" t="s">
        <v>1223</v>
      </c>
      <c r="C66" s="109" t="s">
        <v>1215</v>
      </c>
      <c r="D66" s="109" t="s">
        <v>1224</v>
      </c>
      <c r="E66" s="109" t="s">
        <v>1216</v>
      </c>
      <c r="F66" s="110">
        <v>13168</v>
      </c>
      <c r="G66" s="110">
        <v>0</v>
      </c>
      <c r="H66" s="111">
        <v>13168</v>
      </c>
      <c r="I66">
        <v>15</v>
      </c>
    </row>
    <row r="67" spans="1:9">
      <c r="A67" s="109" t="s">
        <v>1225</v>
      </c>
      <c r="B67" s="109" t="s">
        <v>1226</v>
      </c>
      <c r="C67" s="109" t="s">
        <v>1227</v>
      </c>
      <c r="D67" s="109" t="s">
        <v>1131</v>
      </c>
      <c r="E67" s="109" t="s">
        <v>1228</v>
      </c>
      <c r="F67" s="110">
        <v>44371.5</v>
      </c>
      <c r="G67" s="110">
        <v>1054</v>
      </c>
      <c r="H67" s="111">
        <v>43317.5</v>
      </c>
      <c r="I67">
        <v>40</v>
      </c>
    </row>
    <row r="68" spans="1:9">
      <c r="A68" s="109" t="s">
        <v>1229</v>
      </c>
      <c r="B68" s="109" t="s">
        <v>74</v>
      </c>
      <c r="C68" s="109" t="s">
        <v>1227</v>
      </c>
      <c r="D68" s="109" t="s">
        <v>1230</v>
      </c>
      <c r="E68" s="109" t="s">
        <v>1231</v>
      </c>
      <c r="F68" s="110">
        <v>566.5</v>
      </c>
      <c r="G68" s="110">
        <v>0</v>
      </c>
      <c r="H68" s="111">
        <v>566.5</v>
      </c>
      <c r="I68">
        <v>1</v>
      </c>
    </row>
    <row r="69" spans="1:9">
      <c r="A69" s="109" t="s">
        <v>1232</v>
      </c>
      <c r="B69" s="109" t="s">
        <v>1233</v>
      </c>
      <c r="C69" s="109" t="s">
        <v>1227</v>
      </c>
      <c r="D69" s="109" t="s">
        <v>1112</v>
      </c>
      <c r="E69" s="109" t="s">
        <v>1228</v>
      </c>
      <c r="F69" s="110">
        <v>571</v>
      </c>
      <c r="G69" s="110">
        <v>26</v>
      </c>
      <c r="H69" s="111">
        <v>545</v>
      </c>
      <c r="I69">
        <v>1</v>
      </c>
    </row>
    <row r="70" spans="1:9">
      <c r="A70" s="109" t="s">
        <v>1234</v>
      </c>
      <c r="B70" s="109" t="s">
        <v>1235</v>
      </c>
      <c r="C70" s="109" t="s">
        <v>1227</v>
      </c>
      <c r="D70" s="109" t="s">
        <v>1236</v>
      </c>
      <c r="E70" s="109" t="s">
        <v>1228</v>
      </c>
      <c r="F70" s="110">
        <v>496.5</v>
      </c>
      <c r="G70" s="110">
        <v>496.5</v>
      </c>
      <c r="H70" s="111">
        <v>0</v>
      </c>
      <c r="I70">
        <v>0</v>
      </c>
    </row>
    <row r="71" spans="1:9">
      <c r="A71" s="109" t="s">
        <v>1237</v>
      </c>
      <c r="B71" s="109" t="s">
        <v>80</v>
      </c>
      <c r="C71" s="109" t="s">
        <v>1238</v>
      </c>
      <c r="D71" s="109" t="s">
        <v>1104</v>
      </c>
      <c r="E71" s="109" t="s">
        <v>1239</v>
      </c>
      <c r="F71" s="110">
        <v>11421</v>
      </c>
      <c r="G71" s="110">
        <v>0</v>
      </c>
      <c r="H71" s="111">
        <v>11421</v>
      </c>
      <c r="I71">
        <v>11</v>
      </c>
    </row>
    <row r="72" spans="1:9">
      <c r="A72" s="109" t="s">
        <v>1240</v>
      </c>
      <c r="B72" s="109" t="s">
        <v>1241</v>
      </c>
      <c r="C72" s="109" t="s">
        <v>1238</v>
      </c>
      <c r="D72" s="109" t="s">
        <v>1143</v>
      </c>
      <c r="E72" s="109" t="s">
        <v>1239</v>
      </c>
      <c r="F72" s="110">
        <v>5987</v>
      </c>
      <c r="G72" s="110">
        <v>747.5</v>
      </c>
      <c r="H72" s="111">
        <v>5239.5</v>
      </c>
      <c r="I72">
        <v>5</v>
      </c>
    </row>
    <row r="73" spans="1:9">
      <c r="A73" s="109" t="s">
        <v>1242</v>
      </c>
      <c r="B73" s="109" t="s">
        <v>1243</v>
      </c>
      <c r="C73" s="109" t="s">
        <v>1238</v>
      </c>
      <c r="D73" s="109" t="s">
        <v>254</v>
      </c>
      <c r="E73" s="109" t="s">
        <v>254</v>
      </c>
      <c r="F73" s="110">
        <v>377.5</v>
      </c>
      <c r="G73" s="110">
        <v>377.5</v>
      </c>
      <c r="H73" s="111">
        <v>0</v>
      </c>
      <c r="I73">
        <v>0</v>
      </c>
    </row>
    <row r="74" spans="1:9">
      <c r="A74" s="109" t="s">
        <v>1244</v>
      </c>
      <c r="B74" s="109" t="s">
        <v>1245</v>
      </c>
      <c r="C74" s="109" t="s">
        <v>1246</v>
      </c>
      <c r="D74" s="109" t="s">
        <v>1247</v>
      </c>
      <c r="E74" s="109" t="s">
        <v>1248</v>
      </c>
      <c r="F74" s="110">
        <v>533.5</v>
      </c>
      <c r="G74" s="110">
        <v>0</v>
      </c>
      <c r="H74" s="111">
        <v>533.5</v>
      </c>
      <c r="I74">
        <v>1</v>
      </c>
    </row>
    <row r="75" spans="1:9">
      <c r="A75" s="109" t="s">
        <v>1249</v>
      </c>
      <c r="B75" s="109" t="s">
        <v>1250</v>
      </c>
      <c r="C75" s="109" t="s">
        <v>1251</v>
      </c>
      <c r="D75" s="109" t="s">
        <v>1104</v>
      </c>
      <c r="E75" s="109" t="s">
        <v>1252</v>
      </c>
      <c r="F75" s="110">
        <v>40419</v>
      </c>
      <c r="G75" s="110">
        <v>0</v>
      </c>
      <c r="H75" s="111">
        <v>40419</v>
      </c>
      <c r="I75">
        <v>38</v>
      </c>
    </row>
    <row r="76" spans="1:9">
      <c r="A76" s="109" t="s">
        <v>839</v>
      </c>
      <c r="B76" s="109" t="s">
        <v>840</v>
      </c>
      <c r="C76" s="109" t="s">
        <v>1253</v>
      </c>
      <c r="D76" s="109" t="s">
        <v>1104</v>
      </c>
      <c r="E76" s="109" t="s">
        <v>1254</v>
      </c>
      <c r="F76" s="110">
        <v>63334</v>
      </c>
      <c r="G76" s="110">
        <v>9467.4999999999964</v>
      </c>
      <c r="H76" s="111">
        <v>53866.5</v>
      </c>
      <c r="I76">
        <v>54</v>
      </c>
    </row>
    <row r="77" spans="1:9">
      <c r="A77" s="109" t="s">
        <v>1255</v>
      </c>
      <c r="B77" s="109" t="s">
        <v>1256</v>
      </c>
      <c r="C77" s="109" t="s">
        <v>1253</v>
      </c>
      <c r="D77" s="109" t="s">
        <v>1257</v>
      </c>
      <c r="E77" s="109" t="s">
        <v>1258</v>
      </c>
      <c r="F77" s="110">
        <v>5368</v>
      </c>
      <c r="G77" s="110">
        <v>0</v>
      </c>
      <c r="H77" s="111">
        <v>5368</v>
      </c>
      <c r="I77">
        <v>5</v>
      </c>
    </row>
    <row r="78" spans="1:9">
      <c r="A78" s="109" t="s">
        <v>1259</v>
      </c>
      <c r="B78" s="109" t="s">
        <v>88</v>
      </c>
      <c r="C78" s="109" t="s">
        <v>1253</v>
      </c>
      <c r="D78" s="109" t="s">
        <v>1260</v>
      </c>
      <c r="E78" s="109" t="s">
        <v>1254</v>
      </c>
      <c r="F78" s="110">
        <v>5307</v>
      </c>
      <c r="G78" s="110">
        <v>5307</v>
      </c>
      <c r="H78" s="111">
        <v>0</v>
      </c>
      <c r="I78">
        <v>0</v>
      </c>
    </row>
    <row r="79" spans="1:9">
      <c r="A79" s="109" t="s">
        <v>1261</v>
      </c>
      <c r="B79" s="109" t="s">
        <v>1262</v>
      </c>
      <c r="C79" s="109" t="s">
        <v>1263</v>
      </c>
      <c r="D79" s="109" t="s">
        <v>1104</v>
      </c>
      <c r="E79" s="109" t="s">
        <v>1264</v>
      </c>
      <c r="F79" s="110">
        <v>1219</v>
      </c>
      <c r="G79" s="110">
        <v>177</v>
      </c>
      <c r="H79" s="111">
        <v>1042</v>
      </c>
      <c r="I79">
        <v>2</v>
      </c>
    </row>
    <row r="80" spans="1:9">
      <c r="A80" s="109" t="s">
        <v>1265</v>
      </c>
      <c r="B80" s="109" t="s">
        <v>1266</v>
      </c>
      <c r="C80" s="109" t="s">
        <v>1267</v>
      </c>
      <c r="D80" s="109" t="s">
        <v>1104</v>
      </c>
      <c r="E80" s="109" t="s">
        <v>1268</v>
      </c>
      <c r="F80" s="110">
        <v>1071</v>
      </c>
      <c r="G80" s="110">
        <v>0</v>
      </c>
      <c r="H80" s="111">
        <v>1071</v>
      </c>
      <c r="I80">
        <v>2</v>
      </c>
    </row>
    <row r="81" spans="1:9">
      <c r="A81" s="109" t="s">
        <v>1269</v>
      </c>
      <c r="B81" s="109" t="s">
        <v>90</v>
      </c>
      <c r="C81" s="109" t="s">
        <v>1270</v>
      </c>
      <c r="D81" s="109" t="s">
        <v>1104</v>
      </c>
      <c r="E81" s="109" t="s">
        <v>1271</v>
      </c>
      <c r="F81" s="110">
        <v>534.5</v>
      </c>
      <c r="G81" s="110">
        <v>0</v>
      </c>
      <c r="H81" s="111">
        <v>534.5</v>
      </c>
      <c r="I81">
        <v>1</v>
      </c>
    </row>
    <row r="82" spans="1:9">
      <c r="A82" s="109" t="s">
        <v>1272</v>
      </c>
      <c r="B82" s="109" t="s">
        <v>92</v>
      </c>
      <c r="C82" s="109" t="s">
        <v>1273</v>
      </c>
      <c r="D82" s="109" t="s">
        <v>1104</v>
      </c>
      <c r="E82" s="109" t="s">
        <v>1274</v>
      </c>
      <c r="F82" s="110">
        <v>1009</v>
      </c>
      <c r="G82" s="110">
        <v>8</v>
      </c>
      <c r="H82" s="111">
        <v>1001</v>
      </c>
      <c r="I82">
        <v>1</v>
      </c>
    </row>
    <row r="83" spans="1:9">
      <c r="A83" s="109" t="s">
        <v>1275</v>
      </c>
      <c r="B83" s="109" t="s">
        <v>93</v>
      </c>
      <c r="C83" s="109" t="s">
        <v>1273</v>
      </c>
      <c r="D83" s="109" t="s">
        <v>1276</v>
      </c>
      <c r="E83" s="109" t="s">
        <v>1274</v>
      </c>
      <c r="F83" s="110">
        <v>583.5</v>
      </c>
      <c r="G83" s="110">
        <v>0</v>
      </c>
      <c r="H83" s="111">
        <v>583.5</v>
      </c>
      <c r="I83">
        <v>2</v>
      </c>
    </row>
    <row r="84" spans="1:9">
      <c r="A84" s="109" t="s">
        <v>1277</v>
      </c>
      <c r="B84" s="109" t="s">
        <v>94</v>
      </c>
      <c r="C84" s="109" t="s">
        <v>1278</v>
      </c>
      <c r="D84" s="109" t="s">
        <v>1104</v>
      </c>
      <c r="E84" s="109" t="s">
        <v>1279</v>
      </c>
      <c r="F84" s="110">
        <v>1106.5</v>
      </c>
      <c r="G84" s="110">
        <v>0</v>
      </c>
      <c r="H84" s="111">
        <v>1106.5</v>
      </c>
      <c r="I84">
        <v>1</v>
      </c>
    </row>
    <row r="85" spans="1:9">
      <c r="A85" s="109" t="s">
        <v>1280</v>
      </c>
      <c r="B85" s="109" t="s">
        <v>95</v>
      </c>
      <c r="C85" s="109" t="s">
        <v>1281</v>
      </c>
      <c r="D85" s="109" t="s">
        <v>1104</v>
      </c>
      <c r="E85" s="109" t="s">
        <v>1282</v>
      </c>
      <c r="F85" s="110">
        <v>551</v>
      </c>
      <c r="G85" s="110">
        <v>0</v>
      </c>
      <c r="H85" s="111">
        <v>551</v>
      </c>
      <c r="I85">
        <v>1</v>
      </c>
    </row>
    <row r="86" spans="1:9">
      <c r="A86" s="109" t="s">
        <v>1283</v>
      </c>
      <c r="B86" s="109" t="s">
        <v>1284</v>
      </c>
      <c r="C86" s="109" t="s">
        <v>254</v>
      </c>
      <c r="D86" s="109" t="s">
        <v>254</v>
      </c>
      <c r="E86" s="109" t="s">
        <v>254</v>
      </c>
      <c r="F86" s="110">
        <v>1890</v>
      </c>
      <c r="G86" s="110">
        <v>1890</v>
      </c>
      <c r="H86" s="111">
        <v>0</v>
      </c>
      <c r="I86">
        <v>0</v>
      </c>
    </row>
    <row r="87" spans="1:9">
      <c r="A87" s="109" t="s">
        <v>1285</v>
      </c>
      <c r="B87" s="109" t="s">
        <v>98</v>
      </c>
      <c r="C87" s="109" t="s">
        <v>1286</v>
      </c>
      <c r="D87" s="109" t="s">
        <v>1104</v>
      </c>
      <c r="E87" s="109" t="s">
        <v>1287</v>
      </c>
      <c r="F87" s="110">
        <v>2345.5</v>
      </c>
      <c r="G87" s="110">
        <v>175</v>
      </c>
      <c r="H87" s="111">
        <v>2170.5</v>
      </c>
      <c r="I87">
        <v>3</v>
      </c>
    </row>
    <row r="88" spans="1:9">
      <c r="A88" s="109" t="s">
        <v>1288</v>
      </c>
      <c r="B88" s="109" t="s">
        <v>1289</v>
      </c>
      <c r="C88" s="109" t="s">
        <v>254</v>
      </c>
      <c r="D88" s="109" t="s">
        <v>254</v>
      </c>
      <c r="E88" s="109" t="s">
        <v>254</v>
      </c>
      <c r="F88" s="110">
        <v>1794.5</v>
      </c>
      <c r="G88" s="110">
        <v>1794.5</v>
      </c>
      <c r="H88" s="111">
        <v>0</v>
      </c>
      <c r="I88">
        <v>0</v>
      </c>
    </row>
    <row r="89" spans="1:9">
      <c r="A89" s="109" t="s">
        <v>1290</v>
      </c>
      <c r="B89" s="109" t="s">
        <v>103</v>
      </c>
      <c r="C89" s="109" t="s">
        <v>1291</v>
      </c>
      <c r="D89" s="109" t="s">
        <v>1104</v>
      </c>
      <c r="E89" s="109" t="s">
        <v>1292</v>
      </c>
      <c r="F89" s="110">
        <v>78185.5</v>
      </c>
      <c r="G89" s="110">
        <v>3445</v>
      </c>
      <c r="H89" s="111">
        <v>74740.5</v>
      </c>
      <c r="I89">
        <v>70</v>
      </c>
    </row>
    <row r="90" spans="1:9">
      <c r="A90" s="109" t="s">
        <v>1293</v>
      </c>
      <c r="B90" s="109" t="s">
        <v>104</v>
      </c>
      <c r="C90" s="109" t="s">
        <v>1291</v>
      </c>
      <c r="D90" s="109" t="s">
        <v>1276</v>
      </c>
      <c r="E90" s="109" t="s">
        <v>1292</v>
      </c>
      <c r="F90" s="110">
        <v>122.10000000000001</v>
      </c>
      <c r="G90" s="110">
        <v>122.1</v>
      </c>
      <c r="H90" s="111">
        <v>1.4210854715202004E-14</v>
      </c>
      <c r="I90">
        <v>0</v>
      </c>
    </row>
    <row r="91" spans="1:9">
      <c r="A91" s="109" t="s">
        <v>1294</v>
      </c>
      <c r="B91" s="109" t="s">
        <v>101</v>
      </c>
      <c r="C91" s="109" t="s">
        <v>1291</v>
      </c>
      <c r="D91" s="109" t="s">
        <v>1131</v>
      </c>
      <c r="E91" s="109" t="s">
        <v>254</v>
      </c>
      <c r="F91" s="110">
        <v>575.5</v>
      </c>
      <c r="G91" s="110">
        <v>0</v>
      </c>
      <c r="H91" s="111">
        <v>575.5</v>
      </c>
      <c r="I91">
        <v>1</v>
      </c>
    </row>
    <row r="92" spans="1:9">
      <c r="A92" s="109" t="s">
        <v>1295</v>
      </c>
      <c r="B92" s="109" t="s">
        <v>102</v>
      </c>
      <c r="C92" s="109" t="s">
        <v>1291</v>
      </c>
      <c r="D92" s="109" t="s">
        <v>1112</v>
      </c>
      <c r="E92" s="109" t="s">
        <v>254</v>
      </c>
      <c r="F92" s="110">
        <v>585</v>
      </c>
      <c r="G92" s="110">
        <v>0</v>
      </c>
      <c r="H92" s="111">
        <v>585</v>
      </c>
      <c r="I92">
        <v>1</v>
      </c>
    </row>
    <row r="93" spans="1:9">
      <c r="A93" s="109" t="s">
        <v>895</v>
      </c>
      <c r="B93" s="109" t="s">
        <v>194</v>
      </c>
      <c r="C93" s="109" t="s">
        <v>1296</v>
      </c>
      <c r="D93" s="109" t="s">
        <v>1104</v>
      </c>
      <c r="E93" s="109" t="s">
        <v>1297</v>
      </c>
      <c r="F93" s="110">
        <v>23643</v>
      </c>
      <c r="G93" s="110">
        <v>22562</v>
      </c>
      <c r="H93" s="111">
        <v>1081</v>
      </c>
      <c r="I93">
        <v>2</v>
      </c>
    </row>
    <row r="94" spans="1:9">
      <c r="A94" s="109" t="s">
        <v>1298</v>
      </c>
      <c r="B94" s="109" t="s">
        <v>200</v>
      </c>
      <c r="C94" s="109" t="s">
        <v>1296</v>
      </c>
      <c r="D94" s="109" t="s">
        <v>1299</v>
      </c>
      <c r="E94" s="109" t="s">
        <v>1297</v>
      </c>
      <c r="F94" s="110">
        <v>19957</v>
      </c>
      <c r="G94" s="110">
        <v>19659.5</v>
      </c>
      <c r="H94" s="111">
        <v>297.5</v>
      </c>
      <c r="I94">
        <v>1</v>
      </c>
    </row>
    <row r="95" spans="1:9">
      <c r="A95" s="109" t="s">
        <v>1300</v>
      </c>
      <c r="B95" s="109" t="s">
        <v>1301</v>
      </c>
      <c r="C95" s="109" t="s">
        <v>1296</v>
      </c>
      <c r="D95" s="109" t="s">
        <v>1302</v>
      </c>
      <c r="E95" s="109" t="s">
        <v>1297</v>
      </c>
      <c r="F95" s="110">
        <v>5905.5</v>
      </c>
      <c r="G95" s="110">
        <v>5905.5</v>
      </c>
      <c r="H95" s="111">
        <v>0</v>
      </c>
      <c r="I95">
        <v>0</v>
      </c>
    </row>
    <row r="96" spans="1:9">
      <c r="A96" s="109" t="s">
        <v>1303</v>
      </c>
      <c r="B96" s="109" t="s">
        <v>202</v>
      </c>
      <c r="C96" s="109" t="s">
        <v>1296</v>
      </c>
      <c r="D96" s="109" t="s">
        <v>1276</v>
      </c>
      <c r="E96" s="109" t="s">
        <v>1297</v>
      </c>
      <c r="F96" s="110">
        <v>25446</v>
      </c>
      <c r="G96" s="110">
        <v>25446</v>
      </c>
      <c r="H96" s="111">
        <v>0</v>
      </c>
      <c r="I96">
        <v>0</v>
      </c>
    </row>
    <row r="97" spans="1:9">
      <c r="A97" s="109" t="s">
        <v>1304</v>
      </c>
      <c r="B97" s="109" t="s">
        <v>196</v>
      </c>
      <c r="C97" s="109" t="s">
        <v>1296</v>
      </c>
      <c r="D97" s="109" t="s">
        <v>1305</v>
      </c>
      <c r="E97" s="109" t="s">
        <v>254</v>
      </c>
      <c r="F97" s="110">
        <v>5165.5</v>
      </c>
      <c r="G97" s="110">
        <v>5165.5</v>
      </c>
      <c r="H97" s="111">
        <v>0</v>
      </c>
      <c r="I97">
        <v>0</v>
      </c>
    </row>
    <row r="98" spans="1:9">
      <c r="A98" s="109" t="s">
        <v>1306</v>
      </c>
      <c r="B98" s="109" t="s">
        <v>203</v>
      </c>
      <c r="C98" s="109" t="s">
        <v>1307</v>
      </c>
      <c r="D98" s="109" t="s">
        <v>1104</v>
      </c>
      <c r="E98" s="109" t="s">
        <v>1308</v>
      </c>
      <c r="F98" s="110">
        <v>243959.8</v>
      </c>
      <c r="G98" s="110">
        <v>187432.90000000002</v>
      </c>
      <c r="H98" s="111">
        <v>56526.899999999965</v>
      </c>
      <c r="I98">
        <v>56</v>
      </c>
    </row>
    <row r="99" spans="1:9">
      <c r="A99" s="109" t="s">
        <v>1309</v>
      </c>
      <c r="B99" s="109" t="s">
        <v>208</v>
      </c>
      <c r="C99" s="109" t="s">
        <v>254</v>
      </c>
      <c r="D99" s="109" t="s">
        <v>254</v>
      </c>
      <c r="E99" s="109" t="s">
        <v>254</v>
      </c>
      <c r="F99" s="110">
        <v>214402.9</v>
      </c>
      <c r="G99" s="110">
        <v>214402.9</v>
      </c>
      <c r="H99" s="111">
        <v>0</v>
      </c>
      <c r="I99">
        <v>0</v>
      </c>
    </row>
    <row r="100" spans="1:9">
      <c r="A100" s="109" t="s">
        <v>1310</v>
      </c>
      <c r="B100" s="109" t="s">
        <v>209</v>
      </c>
      <c r="C100" s="109" t="s">
        <v>254</v>
      </c>
      <c r="D100" s="109" t="s">
        <v>254</v>
      </c>
      <c r="E100" s="109" t="s">
        <v>254</v>
      </c>
      <c r="F100" s="110">
        <v>15412.8</v>
      </c>
      <c r="G100" s="110">
        <v>2326.5</v>
      </c>
      <c r="H100" s="111">
        <v>13086.3</v>
      </c>
      <c r="I100">
        <v>11</v>
      </c>
    </row>
    <row r="101" spans="1:9">
      <c r="A101" s="109" t="s">
        <v>1311</v>
      </c>
      <c r="B101" s="109" t="s">
        <v>206</v>
      </c>
      <c r="C101" s="109" t="s">
        <v>254</v>
      </c>
      <c r="D101" s="109" t="s">
        <v>254</v>
      </c>
      <c r="E101" s="109" t="s">
        <v>254</v>
      </c>
      <c r="F101" s="110">
        <v>516302</v>
      </c>
      <c r="G101" s="110">
        <v>516238</v>
      </c>
      <c r="H101" s="111">
        <v>64</v>
      </c>
      <c r="I101">
        <v>1</v>
      </c>
    </row>
    <row r="102" spans="1:9">
      <c r="A102" s="109" t="s">
        <v>1312</v>
      </c>
      <c r="B102" s="109" t="s">
        <v>1313</v>
      </c>
      <c r="C102" s="109" t="s">
        <v>254</v>
      </c>
      <c r="D102" s="109" t="s">
        <v>254</v>
      </c>
      <c r="E102" s="109" t="s">
        <v>254</v>
      </c>
      <c r="F102" s="110">
        <v>283899.40000000002</v>
      </c>
      <c r="G102" s="110">
        <v>283863.40000000002</v>
      </c>
      <c r="H102" s="111">
        <v>36</v>
      </c>
      <c r="I102">
        <v>1</v>
      </c>
    </row>
    <row r="103" spans="1:9">
      <c r="A103" s="109" t="s">
        <v>813</v>
      </c>
      <c r="B103" s="109" t="s">
        <v>210</v>
      </c>
      <c r="C103" s="109" t="s">
        <v>1314</v>
      </c>
      <c r="D103" s="109" t="s">
        <v>1104</v>
      </c>
      <c r="E103" s="109" t="s">
        <v>1315</v>
      </c>
      <c r="F103" s="110">
        <v>634813.79999999411</v>
      </c>
      <c r="G103" s="110">
        <v>557287.19999999483</v>
      </c>
      <c r="H103" s="111">
        <v>77526.599999999278</v>
      </c>
      <c r="I103">
        <v>90</v>
      </c>
    </row>
    <row r="104" spans="1:9">
      <c r="A104" s="109" t="s">
        <v>826</v>
      </c>
      <c r="B104" s="109" t="s">
        <v>827</v>
      </c>
      <c r="C104" s="109" t="s">
        <v>254</v>
      </c>
      <c r="D104" s="109" t="s">
        <v>1316</v>
      </c>
      <c r="E104" s="109" t="s">
        <v>254</v>
      </c>
      <c r="F104" s="110">
        <v>102560.29999999999</v>
      </c>
      <c r="G104" s="110">
        <v>85886.299999999988</v>
      </c>
      <c r="H104" s="111">
        <v>16674</v>
      </c>
      <c r="I104">
        <v>26</v>
      </c>
    </row>
    <row r="105" spans="1:9">
      <c r="A105" s="109" t="s">
        <v>828</v>
      </c>
      <c r="B105" s="109" t="s">
        <v>829</v>
      </c>
      <c r="C105" s="109" t="s">
        <v>254</v>
      </c>
      <c r="D105" s="109" t="s">
        <v>1317</v>
      </c>
      <c r="E105" s="109" t="s">
        <v>254</v>
      </c>
      <c r="F105" s="110">
        <v>38712.5</v>
      </c>
      <c r="G105" s="110">
        <v>38712.5</v>
      </c>
      <c r="H105" s="111">
        <v>0</v>
      </c>
      <c r="I105">
        <v>0</v>
      </c>
    </row>
    <row r="106" spans="1:9">
      <c r="A106" s="109" t="s">
        <v>588</v>
      </c>
      <c r="B106" s="109" t="s">
        <v>589</v>
      </c>
      <c r="C106" s="109" t="s">
        <v>254</v>
      </c>
      <c r="D106" s="109" t="s">
        <v>254</v>
      </c>
      <c r="E106" s="109" t="s">
        <v>254</v>
      </c>
      <c r="F106" s="110">
        <v>464606.80000000051</v>
      </c>
      <c r="G106" s="110">
        <v>360222.80000000028</v>
      </c>
      <c r="H106" s="111">
        <v>104384.00000000023</v>
      </c>
      <c r="I106">
        <v>98</v>
      </c>
    </row>
    <row r="107" spans="1:9">
      <c r="A107" s="109" t="s">
        <v>878</v>
      </c>
      <c r="B107" s="109" t="s">
        <v>879</v>
      </c>
      <c r="C107" s="109" t="s">
        <v>254</v>
      </c>
      <c r="D107" s="109" t="s">
        <v>254</v>
      </c>
      <c r="E107" s="109" t="s">
        <v>254</v>
      </c>
      <c r="F107" s="110">
        <v>189728.30000000016</v>
      </c>
      <c r="G107" s="110">
        <v>147046.80000000013</v>
      </c>
      <c r="H107" s="111">
        <v>42681.500000000029</v>
      </c>
      <c r="I107">
        <v>47</v>
      </c>
    </row>
    <row r="108" spans="1:9">
      <c r="A108" s="109" t="s">
        <v>831</v>
      </c>
      <c r="B108" s="109" t="s">
        <v>832</v>
      </c>
      <c r="C108" s="109" t="s">
        <v>254</v>
      </c>
      <c r="D108" s="109" t="s">
        <v>254</v>
      </c>
      <c r="E108" s="109" t="s">
        <v>254</v>
      </c>
      <c r="F108" s="110">
        <v>134831.99999999997</v>
      </c>
      <c r="G108" s="110">
        <v>100562.5</v>
      </c>
      <c r="H108" s="111">
        <v>34269.499999999971</v>
      </c>
      <c r="I108">
        <v>29</v>
      </c>
    </row>
    <row r="109" spans="1:9">
      <c r="A109" s="109" t="s">
        <v>833</v>
      </c>
      <c r="B109" s="109" t="s">
        <v>215</v>
      </c>
      <c r="C109" s="109" t="s">
        <v>1318</v>
      </c>
      <c r="D109" s="109" t="s">
        <v>1104</v>
      </c>
      <c r="E109" s="109" t="s">
        <v>1319</v>
      </c>
      <c r="F109" s="110">
        <v>556473.3000000004</v>
      </c>
      <c r="G109" s="110">
        <v>44185.935000000005</v>
      </c>
      <c r="H109" s="111">
        <v>512287.3650000004</v>
      </c>
      <c r="I109">
        <v>475</v>
      </c>
    </row>
    <row r="110" spans="1:9">
      <c r="A110" s="109" t="s">
        <v>594</v>
      </c>
      <c r="B110" s="109" t="s">
        <v>595</v>
      </c>
      <c r="C110" s="109" t="s">
        <v>254</v>
      </c>
      <c r="D110" s="109" t="s">
        <v>254</v>
      </c>
      <c r="E110" s="109" t="s">
        <v>254</v>
      </c>
      <c r="F110" s="110">
        <v>44904.5</v>
      </c>
      <c r="G110" s="110">
        <v>0</v>
      </c>
      <c r="H110" s="111">
        <v>44904.5</v>
      </c>
      <c r="I110">
        <v>40</v>
      </c>
    </row>
    <row r="111" spans="1:9">
      <c r="A111" s="109" t="s">
        <v>1320</v>
      </c>
      <c r="B111" s="109" t="s">
        <v>217</v>
      </c>
      <c r="C111" s="109" t="s">
        <v>1321</v>
      </c>
      <c r="D111" s="109" t="s">
        <v>1104</v>
      </c>
      <c r="E111" s="109" t="s">
        <v>1322</v>
      </c>
      <c r="F111" s="110">
        <v>1669819.359999988</v>
      </c>
      <c r="G111" s="110">
        <v>838542.37999999535</v>
      </c>
      <c r="H111" s="111">
        <v>831276.97999999265</v>
      </c>
      <c r="I111">
        <v>753</v>
      </c>
    </row>
    <row r="112" spans="1:9">
      <c r="A112" s="109" t="s">
        <v>910</v>
      </c>
      <c r="B112" s="109" t="s">
        <v>218</v>
      </c>
      <c r="C112" s="109" t="s">
        <v>1323</v>
      </c>
      <c r="D112" s="109" t="s">
        <v>1104</v>
      </c>
      <c r="E112" s="109" t="s">
        <v>1324</v>
      </c>
      <c r="F112" s="110">
        <v>1515898.2199999948</v>
      </c>
      <c r="G112" s="110">
        <v>417842.15999999875</v>
      </c>
      <c r="H112" s="111">
        <v>1098056.0599999961</v>
      </c>
      <c r="I112">
        <v>1620</v>
      </c>
    </row>
    <row r="113" spans="1:9">
      <c r="A113" s="109" t="s">
        <v>911</v>
      </c>
      <c r="B113" s="109" t="s">
        <v>912</v>
      </c>
      <c r="C113" s="109" t="s">
        <v>1325</v>
      </c>
      <c r="D113" s="109" t="s">
        <v>1104</v>
      </c>
      <c r="E113" s="109" t="s">
        <v>1326</v>
      </c>
      <c r="F113" s="110">
        <v>961880.93999999005</v>
      </c>
      <c r="G113" s="110">
        <v>420461.32000000088</v>
      </c>
      <c r="H113" s="111">
        <v>541419.61999998917</v>
      </c>
      <c r="I113">
        <v>629</v>
      </c>
    </row>
    <row r="114" spans="1:9">
      <c r="A114" s="109" t="s">
        <v>1327</v>
      </c>
      <c r="B114" s="109" t="s">
        <v>1328</v>
      </c>
      <c r="C114" s="109" t="s">
        <v>1329</v>
      </c>
      <c r="D114" s="109" t="s">
        <v>1104</v>
      </c>
      <c r="E114" s="109" t="s">
        <v>1330</v>
      </c>
      <c r="F114" s="110">
        <v>177258.62799999665</v>
      </c>
      <c r="G114" s="110">
        <v>943.43999999999994</v>
      </c>
      <c r="H114" s="111">
        <v>176315.18799999665</v>
      </c>
      <c r="I114">
        <v>358</v>
      </c>
    </row>
    <row r="115" spans="1:9">
      <c r="A115" s="109" t="s">
        <v>1331</v>
      </c>
      <c r="B115" s="109" t="s">
        <v>1332</v>
      </c>
      <c r="C115" s="109" t="s">
        <v>1333</v>
      </c>
      <c r="D115" s="109" t="s">
        <v>1104</v>
      </c>
      <c r="E115" s="109" t="s">
        <v>1334</v>
      </c>
      <c r="F115" s="110">
        <v>329596.19999999937</v>
      </c>
      <c r="G115" s="110">
        <v>166936.70000000001</v>
      </c>
      <c r="H115" s="111">
        <v>162659.49999999936</v>
      </c>
      <c r="I115">
        <v>150</v>
      </c>
    </row>
    <row r="116" spans="1:9">
      <c r="A116" s="109" t="s">
        <v>1335</v>
      </c>
      <c r="B116" s="109" t="s">
        <v>1336</v>
      </c>
      <c r="C116" s="109" t="s">
        <v>1337</v>
      </c>
      <c r="D116" s="109" t="s">
        <v>1104</v>
      </c>
      <c r="E116" s="109" t="s">
        <v>1338</v>
      </c>
      <c r="F116" s="110">
        <v>231048.63400000022</v>
      </c>
      <c r="G116" s="110">
        <v>63882.902000000053</v>
      </c>
      <c r="H116" s="111">
        <v>167165.73200000016</v>
      </c>
      <c r="I116">
        <v>307</v>
      </c>
    </row>
    <row r="117" spans="1:9">
      <c r="A117" s="109" t="s">
        <v>596</v>
      </c>
      <c r="B117" s="109" t="s">
        <v>597</v>
      </c>
      <c r="C117" s="109" t="s">
        <v>1339</v>
      </c>
      <c r="D117" s="109" t="s">
        <v>1340</v>
      </c>
      <c r="E117" s="109" t="s">
        <v>1341</v>
      </c>
      <c r="F117" s="110">
        <v>187312.29699999941</v>
      </c>
      <c r="G117" s="110">
        <v>7336.6080000000002</v>
      </c>
      <c r="H117" s="111">
        <v>179975.6889999994</v>
      </c>
      <c r="I117">
        <v>335</v>
      </c>
    </row>
    <row r="118" spans="1:9">
      <c r="A118" s="109" t="s">
        <v>638</v>
      </c>
      <c r="B118" s="109" t="s">
        <v>639</v>
      </c>
      <c r="C118" s="109" t="s">
        <v>1342</v>
      </c>
      <c r="D118" s="109" t="s">
        <v>1104</v>
      </c>
      <c r="E118" s="109" t="s">
        <v>1343</v>
      </c>
      <c r="F118" s="110">
        <v>130311.92899999964</v>
      </c>
      <c r="G118" s="110">
        <v>28585.010000000013</v>
      </c>
      <c r="H118" s="111">
        <v>101726.91899999963</v>
      </c>
      <c r="I118">
        <v>216</v>
      </c>
    </row>
    <row r="119" spans="1:9">
      <c r="A119" s="109" t="s">
        <v>704</v>
      </c>
      <c r="B119" s="109" t="s">
        <v>705</v>
      </c>
      <c r="C119" s="109" t="s">
        <v>1344</v>
      </c>
      <c r="D119" s="109" t="s">
        <v>1104</v>
      </c>
      <c r="E119" s="109" t="s">
        <v>1345</v>
      </c>
      <c r="F119" s="110">
        <v>58009.960000000021</v>
      </c>
      <c r="G119" s="110">
        <v>423.00000000000006</v>
      </c>
      <c r="H119" s="111">
        <v>57586.960000000021</v>
      </c>
      <c r="I119">
        <v>216</v>
      </c>
    </row>
    <row r="120" spans="1:9">
      <c r="A120" s="109" t="s">
        <v>1346</v>
      </c>
      <c r="B120" s="109" t="s">
        <v>1347</v>
      </c>
      <c r="C120" s="109" t="s">
        <v>254</v>
      </c>
      <c r="D120" s="109" t="s">
        <v>1348</v>
      </c>
      <c r="E120" s="109" t="s">
        <v>1349</v>
      </c>
      <c r="F120" s="110">
        <v>175.1</v>
      </c>
      <c r="G120" s="110">
        <v>175.1</v>
      </c>
      <c r="H120" s="111">
        <v>0</v>
      </c>
      <c r="I120">
        <v>0</v>
      </c>
    </row>
    <row r="121" spans="1:9">
      <c r="A121" s="109" t="s">
        <v>1350</v>
      </c>
      <c r="B121" s="109" t="s">
        <v>1351</v>
      </c>
      <c r="C121" s="109" t="s">
        <v>1139</v>
      </c>
      <c r="D121" s="109" t="s">
        <v>1352</v>
      </c>
      <c r="E121" s="109" t="s">
        <v>1353</v>
      </c>
      <c r="F121" s="110">
        <v>328.5</v>
      </c>
      <c r="G121" s="110">
        <v>328.5</v>
      </c>
      <c r="H121" s="111">
        <v>0</v>
      </c>
      <c r="I121">
        <v>0</v>
      </c>
    </row>
    <row r="122" spans="1:9">
      <c r="A122" s="109" t="s">
        <v>1354</v>
      </c>
      <c r="B122" s="109" t="s">
        <v>1355</v>
      </c>
      <c r="C122" s="109" t="s">
        <v>1191</v>
      </c>
      <c r="D122" s="109" t="s">
        <v>1356</v>
      </c>
      <c r="E122" s="109" t="s">
        <v>868</v>
      </c>
      <c r="F122" s="110">
        <v>1163.5</v>
      </c>
      <c r="G122" s="110">
        <v>1163.5</v>
      </c>
      <c r="H122" s="111">
        <v>0</v>
      </c>
      <c r="I122">
        <v>0</v>
      </c>
    </row>
    <row r="123" spans="1:9">
      <c r="A123" s="109" t="s">
        <v>834</v>
      </c>
      <c r="B123" s="109" t="s">
        <v>835</v>
      </c>
      <c r="C123" s="109" t="s">
        <v>254</v>
      </c>
      <c r="D123" s="109" t="s">
        <v>254</v>
      </c>
      <c r="E123" s="109" t="s">
        <v>1357</v>
      </c>
      <c r="F123" s="110">
        <v>3201.5</v>
      </c>
      <c r="G123" s="110">
        <v>3201.5</v>
      </c>
      <c r="H123" s="111">
        <v>0</v>
      </c>
      <c r="I123">
        <v>0</v>
      </c>
    </row>
    <row r="124" spans="1:9">
      <c r="A124" s="109" t="s">
        <v>1358</v>
      </c>
      <c r="B124" s="109" t="s">
        <v>1359</v>
      </c>
      <c r="C124" s="109" t="s">
        <v>254</v>
      </c>
      <c r="D124" s="109" t="s">
        <v>254</v>
      </c>
      <c r="E124" s="109" t="s">
        <v>254</v>
      </c>
      <c r="F124" s="110">
        <v>387.5</v>
      </c>
      <c r="G124" s="110">
        <v>387.5</v>
      </c>
      <c r="H124" s="111">
        <v>0</v>
      </c>
      <c r="I124">
        <v>0</v>
      </c>
    </row>
    <row r="125" spans="1:9">
      <c r="A125" s="109" t="s">
        <v>1360</v>
      </c>
      <c r="B125" s="109" t="s">
        <v>1361</v>
      </c>
      <c r="C125" s="109" t="s">
        <v>1253</v>
      </c>
      <c r="D125" s="109" t="s">
        <v>1348</v>
      </c>
      <c r="E125" s="109" t="s">
        <v>866</v>
      </c>
      <c r="F125" s="110">
        <v>330</v>
      </c>
      <c r="G125" s="110">
        <v>0</v>
      </c>
      <c r="H125" s="111">
        <v>330</v>
      </c>
      <c r="I125">
        <v>1</v>
      </c>
    </row>
    <row r="126" spans="1:9">
      <c r="A126" s="109" t="s">
        <v>838</v>
      </c>
      <c r="B126" s="109" t="s">
        <v>156</v>
      </c>
      <c r="C126" s="109" t="s">
        <v>1253</v>
      </c>
      <c r="D126" s="109" t="s">
        <v>1260</v>
      </c>
      <c r="E126" s="109" t="s">
        <v>1362</v>
      </c>
      <c r="F126" s="110">
        <v>160140.5</v>
      </c>
      <c r="G126" s="110">
        <v>155918.5</v>
      </c>
      <c r="H126" s="111">
        <v>4222</v>
      </c>
      <c r="I126">
        <v>10</v>
      </c>
    </row>
    <row r="127" spans="1:9">
      <c r="A127" s="109" t="s">
        <v>1363</v>
      </c>
      <c r="B127" s="109" t="s">
        <v>198</v>
      </c>
      <c r="C127" s="109" t="s">
        <v>1296</v>
      </c>
      <c r="D127" s="109" t="s">
        <v>1348</v>
      </c>
      <c r="E127" s="109" t="s">
        <v>1364</v>
      </c>
      <c r="F127" s="110">
        <v>10262.5</v>
      </c>
      <c r="G127" s="110">
        <v>10262.5</v>
      </c>
      <c r="H127" s="111">
        <v>0</v>
      </c>
      <c r="I127">
        <v>0</v>
      </c>
    </row>
    <row r="128" spans="1:9">
      <c r="A128" s="109" t="s">
        <v>1365</v>
      </c>
      <c r="B128" s="109" t="s">
        <v>1366</v>
      </c>
      <c r="C128" s="109" t="s">
        <v>254</v>
      </c>
      <c r="D128" s="109" t="s">
        <v>254</v>
      </c>
      <c r="E128" s="109" t="s">
        <v>254</v>
      </c>
      <c r="F128" s="110">
        <v>46934.5</v>
      </c>
      <c r="G128" s="110">
        <v>46934.5</v>
      </c>
      <c r="H128" s="111">
        <v>0</v>
      </c>
      <c r="I128">
        <v>0</v>
      </c>
    </row>
    <row r="129" spans="1:9">
      <c r="A129" s="109" t="s">
        <v>841</v>
      </c>
      <c r="B129" s="109" t="s">
        <v>842</v>
      </c>
      <c r="C129" s="109" t="s">
        <v>254</v>
      </c>
      <c r="D129" s="109" t="s">
        <v>254</v>
      </c>
      <c r="E129" s="109" t="s">
        <v>254</v>
      </c>
      <c r="F129" s="110">
        <v>65390.5</v>
      </c>
      <c r="G129" s="110">
        <v>60136</v>
      </c>
      <c r="H129" s="111">
        <v>5254.5</v>
      </c>
      <c r="I129">
        <v>14</v>
      </c>
    </row>
    <row r="130" spans="1:9">
      <c r="A130" s="109" t="s">
        <v>1367</v>
      </c>
      <c r="B130" s="109" t="s">
        <v>44</v>
      </c>
      <c r="C130" s="109" t="s">
        <v>1179</v>
      </c>
      <c r="D130" s="109" t="s">
        <v>1368</v>
      </c>
      <c r="E130" s="109" t="s">
        <v>860</v>
      </c>
      <c r="F130" s="110">
        <v>212</v>
      </c>
      <c r="G130" s="110">
        <v>212</v>
      </c>
      <c r="H130" s="111">
        <v>0</v>
      </c>
      <c r="I130">
        <v>0</v>
      </c>
    </row>
    <row r="131" spans="1:9">
      <c r="A131" s="109" t="s">
        <v>845</v>
      </c>
      <c r="B131" s="109" t="s">
        <v>846</v>
      </c>
      <c r="C131" s="109" t="s">
        <v>254</v>
      </c>
      <c r="D131" s="109" t="s">
        <v>254</v>
      </c>
      <c r="E131" s="109" t="s">
        <v>254</v>
      </c>
      <c r="F131" s="110">
        <v>20658.5</v>
      </c>
      <c r="G131" s="110">
        <v>19066.5</v>
      </c>
      <c r="H131" s="111">
        <v>1592</v>
      </c>
      <c r="I131">
        <v>5</v>
      </c>
    </row>
    <row r="132" spans="1:9">
      <c r="A132" s="109" t="s">
        <v>1369</v>
      </c>
      <c r="B132" s="109" t="s">
        <v>1370</v>
      </c>
      <c r="C132" s="109" t="s">
        <v>254</v>
      </c>
      <c r="D132" s="109" t="s">
        <v>254</v>
      </c>
      <c r="E132" s="109" t="s">
        <v>254</v>
      </c>
      <c r="F132" s="110">
        <v>399.5</v>
      </c>
      <c r="G132" s="110">
        <v>399.5</v>
      </c>
      <c r="H132" s="111">
        <v>0</v>
      </c>
      <c r="I132">
        <v>0</v>
      </c>
    </row>
    <row r="133" spans="1:9">
      <c r="A133" s="109" t="s">
        <v>1371</v>
      </c>
      <c r="B133" s="109" t="s">
        <v>1372</v>
      </c>
      <c r="C133" s="109" t="s">
        <v>1197</v>
      </c>
      <c r="D133" s="109" t="s">
        <v>254</v>
      </c>
      <c r="E133" s="109" t="s">
        <v>254</v>
      </c>
      <c r="F133" s="110">
        <v>24024.5</v>
      </c>
      <c r="G133" s="110">
        <v>24024.5</v>
      </c>
      <c r="H133" s="111">
        <v>0</v>
      </c>
      <c r="I133">
        <v>0</v>
      </c>
    </row>
    <row r="134" spans="1:9">
      <c r="A134" s="109" t="s">
        <v>891</v>
      </c>
      <c r="B134" s="109" t="s">
        <v>892</v>
      </c>
      <c r="C134" s="109" t="s">
        <v>1208</v>
      </c>
      <c r="D134" s="109" t="s">
        <v>254</v>
      </c>
      <c r="E134" s="109" t="s">
        <v>254</v>
      </c>
      <c r="F134" s="110">
        <v>20903.5</v>
      </c>
      <c r="G134" s="110">
        <v>20903.5</v>
      </c>
      <c r="H134" s="111">
        <v>0</v>
      </c>
      <c r="I134">
        <v>0</v>
      </c>
    </row>
    <row r="135" spans="1:9">
      <c r="A135" s="109" t="s">
        <v>849</v>
      </c>
      <c r="B135" s="109" t="s">
        <v>850</v>
      </c>
      <c r="C135" s="109" t="s">
        <v>254</v>
      </c>
      <c r="D135" s="109" t="s">
        <v>1373</v>
      </c>
      <c r="E135" s="109" t="s">
        <v>872</v>
      </c>
      <c r="F135" s="110">
        <v>13692.5</v>
      </c>
      <c r="G135" s="110">
        <v>11343</v>
      </c>
      <c r="H135" s="111">
        <v>2349.5</v>
      </c>
      <c r="I135">
        <v>6</v>
      </c>
    </row>
    <row r="136" spans="1:9">
      <c r="A136" s="109" t="s">
        <v>851</v>
      </c>
      <c r="B136" s="109" t="s">
        <v>852</v>
      </c>
      <c r="C136" s="109" t="s">
        <v>254</v>
      </c>
      <c r="D136" s="109" t="s">
        <v>1374</v>
      </c>
      <c r="E136" s="109" t="s">
        <v>862</v>
      </c>
      <c r="F136" s="110">
        <v>3865</v>
      </c>
      <c r="G136" s="110">
        <v>3472.5</v>
      </c>
      <c r="H136" s="111">
        <v>392.5</v>
      </c>
      <c r="I136">
        <v>1</v>
      </c>
    </row>
    <row r="137" spans="1:9">
      <c r="A137" s="109" t="s">
        <v>1375</v>
      </c>
      <c r="B137" s="109" t="s">
        <v>1376</v>
      </c>
      <c r="C137" s="109" t="s">
        <v>1139</v>
      </c>
      <c r="D137" s="109" t="s">
        <v>1377</v>
      </c>
      <c r="E137" s="109" t="s">
        <v>1378</v>
      </c>
      <c r="F137" s="110">
        <v>1096</v>
      </c>
      <c r="G137" s="110">
        <v>0</v>
      </c>
      <c r="H137" s="111">
        <v>1096</v>
      </c>
      <c r="I137">
        <v>3</v>
      </c>
    </row>
    <row r="138" spans="1:9">
      <c r="A138" s="109" t="s">
        <v>869</v>
      </c>
      <c r="B138" s="109" t="s">
        <v>870</v>
      </c>
      <c r="C138" s="109" t="s">
        <v>254</v>
      </c>
      <c r="D138" s="109" t="s">
        <v>1379</v>
      </c>
      <c r="E138" s="109" t="s">
        <v>868</v>
      </c>
      <c r="F138" s="110">
        <v>6368</v>
      </c>
      <c r="G138" s="110">
        <v>5513.5</v>
      </c>
      <c r="H138" s="111">
        <v>854.5</v>
      </c>
      <c r="I138">
        <v>2</v>
      </c>
    </row>
    <row r="139" spans="1:9">
      <c r="A139" s="109" t="s">
        <v>887</v>
      </c>
      <c r="B139" s="109" t="s">
        <v>888</v>
      </c>
      <c r="C139" s="109" t="s">
        <v>254</v>
      </c>
      <c r="D139" s="109" t="s">
        <v>1380</v>
      </c>
      <c r="E139" s="109" t="s">
        <v>886</v>
      </c>
      <c r="F139" s="110">
        <v>2153</v>
      </c>
      <c r="G139" s="110">
        <v>1302.5</v>
      </c>
      <c r="H139" s="111">
        <v>850.5</v>
      </c>
      <c r="I139">
        <v>2</v>
      </c>
    </row>
    <row r="140" spans="1:9">
      <c r="A140" s="109" t="s">
        <v>1381</v>
      </c>
      <c r="B140" s="109" t="s">
        <v>1382</v>
      </c>
      <c r="C140" s="109" t="s">
        <v>254</v>
      </c>
      <c r="D140" s="109" t="s">
        <v>254</v>
      </c>
      <c r="E140" s="109" t="s">
        <v>254</v>
      </c>
      <c r="F140" s="110">
        <v>242.5</v>
      </c>
      <c r="G140" s="110">
        <v>242.5</v>
      </c>
      <c r="H140" s="111">
        <v>0</v>
      </c>
      <c r="I140">
        <v>0</v>
      </c>
    </row>
    <row r="141" spans="1:9">
      <c r="A141" s="109" t="s">
        <v>1383</v>
      </c>
      <c r="B141" s="109" t="s">
        <v>1384</v>
      </c>
      <c r="C141" s="109" t="s">
        <v>1253</v>
      </c>
      <c r="D141" s="109" t="s">
        <v>254</v>
      </c>
      <c r="E141" s="109" t="s">
        <v>1385</v>
      </c>
      <c r="F141" s="110">
        <v>492.5</v>
      </c>
      <c r="G141" s="110">
        <v>0</v>
      </c>
      <c r="H141" s="111">
        <v>492.5</v>
      </c>
      <c r="I141">
        <v>1</v>
      </c>
    </row>
    <row r="142" spans="1:9">
      <c r="A142" s="109" t="s">
        <v>855</v>
      </c>
      <c r="B142" s="109" t="s">
        <v>128</v>
      </c>
      <c r="C142" s="109" t="s">
        <v>254</v>
      </c>
      <c r="D142" s="109" t="s">
        <v>1386</v>
      </c>
      <c r="E142" s="109" t="s">
        <v>254</v>
      </c>
      <c r="F142" s="110">
        <v>95893.5</v>
      </c>
      <c r="G142" s="110">
        <v>92965</v>
      </c>
      <c r="H142" s="111">
        <v>2928.5</v>
      </c>
      <c r="I142">
        <v>6</v>
      </c>
    </row>
    <row r="143" spans="1:9">
      <c r="A143" s="109" t="s">
        <v>856</v>
      </c>
      <c r="B143" s="109" t="s">
        <v>857</v>
      </c>
      <c r="C143" s="109" t="s">
        <v>254</v>
      </c>
      <c r="D143" s="109" t="s">
        <v>254</v>
      </c>
      <c r="E143" s="109" t="s">
        <v>254</v>
      </c>
      <c r="F143" s="110">
        <v>40680</v>
      </c>
      <c r="G143" s="110">
        <v>40680</v>
      </c>
      <c r="H143" s="111">
        <v>0</v>
      </c>
      <c r="I143">
        <v>0</v>
      </c>
    </row>
    <row r="144" spans="1:9">
      <c r="A144" s="109" t="s">
        <v>859</v>
      </c>
      <c r="B144" s="109" t="s">
        <v>860</v>
      </c>
      <c r="C144" s="109" t="s">
        <v>254</v>
      </c>
      <c r="D144" s="109" t="s">
        <v>1368</v>
      </c>
      <c r="E144" s="109" t="s">
        <v>1387</v>
      </c>
      <c r="F144" s="110">
        <v>38529.699999999997</v>
      </c>
      <c r="G144" s="110">
        <v>38334.700000000004</v>
      </c>
      <c r="H144" s="111">
        <v>194.99999999999272</v>
      </c>
      <c r="I144">
        <v>1</v>
      </c>
    </row>
    <row r="145" spans="1:9">
      <c r="A145" s="109" t="s">
        <v>861</v>
      </c>
      <c r="B145" s="109" t="s">
        <v>862</v>
      </c>
      <c r="C145" s="109" t="s">
        <v>254</v>
      </c>
      <c r="D145" s="109" t="s">
        <v>1374</v>
      </c>
      <c r="E145" s="109" t="s">
        <v>1387</v>
      </c>
      <c r="F145" s="110">
        <v>15064.5</v>
      </c>
      <c r="G145" s="110">
        <v>15064.5</v>
      </c>
      <c r="H145" s="111">
        <v>0</v>
      </c>
      <c r="I145">
        <v>0</v>
      </c>
    </row>
    <row r="146" spans="1:9">
      <c r="A146" s="109" t="s">
        <v>863</v>
      </c>
      <c r="B146" s="109" t="s">
        <v>864</v>
      </c>
      <c r="C146" s="109" t="s">
        <v>254</v>
      </c>
      <c r="D146" s="109" t="s">
        <v>1388</v>
      </c>
      <c r="E146" s="109" t="s">
        <v>1387</v>
      </c>
      <c r="F146" s="110">
        <v>6325</v>
      </c>
      <c r="G146" s="110">
        <v>6325</v>
      </c>
      <c r="H146" s="111">
        <v>0</v>
      </c>
      <c r="I146">
        <v>0</v>
      </c>
    </row>
    <row r="147" spans="1:9">
      <c r="A147" s="109" t="s">
        <v>867</v>
      </c>
      <c r="B147" s="109" t="s">
        <v>868</v>
      </c>
      <c r="C147" s="109" t="s">
        <v>254</v>
      </c>
      <c r="D147" s="109" t="s">
        <v>1389</v>
      </c>
      <c r="E147" s="109" t="s">
        <v>1387</v>
      </c>
      <c r="F147" s="110">
        <v>6721.1</v>
      </c>
      <c r="G147" s="110">
        <v>6721.1</v>
      </c>
      <c r="H147" s="111">
        <v>0</v>
      </c>
      <c r="I147">
        <v>0</v>
      </c>
    </row>
    <row r="148" spans="1:9">
      <c r="A148" s="109" t="s">
        <v>1390</v>
      </c>
      <c r="B148" s="109" t="s">
        <v>1032</v>
      </c>
      <c r="C148" s="109" t="s">
        <v>254</v>
      </c>
      <c r="D148" s="109" t="s">
        <v>1391</v>
      </c>
      <c r="E148" s="109" t="s">
        <v>1387</v>
      </c>
      <c r="F148" s="110">
        <v>5145</v>
      </c>
      <c r="G148" s="110">
        <v>5145</v>
      </c>
      <c r="H148" s="111">
        <v>0</v>
      </c>
      <c r="I148">
        <v>0</v>
      </c>
    </row>
    <row r="149" spans="1:9">
      <c r="A149" s="109" t="s">
        <v>871</v>
      </c>
      <c r="B149" s="109" t="s">
        <v>872</v>
      </c>
      <c r="C149" s="109" t="s">
        <v>254</v>
      </c>
      <c r="D149" s="109" t="s">
        <v>1373</v>
      </c>
      <c r="E149" s="109" t="s">
        <v>1387</v>
      </c>
      <c r="F149" s="110">
        <v>25072.5</v>
      </c>
      <c r="G149" s="110">
        <v>25072.5</v>
      </c>
      <c r="H149" s="111">
        <v>0</v>
      </c>
      <c r="I149">
        <v>0</v>
      </c>
    </row>
    <row r="150" spans="1:9">
      <c r="A150" s="109" t="s">
        <v>1392</v>
      </c>
      <c r="B150" s="109" t="s">
        <v>1393</v>
      </c>
      <c r="C150" s="109" t="s">
        <v>254</v>
      </c>
      <c r="D150" s="109" t="s">
        <v>1394</v>
      </c>
      <c r="E150" s="109" t="s">
        <v>1387</v>
      </c>
      <c r="F150" s="110">
        <v>2611.6</v>
      </c>
      <c r="G150" s="110">
        <v>16.600000000000001</v>
      </c>
      <c r="H150" s="111">
        <v>2595</v>
      </c>
      <c r="I150">
        <v>6</v>
      </c>
    </row>
    <row r="151" spans="1:9">
      <c r="A151" s="109" t="s">
        <v>1395</v>
      </c>
      <c r="B151" s="109" t="s">
        <v>1396</v>
      </c>
      <c r="C151" s="109" t="s">
        <v>254</v>
      </c>
      <c r="D151" s="109" t="s">
        <v>1397</v>
      </c>
      <c r="E151" s="109" t="s">
        <v>254</v>
      </c>
      <c r="F151" s="110">
        <v>1501.1</v>
      </c>
      <c r="G151" s="110">
        <v>1501.1</v>
      </c>
      <c r="H151" s="111">
        <v>0</v>
      </c>
      <c r="I151">
        <v>0</v>
      </c>
    </row>
    <row r="152" spans="1:9">
      <c r="A152" s="109" t="s">
        <v>865</v>
      </c>
      <c r="B152" s="109" t="s">
        <v>866</v>
      </c>
      <c r="C152" s="109" t="s">
        <v>254</v>
      </c>
      <c r="D152" s="109" t="s">
        <v>1398</v>
      </c>
      <c r="E152" s="109" t="s">
        <v>1387</v>
      </c>
      <c r="F152" s="110">
        <v>168057.7</v>
      </c>
      <c r="G152" s="110">
        <v>167201.70000000001</v>
      </c>
      <c r="H152" s="111">
        <v>856</v>
      </c>
      <c r="I152">
        <v>4</v>
      </c>
    </row>
    <row r="153" spans="1:9">
      <c r="A153" s="109" t="s">
        <v>876</v>
      </c>
      <c r="B153" s="109" t="s">
        <v>877</v>
      </c>
      <c r="C153" s="109" t="s">
        <v>254</v>
      </c>
      <c r="D153" s="109" t="s">
        <v>1399</v>
      </c>
      <c r="E153" s="109" t="s">
        <v>1387</v>
      </c>
      <c r="F153" s="110">
        <v>540874.30000000005</v>
      </c>
      <c r="G153" s="110">
        <v>540874.30000000005</v>
      </c>
      <c r="H153" s="111">
        <v>0</v>
      </c>
      <c r="I153">
        <v>0</v>
      </c>
    </row>
    <row r="154" spans="1:9">
      <c r="A154" s="109" t="s">
        <v>880</v>
      </c>
      <c r="B154" s="109" t="s">
        <v>172</v>
      </c>
      <c r="C154" s="109" t="s">
        <v>254</v>
      </c>
      <c r="D154" s="109" t="s">
        <v>1400</v>
      </c>
      <c r="E154" s="109" t="s">
        <v>1387</v>
      </c>
      <c r="F154" s="110">
        <v>134042.01999999999</v>
      </c>
      <c r="G154" s="110">
        <v>134042.01999999999</v>
      </c>
      <c r="H154" s="111">
        <v>0</v>
      </c>
      <c r="I154">
        <v>0</v>
      </c>
    </row>
    <row r="155" spans="1:9">
      <c r="A155" s="109" t="s">
        <v>881</v>
      </c>
      <c r="B155" s="109" t="s">
        <v>882</v>
      </c>
      <c r="C155" s="109" t="s">
        <v>254</v>
      </c>
      <c r="D155" s="109" t="s">
        <v>1401</v>
      </c>
      <c r="E155" s="109" t="s">
        <v>1387</v>
      </c>
      <c r="F155" s="110">
        <v>1236.5</v>
      </c>
      <c r="G155" s="110">
        <v>1236.5</v>
      </c>
      <c r="H155" s="111">
        <v>0</v>
      </c>
      <c r="I155">
        <v>0</v>
      </c>
    </row>
    <row r="156" spans="1:9">
      <c r="A156" s="109" t="s">
        <v>883</v>
      </c>
      <c r="B156" s="109" t="s">
        <v>884</v>
      </c>
      <c r="C156" s="109" t="s">
        <v>254</v>
      </c>
      <c r="D156" s="109" t="s">
        <v>1260</v>
      </c>
      <c r="E156" s="109" t="s">
        <v>1387</v>
      </c>
      <c r="F156" s="110">
        <v>66041</v>
      </c>
      <c r="G156" s="110">
        <v>65674</v>
      </c>
      <c r="H156" s="111">
        <v>367</v>
      </c>
      <c r="I156">
        <v>1</v>
      </c>
    </row>
    <row r="157" spans="1:9">
      <c r="A157" s="109" t="s">
        <v>1402</v>
      </c>
      <c r="B157" s="109" t="s">
        <v>1403</v>
      </c>
      <c r="C157" s="109" t="s">
        <v>254</v>
      </c>
      <c r="D157" s="109" t="s">
        <v>1404</v>
      </c>
      <c r="E157" s="109" t="s">
        <v>1387</v>
      </c>
      <c r="F157" s="110">
        <v>370</v>
      </c>
      <c r="G157" s="110">
        <v>370</v>
      </c>
      <c r="H157" s="111">
        <v>0</v>
      </c>
      <c r="I157">
        <v>0</v>
      </c>
    </row>
    <row r="158" spans="1:9">
      <c r="A158" s="109" t="s">
        <v>885</v>
      </c>
      <c r="B158" s="109" t="s">
        <v>886</v>
      </c>
      <c r="C158" s="109" t="s">
        <v>254</v>
      </c>
      <c r="D158" s="109" t="s">
        <v>1380</v>
      </c>
      <c r="E158" s="109" t="s">
        <v>1387</v>
      </c>
      <c r="F158" s="110">
        <v>2698.5</v>
      </c>
      <c r="G158" s="110">
        <v>2698.5</v>
      </c>
      <c r="H158" s="111">
        <v>0</v>
      </c>
      <c r="I158">
        <v>0</v>
      </c>
    </row>
    <row r="159" spans="1:9">
      <c r="A159" s="109" t="s">
        <v>1069</v>
      </c>
      <c r="B159" s="109" t="s">
        <v>940</v>
      </c>
      <c r="C159" s="109" t="s">
        <v>254</v>
      </c>
      <c r="D159" s="109" t="s">
        <v>1405</v>
      </c>
      <c r="E159" s="109" t="s">
        <v>1387</v>
      </c>
      <c r="F159" s="110">
        <v>30</v>
      </c>
      <c r="G159" s="110">
        <v>30</v>
      </c>
      <c r="H159" s="111">
        <v>0</v>
      </c>
      <c r="I159">
        <v>0</v>
      </c>
    </row>
    <row r="160" spans="1:9">
      <c r="A160" s="109" t="s">
        <v>1406</v>
      </c>
      <c r="B160" s="109" t="s">
        <v>1353</v>
      </c>
      <c r="C160" s="109" t="s">
        <v>254</v>
      </c>
      <c r="D160" s="109" t="s">
        <v>1352</v>
      </c>
      <c r="E160" s="109" t="s">
        <v>1387</v>
      </c>
      <c r="F160" s="110">
        <v>4246.5</v>
      </c>
      <c r="G160" s="110">
        <v>4231.7</v>
      </c>
      <c r="H160" s="111">
        <v>14.800000000000182</v>
      </c>
      <c r="I160">
        <v>1</v>
      </c>
    </row>
    <row r="161" spans="1:9">
      <c r="A161" s="109" t="s">
        <v>873</v>
      </c>
      <c r="B161" s="109" t="s">
        <v>874</v>
      </c>
      <c r="C161" s="109" t="s">
        <v>254</v>
      </c>
      <c r="D161" s="109" t="s">
        <v>1407</v>
      </c>
      <c r="E161" s="109" t="s">
        <v>1387</v>
      </c>
      <c r="F161" s="110">
        <v>259152</v>
      </c>
      <c r="G161" s="110">
        <v>259152</v>
      </c>
      <c r="H161" s="111">
        <v>0</v>
      </c>
      <c r="I161">
        <v>0</v>
      </c>
    </row>
    <row r="162" spans="1:9">
      <c r="A162" s="109" t="s">
        <v>889</v>
      </c>
      <c r="B162" s="109" t="s">
        <v>890</v>
      </c>
      <c r="C162" s="109" t="s">
        <v>254</v>
      </c>
      <c r="D162" s="109" t="s">
        <v>1158</v>
      </c>
      <c r="E162" s="109" t="s">
        <v>1387</v>
      </c>
      <c r="F162" s="110">
        <v>71237</v>
      </c>
      <c r="G162" s="110">
        <v>70953</v>
      </c>
      <c r="H162" s="111">
        <v>284</v>
      </c>
      <c r="I162">
        <v>1</v>
      </c>
    </row>
    <row r="163" spans="1:9">
      <c r="A163" s="109" t="s">
        <v>893</v>
      </c>
      <c r="B163" s="109" t="s">
        <v>894</v>
      </c>
      <c r="C163" s="109" t="s">
        <v>254</v>
      </c>
      <c r="D163" s="109" t="s">
        <v>1408</v>
      </c>
      <c r="E163" s="109" t="s">
        <v>1387</v>
      </c>
      <c r="F163" s="110">
        <v>69138</v>
      </c>
      <c r="G163" s="110">
        <v>68585</v>
      </c>
      <c r="H163" s="111">
        <v>553</v>
      </c>
      <c r="I163">
        <v>1</v>
      </c>
    </row>
    <row r="164" spans="1:9">
      <c r="A164" s="109" t="s">
        <v>1409</v>
      </c>
      <c r="B164" s="109" t="s">
        <v>1410</v>
      </c>
      <c r="C164" s="109" t="s">
        <v>254</v>
      </c>
      <c r="D164" s="109" t="s">
        <v>1158</v>
      </c>
      <c r="E164" s="109" t="s">
        <v>1387</v>
      </c>
      <c r="F164" s="110">
        <v>1591.5</v>
      </c>
      <c r="G164" s="110">
        <v>1591.5</v>
      </c>
      <c r="H164" s="111">
        <v>0</v>
      </c>
      <c r="I164">
        <v>0</v>
      </c>
    </row>
    <row r="165" spans="1:9">
      <c r="A165" s="109" t="s">
        <v>1411</v>
      </c>
      <c r="B165" s="109" t="s">
        <v>1412</v>
      </c>
      <c r="C165" s="109" t="s">
        <v>254</v>
      </c>
      <c r="D165" s="109" t="s">
        <v>1413</v>
      </c>
      <c r="E165" s="109" t="s">
        <v>1414</v>
      </c>
      <c r="F165" s="110">
        <v>22702</v>
      </c>
      <c r="G165" s="110">
        <v>14398</v>
      </c>
      <c r="H165" s="111">
        <v>8304</v>
      </c>
      <c r="I165">
        <v>2</v>
      </c>
    </row>
    <row r="166" spans="1:9">
      <c r="A166" s="109" t="s">
        <v>898</v>
      </c>
      <c r="B166" s="109" t="s">
        <v>899</v>
      </c>
      <c r="C166" s="109" t="s">
        <v>254</v>
      </c>
      <c r="D166" s="109" t="s">
        <v>254</v>
      </c>
      <c r="E166" s="109" t="s">
        <v>254</v>
      </c>
      <c r="F166" s="110">
        <v>4618.2</v>
      </c>
      <c r="G166" s="110">
        <v>4365.2</v>
      </c>
      <c r="H166" s="111">
        <v>253</v>
      </c>
      <c r="I166">
        <v>1</v>
      </c>
    </row>
    <row r="167" spans="1:9">
      <c r="A167" s="109" t="s">
        <v>1415</v>
      </c>
      <c r="B167" s="109" t="s">
        <v>1027</v>
      </c>
      <c r="C167" s="109" t="s">
        <v>254</v>
      </c>
      <c r="D167" s="109" t="s">
        <v>1416</v>
      </c>
      <c r="E167" s="109" t="s">
        <v>254</v>
      </c>
      <c r="F167" s="110">
        <v>506.5</v>
      </c>
      <c r="G167" s="110">
        <v>506.5</v>
      </c>
      <c r="H167" s="111">
        <v>0</v>
      </c>
      <c r="I167">
        <v>0</v>
      </c>
    </row>
    <row r="168" spans="1:9">
      <c r="A168" s="109" t="s">
        <v>742</v>
      </c>
      <c r="B168" s="109" t="s">
        <v>743</v>
      </c>
      <c r="C168" s="109" t="s">
        <v>254</v>
      </c>
      <c r="D168" s="109" t="s">
        <v>1417</v>
      </c>
      <c r="E168" s="109" t="s">
        <v>1418</v>
      </c>
      <c r="F168" s="110">
        <v>1575</v>
      </c>
      <c r="G168" s="110">
        <v>1575</v>
      </c>
      <c r="H168" s="111">
        <v>0</v>
      </c>
      <c r="I168">
        <v>0</v>
      </c>
    </row>
    <row r="169" spans="1:9">
      <c r="A169" s="109" t="s">
        <v>1419</v>
      </c>
      <c r="B169" s="109" t="s">
        <v>1034</v>
      </c>
      <c r="C169" s="109" t="s">
        <v>254</v>
      </c>
      <c r="D169" s="109" t="s">
        <v>1420</v>
      </c>
      <c r="E169" s="109" t="s">
        <v>1418</v>
      </c>
      <c r="F169" s="110">
        <v>1038</v>
      </c>
      <c r="G169" s="110">
        <v>1038</v>
      </c>
      <c r="H169" s="111">
        <v>0</v>
      </c>
      <c r="I169">
        <v>0</v>
      </c>
    </row>
    <row r="170" spans="1:9">
      <c r="A170" s="109" t="s">
        <v>1421</v>
      </c>
      <c r="B170" s="109" t="s">
        <v>994</v>
      </c>
      <c r="C170" s="109" t="s">
        <v>254</v>
      </c>
      <c r="D170" s="109" t="s">
        <v>1422</v>
      </c>
      <c r="E170" s="109" t="s">
        <v>1418</v>
      </c>
      <c r="F170" s="110">
        <v>2777</v>
      </c>
      <c r="G170" s="110">
        <v>2474</v>
      </c>
      <c r="H170" s="111">
        <v>303</v>
      </c>
      <c r="I170">
        <v>1</v>
      </c>
    </row>
    <row r="171" spans="1:9">
      <c r="A171" s="109" t="s">
        <v>746</v>
      </c>
      <c r="B171" s="109" t="s">
        <v>747</v>
      </c>
      <c r="C171" s="109" t="s">
        <v>254</v>
      </c>
      <c r="D171" s="109" t="s">
        <v>1423</v>
      </c>
      <c r="E171" s="109" t="s">
        <v>1418</v>
      </c>
      <c r="F171" s="110">
        <v>1083</v>
      </c>
      <c r="G171" s="110">
        <v>1083</v>
      </c>
      <c r="H171" s="111">
        <v>0</v>
      </c>
      <c r="I171">
        <v>0</v>
      </c>
    </row>
    <row r="172" spans="1:9">
      <c r="A172" s="109" t="s">
        <v>1424</v>
      </c>
      <c r="B172" s="109" t="s">
        <v>1425</v>
      </c>
      <c r="C172" s="109" t="s">
        <v>254</v>
      </c>
      <c r="D172" s="109" t="s">
        <v>254</v>
      </c>
      <c r="E172" s="109" t="s">
        <v>254</v>
      </c>
      <c r="F172" s="110">
        <v>451.5</v>
      </c>
      <c r="G172" s="110">
        <v>451.5</v>
      </c>
      <c r="H172" s="111">
        <v>0</v>
      </c>
      <c r="I172">
        <v>0</v>
      </c>
    </row>
    <row r="173" spans="1:9">
      <c r="A173" s="109" t="s">
        <v>1426</v>
      </c>
      <c r="B173" s="109" t="s">
        <v>1427</v>
      </c>
      <c r="C173" s="109" t="s">
        <v>254</v>
      </c>
      <c r="D173" s="109" t="s">
        <v>1428</v>
      </c>
      <c r="E173" s="109" t="s">
        <v>1429</v>
      </c>
      <c r="F173" s="110">
        <v>1626</v>
      </c>
      <c r="G173" s="110">
        <v>1626</v>
      </c>
      <c r="H173" s="111">
        <v>0</v>
      </c>
      <c r="I173">
        <v>0</v>
      </c>
    </row>
    <row r="174" spans="1:9">
      <c r="A174" s="109" t="s">
        <v>748</v>
      </c>
      <c r="B174" s="109" t="s">
        <v>749</v>
      </c>
      <c r="C174" s="109" t="s">
        <v>254</v>
      </c>
      <c r="D174" s="109" t="s">
        <v>254</v>
      </c>
      <c r="E174" s="109" t="s">
        <v>1430</v>
      </c>
      <c r="F174" s="110">
        <v>5302.2</v>
      </c>
      <c r="G174" s="110">
        <v>5302.2</v>
      </c>
      <c r="H174" s="111">
        <v>0</v>
      </c>
      <c r="I174">
        <v>0</v>
      </c>
    </row>
    <row r="175" spans="1:9">
      <c r="A175" s="109" t="s">
        <v>1431</v>
      </c>
      <c r="B175" s="109" t="s">
        <v>1432</v>
      </c>
      <c r="C175" s="109" t="s">
        <v>254</v>
      </c>
      <c r="D175" s="109" t="s">
        <v>1433</v>
      </c>
      <c r="E175" s="109" t="s">
        <v>1418</v>
      </c>
      <c r="F175" s="110">
        <v>256</v>
      </c>
      <c r="G175" s="110">
        <v>0</v>
      </c>
      <c r="H175" s="111">
        <v>256</v>
      </c>
      <c r="I175">
        <v>1</v>
      </c>
    </row>
    <row r="176" spans="1:9">
      <c r="A176" s="109" t="s">
        <v>1434</v>
      </c>
      <c r="B176" s="109" t="s">
        <v>1435</v>
      </c>
      <c r="C176" s="109" t="s">
        <v>254</v>
      </c>
      <c r="D176" s="109" t="s">
        <v>1436</v>
      </c>
      <c r="E176" s="109" t="s">
        <v>1418</v>
      </c>
      <c r="F176" s="110">
        <v>267</v>
      </c>
      <c r="G176" s="110">
        <v>0</v>
      </c>
      <c r="H176" s="111">
        <v>267</v>
      </c>
      <c r="I176">
        <v>1</v>
      </c>
    </row>
    <row r="177" spans="1:9">
      <c r="A177" s="109" t="s">
        <v>752</v>
      </c>
      <c r="B177" s="109" t="s">
        <v>753</v>
      </c>
      <c r="C177" s="109" t="s">
        <v>254</v>
      </c>
      <c r="D177" s="109" t="s">
        <v>1437</v>
      </c>
      <c r="E177" s="109" t="s">
        <v>1418</v>
      </c>
      <c r="F177" s="110">
        <v>7463.1</v>
      </c>
      <c r="G177" s="110">
        <v>7414.6</v>
      </c>
      <c r="H177" s="111">
        <v>48.5</v>
      </c>
      <c r="I177">
        <v>1</v>
      </c>
    </row>
    <row r="178" spans="1:9">
      <c r="A178" s="109" t="s">
        <v>900</v>
      </c>
      <c r="B178" s="109" t="s">
        <v>901</v>
      </c>
      <c r="C178" s="109" t="s">
        <v>254</v>
      </c>
      <c r="D178" s="109" t="s">
        <v>1438</v>
      </c>
      <c r="E178" s="109" t="s">
        <v>1418</v>
      </c>
      <c r="F178" s="110">
        <v>4296.5</v>
      </c>
      <c r="G178" s="110">
        <v>4296.5</v>
      </c>
      <c r="H178" s="111">
        <v>0</v>
      </c>
      <c r="I178">
        <v>0</v>
      </c>
    </row>
    <row r="179" spans="1:9">
      <c r="A179" s="109" t="s">
        <v>760</v>
      </c>
      <c r="B179" s="109" t="s">
        <v>761</v>
      </c>
      <c r="C179" s="109" t="s">
        <v>254</v>
      </c>
      <c r="D179" s="109" t="s">
        <v>1439</v>
      </c>
      <c r="E179" s="109" t="s">
        <v>1418</v>
      </c>
      <c r="F179" s="110">
        <v>7653.9</v>
      </c>
      <c r="G179" s="110">
        <v>7249.9</v>
      </c>
      <c r="H179" s="111">
        <v>404</v>
      </c>
      <c r="I179">
        <v>1</v>
      </c>
    </row>
    <row r="180" spans="1:9">
      <c r="A180" s="109" t="s">
        <v>768</v>
      </c>
      <c r="B180" s="109" t="s">
        <v>769</v>
      </c>
      <c r="C180" s="109" t="s">
        <v>254</v>
      </c>
      <c r="D180" s="109" t="s">
        <v>1440</v>
      </c>
      <c r="E180" s="109" t="s">
        <v>1418</v>
      </c>
      <c r="F180" s="110">
        <v>555.5</v>
      </c>
      <c r="G180" s="110">
        <v>555.5</v>
      </c>
      <c r="H180" s="111">
        <v>0</v>
      </c>
      <c r="I180">
        <v>0</v>
      </c>
    </row>
    <row r="181" spans="1:9">
      <c r="A181" s="109" t="s">
        <v>1441</v>
      </c>
      <c r="B181" s="109" t="s">
        <v>1442</v>
      </c>
      <c r="C181" s="109" t="s">
        <v>254</v>
      </c>
      <c r="D181" s="109" t="s">
        <v>254</v>
      </c>
      <c r="E181" s="109" t="s">
        <v>1418</v>
      </c>
      <c r="F181" s="110">
        <v>777.39393999999993</v>
      </c>
      <c r="G181" s="110">
        <v>631.39394000000004</v>
      </c>
      <c r="H181" s="111">
        <v>145.99999999999989</v>
      </c>
      <c r="I181">
        <v>1</v>
      </c>
    </row>
    <row r="182" spans="1:9">
      <c r="A182" s="109" t="s">
        <v>1443</v>
      </c>
      <c r="B182" s="109" t="s">
        <v>1444</v>
      </c>
      <c r="C182" s="109" t="s">
        <v>254</v>
      </c>
      <c r="D182" s="109" t="s">
        <v>1445</v>
      </c>
      <c r="E182" s="109" t="s">
        <v>1418</v>
      </c>
      <c r="F182" s="110">
        <v>635</v>
      </c>
      <c r="G182" s="110">
        <v>0</v>
      </c>
      <c r="H182" s="111">
        <v>635</v>
      </c>
      <c r="I182">
        <v>2</v>
      </c>
    </row>
    <row r="183" spans="1:9">
      <c r="A183" s="109" t="s">
        <v>1446</v>
      </c>
      <c r="B183" s="109" t="s">
        <v>1447</v>
      </c>
      <c r="C183" s="109" t="s">
        <v>254</v>
      </c>
      <c r="D183" s="109" t="s">
        <v>1448</v>
      </c>
      <c r="E183" s="109" t="s">
        <v>1418</v>
      </c>
      <c r="F183" s="110">
        <v>140.5</v>
      </c>
      <c r="G183" s="110">
        <v>140.5</v>
      </c>
      <c r="H183" s="111">
        <v>0</v>
      </c>
      <c r="I183">
        <v>0</v>
      </c>
    </row>
    <row r="184" spans="1:9">
      <c r="A184" s="109" t="s">
        <v>1449</v>
      </c>
      <c r="B184" s="109" t="s">
        <v>1450</v>
      </c>
      <c r="C184" s="109" t="s">
        <v>254</v>
      </c>
      <c r="D184" s="109" t="s">
        <v>1451</v>
      </c>
      <c r="E184" s="109" t="s">
        <v>1418</v>
      </c>
      <c r="F184" s="110">
        <v>216.1</v>
      </c>
      <c r="G184" s="110">
        <v>216.1</v>
      </c>
      <c r="H184" s="111">
        <v>0</v>
      </c>
      <c r="I184">
        <v>0</v>
      </c>
    </row>
    <row r="185" spans="1:9">
      <c r="A185" s="109" t="s">
        <v>770</v>
      </c>
      <c r="B185" s="109" t="s">
        <v>771</v>
      </c>
      <c r="C185" s="109" t="s">
        <v>254</v>
      </c>
      <c r="D185" s="109" t="s">
        <v>1423</v>
      </c>
      <c r="E185" s="109" t="s">
        <v>1418</v>
      </c>
      <c r="F185" s="110">
        <v>1387.7</v>
      </c>
      <c r="G185" s="110">
        <v>1387.7</v>
      </c>
      <c r="H185" s="111">
        <v>0</v>
      </c>
      <c r="I185">
        <v>0</v>
      </c>
    </row>
    <row r="186" spans="1:9">
      <c r="A186" s="109" t="s">
        <v>772</v>
      </c>
      <c r="B186" s="109" t="s">
        <v>773</v>
      </c>
      <c r="C186" s="109" t="s">
        <v>254</v>
      </c>
      <c r="D186" s="109" t="s">
        <v>1423</v>
      </c>
      <c r="E186" s="109" t="s">
        <v>1418</v>
      </c>
      <c r="F186" s="110">
        <v>18471.8</v>
      </c>
      <c r="G186" s="110">
        <v>18471.8</v>
      </c>
      <c r="H186" s="111">
        <v>0</v>
      </c>
      <c r="I186">
        <v>0</v>
      </c>
    </row>
    <row r="187" spans="1:9">
      <c r="A187" s="109" t="s">
        <v>1452</v>
      </c>
      <c r="B187" s="109" t="s">
        <v>1001</v>
      </c>
      <c r="C187" s="109" t="s">
        <v>254</v>
      </c>
      <c r="D187" s="109" t="s">
        <v>1453</v>
      </c>
      <c r="E187" s="109" t="s">
        <v>1418</v>
      </c>
      <c r="F187" s="110">
        <v>2057</v>
      </c>
      <c r="G187" s="110">
        <v>2057</v>
      </c>
      <c r="H187" s="111">
        <v>0</v>
      </c>
      <c r="I187">
        <v>0</v>
      </c>
    </row>
    <row r="188" spans="1:9">
      <c r="A188" s="109" t="s">
        <v>1454</v>
      </c>
      <c r="B188" s="109" t="s">
        <v>1455</v>
      </c>
      <c r="C188" s="109" t="s">
        <v>254</v>
      </c>
      <c r="D188" s="109" t="s">
        <v>1456</v>
      </c>
      <c r="E188" s="109" t="s">
        <v>1418</v>
      </c>
      <c r="F188" s="110">
        <v>384.5</v>
      </c>
      <c r="G188" s="110">
        <v>0</v>
      </c>
      <c r="H188" s="111">
        <v>384.5</v>
      </c>
      <c r="I188">
        <v>1</v>
      </c>
    </row>
    <row r="189" spans="1:9">
      <c r="A189" s="109" t="s">
        <v>1457</v>
      </c>
      <c r="B189" s="109" t="s">
        <v>1458</v>
      </c>
      <c r="C189" s="109" t="s">
        <v>254</v>
      </c>
      <c r="D189" s="109" t="s">
        <v>1459</v>
      </c>
      <c r="E189" s="109" t="s">
        <v>1418</v>
      </c>
      <c r="F189" s="110">
        <v>1472.5</v>
      </c>
      <c r="G189" s="110">
        <v>0</v>
      </c>
      <c r="H189" s="111">
        <v>1472.5</v>
      </c>
      <c r="I189">
        <v>2</v>
      </c>
    </row>
    <row r="190" spans="1:9">
      <c r="A190" s="109" t="s">
        <v>1460</v>
      </c>
      <c r="B190" s="109" t="s">
        <v>1030</v>
      </c>
      <c r="C190" s="109" t="s">
        <v>254</v>
      </c>
      <c r="D190" s="109" t="s">
        <v>1423</v>
      </c>
      <c r="E190" s="109" t="s">
        <v>1418</v>
      </c>
      <c r="F190" s="110">
        <v>223.5</v>
      </c>
      <c r="G190" s="110">
        <v>0</v>
      </c>
      <c r="H190" s="111">
        <v>223.5</v>
      </c>
      <c r="I190">
        <v>1</v>
      </c>
    </row>
    <row r="191" spans="1:9">
      <c r="A191" s="109" t="s">
        <v>774</v>
      </c>
      <c r="B191" s="109" t="s">
        <v>775</v>
      </c>
      <c r="C191" s="109" t="s">
        <v>254</v>
      </c>
      <c r="D191" s="109" t="s">
        <v>1461</v>
      </c>
      <c r="E191" s="109" t="s">
        <v>1418</v>
      </c>
      <c r="F191" s="110">
        <v>8084.5</v>
      </c>
      <c r="G191" s="110">
        <v>7912.5</v>
      </c>
      <c r="H191" s="111">
        <v>172</v>
      </c>
      <c r="I191">
        <v>1</v>
      </c>
    </row>
    <row r="192" spans="1:9">
      <c r="A192" s="109" t="s">
        <v>1462</v>
      </c>
      <c r="B192" s="109" t="s">
        <v>1463</v>
      </c>
      <c r="C192" s="109" t="s">
        <v>254</v>
      </c>
      <c r="D192" s="109" t="s">
        <v>1464</v>
      </c>
      <c r="E192" s="109" t="s">
        <v>1418</v>
      </c>
      <c r="F192" s="110">
        <v>1236</v>
      </c>
      <c r="G192" s="110">
        <v>0</v>
      </c>
      <c r="H192" s="111">
        <v>1236</v>
      </c>
      <c r="I192">
        <v>3</v>
      </c>
    </row>
    <row r="193" spans="1:9">
      <c r="A193" s="109" t="s">
        <v>778</v>
      </c>
      <c r="B193" s="109" t="s">
        <v>779</v>
      </c>
      <c r="C193" s="109" t="s">
        <v>254</v>
      </c>
      <c r="D193" s="109" t="s">
        <v>1465</v>
      </c>
      <c r="E193" s="109" t="s">
        <v>1418</v>
      </c>
      <c r="F193" s="110">
        <v>36836.300000000017</v>
      </c>
      <c r="G193" s="110">
        <v>36836.300000000017</v>
      </c>
      <c r="H193" s="111">
        <v>0</v>
      </c>
      <c r="I193">
        <v>0</v>
      </c>
    </row>
    <row r="194" spans="1:9">
      <c r="A194" s="109" t="s">
        <v>1466</v>
      </c>
      <c r="B194" s="109" t="s">
        <v>1467</v>
      </c>
      <c r="C194" s="109" t="s">
        <v>254</v>
      </c>
      <c r="D194" s="109" t="s">
        <v>1468</v>
      </c>
      <c r="E194" s="109" t="s">
        <v>1418</v>
      </c>
      <c r="F194" s="110">
        <v>86.7</v>
      </c>
      <c r="G194" s="110">
        <v>86.7</v>
      </c>
      <c r="H194" s="111">
        <v>0</v>
      </c>
      <c r="I194">
        <v>0</v>
      </c>
    </row>
    <row r="195" spans="1:9">
      <c r="A195" s="109" t="s">
        <v>1469</v>
      </c>
      <c r="B195" s="109" t="s">
        <v>234</v>
      </c>
      <c r="C195" s="109" t="s">
        <v>254</v>
      </c>
      <c r="D195" s="109" t="s">
        <v>1470</v>
      </c>
      <c r="E195" s="109" t="s">
        <v>1471</v>
      </c>
      <c r="F195" s="110">
        <v>179.5</v>
      </c>
      <c r="G195" s="110">
        <v>179.5</v>
      </c>
      <c r="H195" s="111">
        <v>0</v>
      </c>
      <c r="I195">
        <v>0</v>
      </c>
    </row>
    <row r="196" spans="1:9">
      <c r="A196" s="109" t="s">
        <v>786</v>
      </c>
      <c r="B196" s="109" t="s">
        <v>173</v>
      </c>
      <c r="C196" s="109" t="s">
        <v>254</v>
      </c>
      <c r="D196" s="109" t="s">
        <v>1472</v>
      </c>
      <c r="E196" s="109" t="s">
        <v>1418</v>
      </c>
      <c r="F196" s="110">
        <v>10090.5</v>
      </c>
      <c r="G196" s="110">
        <v>10090.5</v>
      </c>
      <c r="H196" s="111">
        <v>0</v>
      </c>
      <c r="I196">
        <v>0</v>
      </c>
    </row>
    <row r="197" spans="1:9">
      <c r="A197" s="109" t="s">
        <v>787</v>
      </c>
      <c r="B197" s="109" t="s">
        <v>788</v>
      </c>
      <c r="C197" s="109" t="s">
        <v>254</v>
      </c>
      <c r="D197" s="109" t="s">
        <v>1430</v>
      </c>
      <c r="E197" s="109" t="s">
        <v>254</v>
      </c>
      <c r="F197" s="110">
        <v>7069.28</v>
      </c>
      <c r="G197" s="110">
        <v>7069.28</v>
      </c>
      <c r="H197" s="111">
        <v>0</v>
      </c>
      <c r="I197">
        <v>0</v>
      </c>
    </row>
    <row r="198" spans="1:9">
      <c r="A198" s="109" t="s">
        <v>1473</v>
      </c>
      <c r="B198" s="109" t="s">
        <v>1474</v>
      </c>
      <c r="C198" s="109" t="s">
        <v>254</v>
      </c>
      <c r="D198" s="109" t="s">
        <v>1475</v>
      </c>
      <c r="E198" s="109" t="s">
        <v>1418</v>
      </c>
      <c r="F198" s="110">
        <v>486.5</v>
      </c>
      <c r="G198" s="110">
        <v>486.5</v>
      </c>
      <c r="H198" s="111">
        <v>0</v>
      </c>
      <c r="I198">
        <v>0</v>
      </c>
    </row>
    <row r="199" spans="1:9">
      <c r="A199" s="109" t="s">
        <v>1476</v>
      </c>
      <c r="B199" s="109" t="s">
        <v>1477</v>
      </c>
      <c r="C199" s="109" t="s">
        <v>254</v>
      </c>
      <c r="D199" s="109" t="s">
        <v>1478</v>
      </c>
      <c r="E199" s="109" t="s">
        <v>254</v>
      </c>
      <c r="F199" s="110">
        <v>380</v>
      </c>
      <c r="G199" s="110">
        <v>331</v>
      </c>
      <c r="H199" s="111">
        <v>49</v>
      </c>
      <c r="I199">
        <v>1</v>
      </c>
    </row>
    <row r="200" spans="1:9">
      <c r="A200" s="109" t="s">
        <v>1479</v>
      </c>
      <c r="B200" s="109" t="s">
        <v>1480</v>
      </c>
      <c r="C200" s="109" t="s">
        <v>254</v>
      </c>
      <c r="D200" s="109" t="s">
        <v>1481</v>
      </c>
      <c r="E200" s="109" t="s">
        <v>254</v>
      </c>
      <c r="F200" s="110">
        <v>11830.499999999998</v>
      </c>
      <c r="G200" s="110">
        <v>11830.499999999998</v>
      </c>
      <c r="H200" s="111">
        <v>0</v>
      </c>
      <c r="I200">
        <v>0</v>
      </c>
    </row>
    <row r="201" spans="1:9">
      <c r="A201" s="109" t="s">
        <v>1482</v>
      </c>
      <c r="B201" s="109" t="s">
        <v>1483</v>
      </c>
      <c r="C201" s="109" t="s">
        <v>254</v>
      </c>
      <c r="D201" s="109" t="s">
        <v>1484</v>
      </c>
      <c r="E201" s="109" t="s">
        <v>254</v>
      </c>
      <c r="F201" s="110">
        <v>540.75</v>
      </c>
      <c r="G201" s="110">
        <v>540.75</v>
      </c>
      <c r="H201" s="111">
        <v>0</v>
      </c>
      <c r="I201">
        <v>0</v>
      </c>
    </row>
    <row r="202" spans="1:9">
      <c r="A202" s="109" t="s">
        <v>1485</v>
      </c>
      <c r="B202" s="109" t="s">
        <v>1486</v>
      </c>
      <c r="C202" s="109" t="s">
        <v>254</v>
      </c>
      <c r="D202" s="109" t="s">
        <v>254</v>
      </c>
      <c r="E202" s="109" t="s">
        <v>254</v>
      </c>
      <c r="F202" s="110">
        <v>240</v>
      </c>
      <c r="G202" s="110">
        <v>240</v>
      </c>
      <c r="H202" s="111">
        <v>0</v>
      </c>
      <c r="I202">
        <v>0</v>
      </c>
    </row>
    <row r="203" spans="1:9">
      <c r="A203" s="109" t="s">
        <v>1487</v>
      </c>
      <c r="B203" s="109" t="s">
        <v>1488</v>
      </c>
      <c r="C203" s="109" t="s">
        <v>254</v>
      </c>
      <c r="D203" s="109" t="s">
        <v>1489</v>
      </c>
      <c r="E203" s="109" t="s">
        <v>1418</v>
      </c>
      <c r="F203" s="110">
        <v>3328.2</v>
      </c>
      <c r="G203" s="110">
        <v>3328.2</v>
      </c>
      <c r="H203" s="111">
        <v>0</v>
      </c>
      <c r="I203">
        <v>0</v>
      </c>
    </row>
    <row r="204" spans="1:9">
      <c r="A204" s="109" t="s">
        <v>902</v>
      </c>
      <c r="B204" s="109" t="s">
        <v>903</v>
      </c>
      <c r="C204" s="109" t="s">
        <v>254</v>
      </c>
      <c r="D204" s="109" t="s">
        <v>1490</v>
      </c>
      <c r="E204" s="109" t="s">
        <v>1418</v>
      </c>
      <c r="F204" s="110">
        <v>7350</v>
      </c>
      <c r="G204" s="110">
        <v>7350</v>
      </c>
      <c r="H204" s="111">
        <v>0</v>
      </c>
      <c r="I204">
        <v>0</v>
      </c>
    </row>
    <row r="205" spans="1:9">
      <c r="A205" s="109" t="s">
        <v>1491</v>
      </c>
      <c r="B205" s="109" t="s">
        <v>942</v>
      </c>
      <c r="C205" s="109" t="s">
        <v>254</v>
      </c>
      <c r="D205" s="109" t="s">
        <v>1492</v>
      </c>
      <c r="E205" s="109" t="s">
        <v>1418</v>
      </c>
      <c r="F205" s="110">
        <v>35.5</v>
      </c>
      <c r="G205" s="110">
        <v>35.5</v>
      </c>
      <c r="H205" s="111">
        <v>0</v>
      </c>
      <c r="I205">
        <v>0</v>
      </c>
    </row>
    <row r="206" spans="1:9">
      <c r="A206" s="109" t="s">
        <v>1493</v>
      </c>
      <c r="B206" s="109" t="s">
        <v>1007</v>
      </c>
      <c r="C206" s="109" t="s">
        <v>254</v>
      </c>
      <c r="D206" s="109" t="s">
        <v>1494</v>
      </c>
      <c r="E206" s="109" t="s">
        <v>1418</v>
      </c>
      <c r="F206" s="110">
        <v>840</v>
      </c>
      <c r="G206" s="110">
        <v>840</v>
      </c>
      <c r="H206" s="111">
        <v>0</v>
      </c>
      <c r="I206">
        <v>0</v>
      </c>
    </row>
    <row r="207" spans="1:9">
      <c r="A207" s="109" t="s">
        <v>789</v>
      </c>
      <c r="B207" s="109" t="s">
        <v>790</v>
      </c>
      <c r="C207" s="109" t="s">
        <v>254</v>
      </c>
      <c r="D207" s="109" t="s">
        <v>1472</v>
      </c>
      <c r="E207" s="109" t="s">
        <v>1418</v>
      </c>
      <c r="F207" s="110">
        <v>7851.3999999999987</v>
      </c>
      <c r="G207" s="110">
        <v>7851.3999999999987</v>
      </c>
      <c r="H207" s="111">
        <v>0</v>
      </c>
      <c r="I207">
        <v>0</v>
      </c>
    </row>
    <row r="208" spans="1:9">
      <c r="A208" s="109" t="s">
        <v>791</v>
      </c>
      <c r="B208" s="109" t="s">
        <v>792</v>
      </c>
      <c r="C208" s="109" t="s">
        <v>254</v>
      </c>
      <c r="D208" s="109" t="s">
        <v>1495</v>
      </c>
      <c r="E208" s="109" t="s">
        <v>1418</v>
      </c>
      <c r="F208" s="110">
        <v>1125.5</v>
      </c>
      <c r="G208" s="110">
        <v>1125.5</v>
      </c>
      <c r="H208" s="111">
        <v>0</v>
      </c>
      <c r="I208">
        <v>0</v>
      </c>
    </row>
    <row r="209" spans="1:9">
      <c r="A209" s="109" t="s">
        <v>795</v>
      </c>
      <c r="B209" s="109" t="s">
        <v>183</v>
      </c>
      <c r="C209" s="109" t="s">
        <v>254</v>
      </c>
      <c r="D209" s="109" t="s">
        <v>254</v>
      </c>
      <c r="E209" s="109" t="s">
        <v>1496</v>
      </c>
      <c r="F209" s="110">
        <v>28604.400000000001</v>
      </c>
      <c r="G209" s="110">
        <v>28604.400000000001</v>
      </c>
      <c r="H209" s="111">
        <v>0</v>
      </c>
      <c r="I209">
        <v>0</v>
      </c>
    </row>
    <row r="210" spans="1:9">
      <c r="A210" s="109" t="s">
        <v>1497</v>
      </c>
      <c r="B210" s="109" t="s">
        <v>1498</v>
      </c>
      <c r="C210" s="109" t="s">
        <v>1150</v>
      </c>
      <c r="D210" s="109" t="s">
        <v>1104</v>
      </c>
      <c r="E210" s="109" t="s">
        <v>1499</v>
      </c>
      <c r="F210" s="110">
        <v>243</v>
      </c>
      <c r="G210" s="110">
        <v>0</v>
      </c>
      <c r="H210" s="111">
        <v>243</v>
      </c>
      <c r="I210">
        <v>1</v>
      </c>
    </row>
    <row r="211" spans="1:9">
      <c r="A211" s="109" t="s">
        <v>847</v>
      </c>
      <c r="B211" s="109" t="s">
        <v>848</v>
      </c>
      <c r="C211" s="109" t="s">
        <v>1150</v>
      </c>
      <c r="D211" s="109" t="s">
        <v>1166</v>
      </c>
      <c r="E211" s="109" t="s">
        <v>1500</v>
      </c>
      <c r="F211" s="110">
        <v>3035</v>
      </c>
      <c r="G211" s="110">
        <v>1117</v>
      </c>
      <c r="H211" s="111">
        <v>1918</v>
      </c>
      <c r="I211">
        <v>7</v>
      </c>
    </row>
    <row r="212" spans="1:9">
      <c r="A212" s="109" t="s">
        <v>1501</v>
      </c>
      <c r="B212" s="109" t="s">
        <v>1502</v>
      </c>
      <c r="C212" s="109" t="s">
        <v>1150</v>
      </c>
      <c r="D212" s="109" t="s">
        <v>1503</v>
      </c>
      <c r="E212" s="109" t="s">
        <v>1500</v>
      </c>
      <c r="F212" s="110">
        <v>251.5</v>
      </c>
      <c r="G212" s="110">
        <v>0</v>
      </c>
      <c r="H212" s="111">
        <v>251.5</v>
      </c>
      <c r="I212">
        <v>1</v>
      </c>
    </row>
    <row r="213" spans="1:9">
      <c r="A213" s="109" t="s">
        <v>1504</v>
      </c>
      <c r="B213" s="109" t="s">
        <v>975</v>
      </c>
      <c r="C213" s="109" t="s">
        <v>1197</v>
      </c>
      <c r="D213" s="109" t="s">
        <v>1104</v>
      </c>
      <c r="E213" s="109" t="s">
        <v>1499</v>
      </c>
      <c r="F213" s="110">
        <v>26466</v>
      </c>
      <c r="G213" s="110">
        <v>16398.5</v>
      </c>
      <c r="H213" s="111">
        <v>10067.5</v>
      </c>
      <c r="I213">
        <v>36</v>
      </c>
    </row>
    <row r="214" spans="1:9">
      <c r="A214" s="109" t="s">
        <v>843</v>
      </c>
      <c r="B214" s="109" t="s">
        <v>844</v>
      </c>
      <c r="C214" s="109" t="s">
        <v>1197</v>
      </c>
      <c r="D214" s="109" t="s">
        <v>1257</v>
      </c>
      <c r="E214" s="109" t="s">
        <v>1500</v>
      </c>
      <c r="F214" s="110">
        <v>87787.199999999997</v>
      </c>
      <c r="G214" s="110">
        <v>86535.7</v>
      </c>
      <c r="H214" s="111">
        <v>1251.5</v>
      </c>
      <c r="I214">
        <v>4</v>
      </c>
    </row>
    <row r="215" spans="1:9">
      <c r="A215" s="109" t="s">
        <v>1505</v>
      </c>
      <c r="B215" s="109" t="s">
        <v>1506</v>
      </c>
      <c r="C215" s="109" t="s">
        <v>1263</v>
      </c>
      <c r="D215" s="109" t="s">
        <v>1104</v>
      </c>
      <c r="E215" s="109" t="s">
        <v>1507</v>
      </c>
      <c r="F215" s="110">
        <v>234</v>
      </c>
      <c r="G215" s="110">
        <v>0</v>
      </c>
      <c r="H215" s="111">
        <v>234</v>
      </c>
      <c r="I215">
        <v>1</v>
      </c>
    </row>
    <row r="216" spans="1:9">
      <c r="A216" s="109" t="s">
        <v>1508</v>
      </c>
      <c r="B216" s="109" t="s">
        <v>187</v>
      </c>
      <c r="C216" s="109" t="s">
        <v>254</v>
      </c>
      <c r="D216" s="109" t="s">
        <v>254</v>
      </c>
      <c r="E216" s="109" t="s">
        <v>1509</v>
      </c>
      <c r="F216" s="110">
        <v>179</v>
      </c>
      <c r="G216" s="110">
        <v>179</v>
      </c>
      <c r="H216" s="111">
        <v>0</v>
      </c>
      <c r="I216">
        <v>0</v>
      </c>
    </row>
    <row r="217" spans="1:9">
      <c r="A217" s="109" t="s">
        <v>896</v>
      </c>
      <c r="B217" s="109" t="s">
        <v>897</v>
      </c>
      <c r="C217" s="109" t="s">
        <v>254</v>
      </c>
      <c r="D217" s="109" t="s">
        <v>254</v>
      </c>
      <c r="E217" s="109" t="s">
        <v>254</v>
      </c>
      <c r="F217" s="110">
        <v>4837.49</v>
      </c>
      <c r="G217" s="110">
        <v>4837.49</v>
      </c>
      <c r="H217" s="111">
        <v>0</v>
      </c>
      <c r="I217">
        <v>0</v>
      </c>
    </row>
    <row r="218" spans="1:9">
      <c r="A218" s="109" t="s">
        <v>1510</v>
      </c>
      <c r="B218" s="109" t="s">
        <v>1511</v>
      </c>
      <c r="C218" s="109" t="s">
        <v>254</v>
      </c>
      <c r="D218" s="109" t="s">
        <v>254</v>
      </c>
      <c r="E218" s="109" t="s">
        <v>1512</v>
      </c>
      <c r="F218" s="110">
        <v>250.5</v>
      </c>
      <c r="G218" s="110">
        <v>250.5</v>
      </c>
      <c r="H218" s="111">
        <v>0</v>
      </c>
      <c r="I218">
        <v>0</v>
      </c>
    </row>
    <row r="219" spans="1:9">
      <c r="A219" s="109" t="s">
        <v>1513</v>
      </c>
      <c r="B219" s="109" t="s">
        <v>1514</v>
      </c>
      <c r="C219" s="109" t="s">
        <v>254</v>
      </c>
      <c r="D219" s="109" t="s">
        <v>254</v>
      </c>
      <c r="E219" s="109" t="s">
        <v>1515</v>
      </c>
      <c r="F219" s="110">
        <v>1267.5</v>
      </c>
      <c r="G219" s="110">
        <v>1267.5</v>
      </c>
      <c r="H219" s="111">
        <v>0</v>
      </c>
      <c r="I219">
        <v>0</v>
      </c>
    </row>
    <row r="220" spans="1:9">
      <c r="A220" s="109" t="s">
        <v>798</v>
      </c>
      <c r="B220" s="109" t="s">
        <v>228</v>
      </c>
      <c r="C220" s="109" t="s">
        <v>254</v>
      </c>
      <c r="D220" s="109" t="s">
        <v>1516</v>
      </c>
      <c r="E220" s="109" t="s">
        <v>254</v>
      </c>
      <c r="F220" s="110">
        <v>5098.0900000000011</v>
      </c>
      <c r="G220" s="110">
        <v>5098.09</v>
      </c>
      <c r="H220" s="111">
        <v>9.0949470177292824E-13</v>
      </c>
      <c r="I220">
        <v>0</v>
      </c>
    </row>
    <row r="221" spans="1:9">
      <c r="A221" s="109" t="s">
        <v>801</v>
      </c>
      <c r="B221" s="109" t="s">
        <v>802</v>
      </c>
      <c r="C221" s="109" t="s">
        <v>1517</v>
      </c>
      <c r="D221" s="109" t="s">
        <v>254</v>
      </c>
      <c r="E221" s="109" t="s">
        <v>1518</v>
      </c>
      <c r="F221" s="110">
        <v>2464</v>
      </c>
      <c r="G221" s="110">
        <v>2464.0000000000036</v>
      </c>
      <c r="H221" s="111">
        <v>-3.637978807091713E-12</v>
      </c>
      <c r="I221">
        <v>0</v>
      </c>
    </row>
    <row r="222" spans="1:9">
      <c r="A222" s="109" t="s">
        <v>1519</v>
      </c>
      <c r="B222" s="109" t="s">
        <v>918</v>
      </c>
      <c r="C222" s="109" t="s">
        <v>254</v>
      </c>
      <c r="D222" s="109" t="s">
        <v>1520</v>
      </c>
      <c r="E222" s="109" t="s">
        <v>1521</v>
      </c>
      <c r="F222" s="110">
        <v>101</v>
      </c>
      <c r="G222" s="110">
        <v>49.6</v>
      </c>
      <c r="H222" s="111">
        <v>51.4</v>
      </c>
      <c r="I222">
        <v>2</v>
      </c>
    </row>
    <row r="223" spans="1:9">
      <c r="A223" s="109" t="s">
        <v>1522</v>
      </c>
      <c r="B223" s="109" t="s">
        <v>919</v>
      </c>
      <c r="C223" s="109" t="s">
        <v>254</v>
      </c>
      <c r="D223" s="109" t="s">
        <v>1520</v>
      </c>
      <c r="E223" s="109" t="s">
        <v>1523</v>
      </c>
      <c r="F223" s="110">
        <v>102</v>
      </c>
      <c r="G223" s="110">
        <v>50.1</v>
      </c>
      <c r="H223" s="111">
        <v>51.9</v>
      </c>
      <c r="I223">
        <v>2</v>
      </c>
    </row>
    <row r="224" spans="1:9">
      <c r="A224" s="109" t="s">
        <v>1524</v>
      </c>
      <c r="B224" s="109" t="s">
        <v>920</v>
      </c>
      <c r="C224" s="109" t="s">
        <v>254</v>
      </c>
      <c r="D224" s="109" t="s">
        <v>1520</v>
      </c>
      <c r="E224" s="109" t="s">
        <v>1525</v>
      </c>
      <c r="F224" s="110">
        <v>102</v>
      </c>
      <c r="G224" s="110">
        <v>50.1</v>
      </c>
      <c r="H224" s="111">
        <v>51.9</v>
      </c>
      <c r="I224">
        <v>2</v>
      </c>
    </row>
    <row r="225" spans="1:9">
      <c r="A225" s="109" t="s">
        <v>1526</v>
      </c>
      <c r="B225" s="109" t="s">
        <v>921</v>
      </c>
      <c r="C225" s="109" t="s">
        <v>254</v>
      </c>
      <c r="D225" s="109" t="s">
        <v>1520</v>
      </c>
      <c r="E225" s="109" t="s">
        <v>1527</v>
      </c>
      <c r="F225" s="110">
        <v>100</v>
      </c>
      <c r="G225" s="110">
        <v>50.1</v>
      </c>
      <c r="H225" s="111">
        <v>49.9</v>
      </c>
      <c r="I225">
        <v>2</v>
      </c>
    </row>
    <row r="226" spans="1:9">
      <c r="A226" s="109" t="s">
        <v>1528</v>
      </c>
      <c r="B226" s="109" t="s">
        <v>922</v>
      </c>
      <c r="C226" s="109" t="s">
        <v>254</v>
      </c>
      <c r="D226" s="109" t="s">
        <v>1520</v>
      </c>
      <c r="E226" s="109" t="s">
        <v>1529</v>
      </c>
      <c r="F226" s="110">
        <v>100</v>
      </c>
      <c r="G226" s="110">
        <v>50.1</v>
      </c>
      <c r="H226" s="111">
        <v>49.9</v>
      </c>
      <c r="I226">
        <v>2</v>
      </c>
    </row>
    <row r="227" spans="1:9">
      <c r="A227" s="109" t="s">
        <v>1530</v>
      </c>
      <c r="B227" s="109" t="s">
        <v>984</v>
      </c>
      <c r="C227" s="109" t="s">
        <v>254</v>
      </c>
      <c r="D227" s="109" t="s">
        <v>1531</v>
      </c>
      <c r="E227" s="109" t="s">
        <v>254</v>
      </c>
      <c r="F227" s="110">
        <v>889.8</v>
      </c>
      <c r="G227" s="110">
        <v>889.79999999999984</v>
      </c>
      <c r="H227" s="111">
        <v>1.1368683772161603E-13</v>
      </c>
      <c r="I227">
        <v>0</v>
      </c>
    </row>
    <row r="228" spans="1:9">
      <c r="A228" s="109" t="s">
        <v>913</v>
      </c>
      <c r="B228" s="109" t="s">
        <v>914</v>
      </c>
      <c r="C228" s="109" t="s">
        <v>254</v>
      </c>
      <c r="D228" s="109" t="s">
        <v>254</v>
      </c>
      <c r="E228" s="109" t="s">
        <v>1532</v>
      </c>
      <c r="F228" s="110">
        <v>72347.199999999997</v>
      </c>
      <c r="G228" s="110">
        <v>7447.7</v>
      </c>
      <c r="H228" s="111">
        <v>64899.5</v>
      </c>
      <c r="I228">
        <v>197</v>
      </c>
    </row>
    <row r="229" spans="1:9">
      <c r="A229" s="109" t="s">
        <v>1533</v>
      </c>
      <c r="B229" s="109" t="s">
        <v>1013</v>
      </c>
      <c r="C229" s="109" t="s">
        <v>254</v>
      </c>
      <c r="D229" s="109" t="s">
        <v>254</v>
      </c>
      <c r="E229" s="109" t="s">
        <v>254</v>
      </c>
      <c r="F229" s="110">
        <v>4641.3999999999996</v>
      </c>
      <c r="G229" s="110">
        <v>4641.3999999999996</v>
      </c>
      <c r="H229" s="111">
        <v>0</v>
      </c>
      <c r="I229">
        <v>0</v>
      </c>
    </row>
    <row r="230" spans="1:9">
      <c r="A230" s="109" t="s">
        <v>1534</v>
      </c>
      <c r="B230" s="109" t="s">
        <v>985</v>
      </c>
      <c r="C230" s="109" t="s">
        <v>254</v>
      </c>
      <c r="D230" s="109" t="s">
        <v>254</v>
      </c>
      <c r="E230" s="109" t="s">
        <v>1535</v>
      </c>
      <c r="F230" s="110">
        <v>11212</v>
      </c>
      <c r="G230" s="110">
        <v>7205</v>
      </c>
      <c r="H230" s="111">
        <v>4007</v>
      </c>
      <c r="I230">
        <v>9</v>
      </c>
    </row>
    <row r="231" spans="1:9">
      <c r="A231" s="109" t="s">
        <v>1536</v>
      </c>
      <c r="B231" s="109" t="s">
        <v>1537</v>
      </c>
      <c r="C231" s="109" t="s">
        <v>254</v>
      </c>
      <c r="D231" s="109" t="s">
        <v>254</v>
      </c>
      <c r="E231" s="109" t="s">
        <v>1538</v>
      </c>
      <c r="F231" s="110">
        <v>111</v>
      </c>
      <c r="G231" s="110">
        <v>0</v>
      </c>
      <c r="H231" s="111">
        <v>111</v>
      </c>
      <c r="I231">
        <v>1</v>
      </c>
    </row>
    <row r="232" spans="1:9">
      <c r="A232" s="109" t="s">
        <v>1539</v>
      </c>
      <c r="B232" s="109" t="s">
        <v>561</v>
      </c>
      <c r="C232" s="109" t="s">
        <v>254</v>
      </c>
      <c r="D232" s="109" t="s">
        <v>254</v>
      </c>
      <c r="E232" s="109" t="s">
        <v>1540</v>
      </c>
      <c r="F232" s="110">
        <v>3269</v>
      </c>
      <c r="G232" s="110">
        <v>2784.5</v>
      </c>
      <c r="H232" s="111">
        <v>484.5</v>
      </c>
      <c r="I232">
        <v>2</v>
      </c>
    </row>
    <row r="233" spans="1:9">
      <c r="A233" s="109" t="s">
        <v>1541</v>
      </c>
      <c r="B233" s="109" t="s">
        <v>1542</v>
      </c>
      <c r="C233" s="109" t="s">
        <v>254</v>
      </c>
      <c r="D233" s="109" t="s">
        <v>254</v>
      </c>
      <c r="E233" s="109" t="s">
        <v>254</v>
      </c>
      <c r="F233" s="110">
        <v>14347</v>
      </c>
      <c r="G233" s="110">
        <v>14347</v>
      </c>
      <c r="H233" s="111">
        <v>0</v>
      </c>
      <c r="I233">
        <v>0</v>
      </c>
    </row>
    <row r="234" spans="1:9">
      <c r="A234" s="113" t="s">
        <v>1543</v>
      </c>
      <c r="B234" s="113" t="s">
        <v>792</v>
      </c>
      <c r="H234" s="114">
        <v>163</v>
      </c>
      <c r="I234" s="115">
        <f t="shared" ref="I234:I297" si="0">ROUNDUP(H234/520,0)</f>
        <v>1</v>
      </c>
    </row>
    <row r="235" spans="1:9">
      <c r="A235" s="113" t="s">
        <v>1543</v>
      </c>
      <c r="B235" s="113" t="s">
        <v>860</v>
      </c>
      <c r="H235" s="114">
        <v>269.5</v>
      </c>
      <c r="I235" s="115">
        <f t="shared" si="0"/>
        <v>1</v>
      </c>
    </row>
    <row r="236" spans="1:9">
      <c r="A236" s="113" t="s">
        <v>1543</v>
      </c>
      <c r="B236" s="113" t="s">
        <v>994</v>
      </c>
      <c r="H236" s="114">
        <v>172</v>
      </c>
      <c r="I236" s="115">
        <f t="shared" si="0"/>
        <v>1</v>
      </c>
    </row>
    <row r="237" spans="1:9">
      <c r="A237" s="113" t="s">
        <v>1543</v>
      </c>
      <c r="B237" s="113" t="s">
        <v>862</v>
      </c>
      <c r="H237" s="114">
        <v>116.5</v>
      </c>
      <c r="I237" s="115">
        <f t="shared" si="0"/>
        <v>1</v>
      </c>
    </row>
    <row r="238" spans="1:9">
      <c r="A238" s="113" t="s">
        <v>1543</v>
      </c>
      <c r="B238" s="113" t="s">
        <v>864</v>
      </c>
      <c r="H238" s="114">
        <v>263.5</v>
      </c>
      <c r="I238" s="115">
        <f t="shared" si="0"/>
        <v>1</v>
      </c>
    </row>
    <row r="239" spans="1:9">
      <c r="A239" s="113" t="s">
        <v>1543</v>
      </c>
      <c r="B239" s="113" t="s">
        <v>753</v>
      </c>
      <c r="H239" s="114">
        <v>155</v>
      </c>
      <c r="I239" s="115">
        <f t="shared" si="0"/>
        <v>1</v>
      </c>
    </row>
    <row r="240" spans="1:9">
      <c r="A240" s="113" t="s">
        <v>1543</v>
      </c>
      <c r="B240" s="113" t="s">
        <v>901</v>
      </c>
      <c r="H240" s="114">
        <v>519</v>
      </c>
      <c r="I240" s="115">
        <f t="shared" si="0"/>
        <v>1</v>
      </c>
    </row>
    <row r="241" spans="1:9">
      <c r="A241" s="113" t="s">
        <v>1543</v>
      </c>
      <c r="B241" s="113" t="s">
        <v>761</v>
      </c>
      <c r="H241" s="114">
        <v>482</v>
      </c>
      <c r="I241" s="115">
        <f t="shared" si="0"/>
        <v>1</v>
      </c>
    </row>
    <row r="242" spans="1:9">
      <c r="A242" s="113" t="s">
        <v>1543</v>
      </c>
      <c r="B242" s="113" t="s">
        <v>769</v>
      </c>
      <c r="H242" s="114">
        <v>197</v>
      </c>
      <c r="I242" s="115">
        <f t="shared" si="0"/>
        <v>1</v>
      </c>
    </row>
    <row r="243" spans="1:9">
      <c r="A243" s="113" t="s">
        <v>1543</v>
      </c>
      <c r="B243" s="113" t="s">
        <v>872</v>
      </c>
      <c r="H243" s="114">
        <v>486</v>
      </c>
      <c r="I243" s="115">
        <f t="shared" si="0"/>
        <v>1</v>
      </c>
    </row>
    <row r="244" spans="1:9">
      <c r="A244" s="113" t="s">
        <v>1543</v>
      </c>
      <c r="B244" s="113" t="s">
        <v>1447</v>
      </c>
      <c r="H244" s="114">
        <v>143.69999999999999</v>
      </c>
      <c r="I244" s="115">
        <f t="shared" si="0"/>
        <v>1</v>
      </c>
    </row>
    <row r="245" spans="1:9">
      <c r="A245" s="113" t="s">
        <v>1543</v>
      </c>
      <c r="B245" s="113" t="s">
        <v>866</v>
      </c>
      <c r="H245" s="114">
        <v>14454.5</v>
      </c>
      <c r="I245" s="115">
        <f t="shared" si="0"/>
        <v>28</v>
      </c>
    </row>
    <row r="246" spans="1:9">
      <c r="A246" s="113" t="s">
        <v>1543</v>
      </c>
      <c r="B246" s="113" t="s">
        <v>1544</v>
      </c>
      <c r="H246" s="114">
        <v>14</v>
      </c>
      <c r="I246" s="115">
        <f t="shared" si="0"/>
        <v>1</v>
      </c>
    </row>
    <row r="247" spans="1:9">
      <c r="A247" s="113" t="s">
        <v>1543</v>
      </c>
      <c r="B247" s="113" t="s">
        <v>877</v>
      </c>
      <c r="H247" s="114">
        <v>14435</v>
      </c>
      <c r="I247" s="115">
        <f t="shared" si="0"/>
        <v>28</v>
      </c>
    </row>
    <row r="248" spans="1:9">
      <c r="A248" s="113" t="s">
        <v>1543</v>
      </c>
      <c r="B248" s="113" t="s">
        <v>1001</v>
      </c>
      <c r="H248" s="114">
        <v>139.5</v>
      </c>
      <c r="I248" s="115">
        <f t="shared" si="0"/>
        <v>1</v>
      </c>
    </row>
    <row r="249" spans="1:9">
      <c r="A249" s="113" t="s">
        <v>1543</v>
      </c>
      <c r="B249" s="113" t="s">
        <v>775</v>
      </c>
      <c r="H249" s="114">
        <v>30</v>
      </c>
      <c r="I249" s="115">
        <f t="shared" si="0"/>
        <v>1</v>
      </c>
    </row>
    <row r="250" spans="1:9">
      <c r="A250" s="113" t="s">
        <v>1543</v>
      </c>
      <c r="B250" s="113" t="s">
        <v>882</v>
      </c>
      <c r="H250" s="114">
        <v>122</v>
      </c>
      <c r="I250" s="115">
        <f t="shared" si="0"/>
        <v>1</v>
      </c>
    </row>
    <row r="251" spans="1:9">
      <c r="A251" s="113" t="s">
        <v>1543</v>
      </c>
      <c r="B251" s="113" t="s">
        <v>884</v>
      </c>
      <c r="H251" s="114">
        <v>731</v>
      </c>
      <c r="I251" s="115">
        <f t="shared" si="0"/>
        <v>2</v>
      </c>
    </row>
    <row r="252" spans="1:9">
      <c r="A252" s="113" t="s">
        <v>1543</v>
      </c>
      <c r="B252" s="113" t="s">
        <v>903</v>
      </c>
      <c r="H252" s="114">
        <v>334.5</v>
      </c>
      <c r="I252" s="115">
        <f t="shared" si="0"/>
        <v>1</v>
      </c>
    </row>
    <row r="253" spans="1:9">
      <c r="A253" s="113" t="s">
        <v>1543</v>
      </c>
      <c r="B253" s="113" t="s">
        <v>890</v>
      </c>
      <c r="H253" s="114">
        <v>4741</v>
      </c>
      <c r="I253" s="115">
        <f t="shared" si="0"/>
        <v>10</v>
      </c>
    </row>
    <row r="254" spans="1:9">
      <c r="A254" s="113" t="s">
        <v>1543</v>
      </c>
      <c r="B254" s="113" t="s">
        <v>886</v>
      </c>
      <c r="H254" s="114">
        <v>217</v>
      </c>
      <c r="I254" s="115">
        <f t="shared" si="0"/>
        <v>1</v>
      </c>
    </row>
    <row r="255" spans="1:9">
      <c r="A255" s="113" t="s">
        <v>1543</v>
      </c>
      <c r="B255" s="113" t="s">
        <v>940</v>
      </c>
      <c r="H255" s="114">
        <v>243</v>
      </c>
      <c r="I255" s="115">
        <f t="shared" si="0"/>
        <v>1</v>
      </c>
    </row>
    <row r="256" spans="1:9">
      <c r="A256" s="113" t="s">
        <v>1543</v>
      </c>
      <c r="B256" s="113" t="s">
        <v>942</v>
      </c>
      <c r="H256" s="114">
        <v>14</v>
      </c>
      <c r="I256" s="115">
        <f t="shared" si="0"/>
        <v>1</v>
      </c>
    </row>
    <row r="257" spans="1:9">
      <c r="A257" s="113" t="s">
        <v>1543</v>
      </c>
      <c r="B257" s="113" t="s">
        <v>1007</v>
      </c>
      <c r="H257" s="114">
        <v>143.5</v>
      </c>
      <c r="I257" s="115">
        <f t="shared" si="0"/>
        <v>1</v>
      </c>
    </row>
    <row r="258" spans="1:9">
      <c r="A258" s="113" t="s">
        <v>1543</v>
      </c>
      <c r="B258" s="113" t="s">
        <v>779</v>
      </c>
      <c r="H258" s="114">
        <v>797</v>
      </c>
      <c r="I258" s="115">
        <f t="shared" si="0"/>
        <v>2</v>
      </c>
    </row>
    <row r="259" spans="1:9">
      <c r="A259" s="113" t="s">
        <v>1543</v>
      </c>
      <c r="B259" s="113" t="s">
        <v>1467</v>
      </c>
      <c r="H259" s="114">
        <v>41.5</v>
      </c>
      <c r="I259" s="115">
        <f t="shared" si="0"/>
        <v>1</v>
      </c>
    </row>
    <row r="260" spans="1:9">
      <c r="A260" s="113" t="s">
        <v>1543</v>
      </c>
      <c r="B260" s="113" t="s">
        <v>183</v>
      </c>
      <c r="H260" s="114">
        <v>1206.5</v>
      </c>
      <c r="I260" s="115">
        <f t="shared" si="0"/>
        <v>3</v>
      </c>
    </row>
    <row r="261" spans="1:9">
      <c r="A261" s="113" t="s">
        <v>1543</v>
      </c>
      <c r="B261" s="113" t="s">
        <v>172</v>
      </c>
      <c r="H261" s="114">
        <v>3294</v>
      </c>
      <c r="I261" s="115">
        <f t="shared" si="0"/>
        <v>7</v>
      </c>
    </row>
    <row r="262" spans="1:9">
      <c r="A262" s="113" t="s">
        <v>1543</v>
      </c>
      <c r="B262" s="113" t="s">
        <v>874</v>
      </c>
      <c r="H262" s="114">
        <v>6983.5</v>
      </c>
      <c r="I262" s="115">
        <f t="shared" si="0"/>
        <v>14</v>
      </c>
    </row>
    <row r="263" spans="1:9">
      <c r="A263" s="113" t="s">
        <v>1543</v>
      </c>
      <c r="B263" s="113" t="s">
        <v>899</v>
      </c>
      <c r="H263" s="114">
        <v>377</v>
      </c>
      <c r="I263" s="115">
        <f t="shared" si="0"/>
        <v>1</v>
      </c>
    </row>
    <row r="264" spans="1:9">
      <c r="A264" s="113" t="s">
        <v>1543</v>
      </c>
      <c r="B264" s="113" t="s">
        <v>788</v>
      </c>
      <c r="H264" s="114">
        <v>232</v>
      </c>
      <c r="I264" s="115">
        <f t="shared" si="0"/>
        <v>1</v>
      </c>
    </row>
    <row r="265" spans="1:9">
      <c r="A265" s="113" t="s">
        <v>1543</v>
      </c>
      <c r="B265" s="113" t="s">
        <v>1027</v>
      </c>
      <c r="H265" s="114">
        <v>461.5</v>
      </c>
      <c r="I265" s="115">
        <f t="shared" si="0"/>
        <v>1</v>
      </c>
    </row>
    <row r="266" spans="1:9">
      <c r="A266" s="113" t="s">
        <v>1543</v>
      </c>
      <c r="B266" s="113" t="s">
        <v>857</v>
      </c>
      <c r="H266" s="114">
        <v>6059.5</v>
      </c>
      <c r="I266" s="115">
        <f t="shared" si="0"/>
        <v>12</v>
      </c>
    </row>
    <row r="267" spans="1:9">
      <c r="A267" s="113" t="s">
        <v>1543</v>
      </c>
      <c r="B267" s="113" t="s">
        <v>749</v>
      </c>
      <c r="H267" s="114">
        <v>1060.5</v>
      </c>
      <c r="I267" s="115">
        <f t="shared" si="0"/>
        <v>3</v>
      </c>
    </row>
    <row r="268" spans="1:9">
      <c r="A268" s="113" t="s">
        <v>1545</v>
      </c>
      <c r="B268" s="113" t="s">
        <v>860</v>
      </c>
      <c r="H268" s="114">
        <v>1248</v>
      </c>
      <c r="I268" s="115">
        <f t="shared" si="0"/>
        <v>3</v>
      </c>
    </row>
    <row r="269" spans="1:9">
      <c r="A269" s="113" t="s">
        <v>1545</v>
      </c>
      <c r="B269" s="113" t="s">
        <v>747</v>
      </c>
      <c r="H269" s="114">
        <v>1.2</v>
      </c>
      <c r="I269" s="115">
        <f t="shared" si="0"/>
        <v>1</v>
      </c>
    </row>
    <row r="270" spans="1:9">
      <c r="A270" s="113" t="s">
        <v>1545</v>
      </c>
      <c r="B270" s="113" t="s">
        <v>862</v>
      </c>
      <c r="H270" s="114">
        <v>612</v>
      </c>
      <c r="I270" s="115">
        <f t="shared" si="0"/>
        <v>2</v>
      </c>
    </row>
    <row r="271" spans="1:9">
      <c r="A271" s="113" t="s">
        <v>1545</v>
      </c>
      <c r="B271" s="113" t="s">
        <v>868</v>
      </c>
      <c r="H271" s="114">
        <v>207.5</v>
      </c>
      <c r="I271" s="115">
        <f t="shared" si="0"/>
        <v>1</v>
      </c>
    </row>
    <row r="272" spans="1:9">
      <c r="A272" s="113" t="s">
        <v>1545</v>
      </c>
      <c r="B272" s="113" t="s">
        <v>761</v>
      </c>
      <c r="H272" s="114">
        <v>2041</v>
      </c>
      <c r="I272" s="115">
        <f t="shared" si="0"/>
        <v>4</v>
      </c>
    </row>
    <row r="273" spans="1:9">
      <c r="A273" s="113" t="s">
        <v>1545</v>
      </c>
      <c r="B273" s="113" t="s">
        <v>1546</v>
      </c>
      <c r="H273" s="114">
        <v>59</v>
      </c>
      <c r="I273" s="115">
        <f t="shared" si="0"/>
        <v>1</v>
      </c>
    </row>
    <row r="274" spans="1:9">
      <c r="A274" s="113" t="s">
        <v>1545</v>
      </c>
      <c r="B274" s="113" t="s">
        <v>872</v>
      </c>
      <c r="H274" s="114">
        <v>391</v>
      </c>
      <c r="I274" s="115">
        <f t="shared" si="0"/>
        <v>1</v>
      </c>
    </row>
    <row r="275" spans="1:9">
      <c r="A275" s="113" t="s">
        <v>1545</v>
      </c>
      <c r="B275" s="113" t="s">
        <v>866</v>
      </c>
      <c r="H275" s="114">
        <v>1059</v>
      </c>
      <c r="I275" s="115">
        <f t="shared" si="0"/>
        <v>3</v>
      </c>
    </row>
    <row r="276" spans="1:9">
      <c r="A276" s="113" t="s">
        <v>1545</v>
      </c>
      <c r="B276" s="113" t="s">
        <v>877</v>
      </c>
      <c r="H276" s="114">
        <v>607</v>
      </c>
      <c r="I276" s="115">
        <f t="shared" si="0"/>
        <v>2</v>
      </c>
    </row>
    <row r="277" spans="1:9">
      <c r="A277" s="113" t="s">
        <v>1545</v>
      </c>
      <c r="B277" s="113" t="s">
        <v>1547</v>
      </c>
      <c r="H277" s="114">
        <v>238</v>
      </c>
      <c r="I277" s="115">
        <f t="shared" si="0"/>
        <v>1</v>
      </c>
    </row>
    <row r="278" spans="1:9">
      <c r="A278" s="113" t="s">
        <v>1545</v>
      </c>
      <c r="B278" s="113" t="s">
        <v>884</v>
      </c>
      <c r="H278" s="114">
        <v>7743.5</v>
      </c>
      <c r="I278" s="115">
        <f t="shared" si="0"/>
        <v>15</v>
      </c>
    </row>
    <row r="279" spans="1:9">
      <c r="A279" s="113" t="s">
        <v>1545</v>
      </c>
      <c r="B279" s="113" t="s">
        <v>890</v>
      </c>
      <c r="H279" s="114">
        <v>1817</v>
      </c>
      <c r="I279" s="115">
        <f t="shared" si="0"/>
        <v>4</v>
      </c>
    </row>
    <row r="280" spans="1:9">
      <c r="A280" s="113" t="s">
        <v>1545</v>
      </c>
      <c r="B280" s="113" t="s">
        <v>844</v>
      </c>
      <c r="H280" s="114">
        <v>3964</v>
      </c>
      <c r="I280" s="115">
        <f t="shared" si="0"/>
        <v>8</v>
      </c>
    </row>
    <row r="281" spans="1:9">
      <c r="A281" s="113" t="s">
        <v>1545</v>
      </c>
      <c r="B281" s="113" t="s">
        <v>773</v>
      </c>
      <c r="H281" s="114">
        <v>1.8</v>
      </c>
      <c r="I281" s="115">
        <f t="shared" si="0"/>
        <v>1</v>
      </c>
    </row>
    <row r="282" spans="1:9">
      <c r="A282" s="113" t="s">
        <v>1545</v>
      </c>
      <c r="B282" s="113" t="s">
        <v>1032</v>
      </c>
      <c r="H282" s="114">
        <v>723.5</v>
      </c>
      <c r="I282" s="115">
        <f t="shared" si="0"/>
        <v>2</v>
      </c>
    </row>
    <row r="283" spans="1:9">
      <c r="A283" s="113" t="s">
        <v>1545</v>
      </c>
      <c r="B283" s="113" t="s">
        <v>771</v>
      </c>
      <c r="H283" s="114">
        <v>3.1</v>
      </c>
      <c r="I283" s="115">
        <f t="shared" si="0"/>
        <v>1</v>
      </c>
    </row>
    <row r="284" spans="1:9">
      <c r="A284" s="113" t="s">
        <v>1545</v>
      </c>
      <c r="B284" s="113" t="s">
        <v>779</v>
      </c>
      <c r="H284" s="114">
        <v>797.5</v>
      </c>
      <c r="I284" s="115">
        <f t="shared" si="0"/>
        <v>2</v>
      </c>
    </row>
    <row r="285" spans="1:9">
      <c r="A285" s="113" t="s">
        <v>1545</v>
      </c>
      <c r="B285" s="113" t="s">
        <v>894</v>
      </c>
      <c r="H285" s="114">
        <v>2262.5</v>
      </c>
      <c r="I285" s="115">
        <f t="shared" si="0"/>
        <v>5</v>
      </c>
    </row>
    <row r="286" spans="1:9">
      <c r="A286" s="113" t="s">
        <v>1545</v>
      </c>
      <c r="B286" s="113" t="s">
        <v>1467</v>
      </c>
      <c r="H286" s="114">
        <v>537</v>
      </c>
      <c r="I286" s="115">
        <f t="shared" si="0"/>
        <v>2</v>
      </c>
    </row>
    <row r="287" spans="1:9">
      <c r="A287" s="113" t="s">
        <v>1545</v>
      </c>
      <c r="B287" s="113" t="s">
        <v>183</v>
      </c>
      <c r="H287" s="114">
        <v>1612</v>
      </c>
      <c r="I287" s="115">
        <f t="shared" si="0"/>
        <v>4</v>
      </c>
    </row>
    <row r="288" spans="1:9">
      <c r="A288" s="113" t="s">
        <v>1545</v>
      </c>
      <c r="B288" s="113" t="s">
        <v>172</v>
      </c>
      <c r="H288" s="114">
        <v>2177</v>
      </c>
      <c r="I288" s="115">
        <f t="shared" si="0"/>
        <v>5</v>
      </c>
    </row>
    <row r="289" spans="1:9">
      <c r="A289" s="113" t="s">
        <v>1545</v>
      </c>
      <c r="B289" s="113" t="s">
        <v>874</v>
      </c>
      <c r="H289" s="114">
        <v>3603.5</v>
      </c>
      <c r="I289" s="115">
        <f t="shared" si="0"/>
        <v>7</v>
      </c>
    </row>
    <row r="290" spans="1:9">
      <c r="A290" s="113" t="s">
        <v>1545</v>
      </c>
      <c r="B290" s="113" t="s">
        <v>173</v>
      </c>
      <c r="H290" s="114">
        <v>4.5</v>
      </c>
      <c r="I290" s="115">
        <f t="shared" si="0"/>
        <v>1</v>
      </c>
    </row>
    <row r="291" spans="1:9">
      <c r="A291" s="113" t="s">
        <v>1545</v>
      </c>
      <c r="B291" s="113" t="s">
        <v>790</v>
      </c>
      <c r="H291" s="114">
        <v>3.7</v>
      </c>
      <c r="I291" s="115">
        <f t="shared" si="0"/>
        <v>1</v>
      </c>
    </row>
    <row r="292" spans="1:9">
      <c r="A292" s="113" t="s">
        <v>1545</v>
      </c>
      <c r="B292" s="113" t="s">
        <v>1412</v>
      </c>
      <c r="H292" s="114">
        <v>1203</v>
      </c>
      <c r="I292" s="115">
        <f t="shared" si="0"/>
        <v>3</v>
      </c>
    </row>
    <row r="293" spans="1:9">
      <c r="A293" s="113" t="s">
        <v>1545</v>
      </c>
      <c r="B293" s="113" t="s">
        <v>1483</v>
      </c>
      <c r="H293" s="114">
        <v>30</v>
      </c>
      <c r="I293" s="115">
        <f t="shared" si="0"/>
        <v>1</v>
      </c>
    </row>
    <row r="294" spans="1:9">
      <c r="A294" s="113" t="s">
        <v>1545</v>
      </c>
      <c r="B294" s="113" t="s">
        <v>1442</v>
      </c>
      <c r="H294" s="114">
        <v>6.3</v>
      </c>
      <c r="I294" s="115">
        <f t="shared" si="0"/>
        <v>1</v>
      </c>
    </row>
    <row r="295" spans="1:9">
      <c r="A295" s="113" t="s">
        <v>1545</v>
      </c>
      <c r="B295" s="113" t="s">
        <v>788</v>
      </c>
      <c r="H295" s="114">
        <v>2.6</v>
      </c>
      <c r="I295" s="115">
        <f t="shared" si="0"/>
        <v>1</v>
      </c>
    </row>
    <row r="296" spans="1:9">
      <c r="A296" s="113" t="s">
        <v>1545</v>
      </c>
      <c r="B296" s="113" t="s">
        <v>1013</v>
      </c>
      <c r="H296" s="114">
        <v>629.5</v>
      </c>
      <c r="I296" s="115">
        <f t="shared" si="0"/>
        <v>2</v>
      </c>
    </row>
    <row r="297" spans="1:9">
      <c r="A297" s="113" t="s">
        <v>1545</v>
      </c>
      <c r="B297" s="113" t="s">
        <v>857</v>
      </c>
      <c r="H297" s="114">
        <v>401.5</v>
      </c>
      <c r="I297" s="115">
        <f t="shared" si="0"/>
        <v>1</v>
      </c>
    </row>
    <row r="298" spans="1:9">
      <c r="A298" s="113" t="s">
        <v>1545</v>
      </c>
      <c r="B298" s="113" t="s">
        <v>743</v>
      </c>
      <c r="H298" s="114">
        <v>1.7</v>
      </c>
      <c r="I298" s="115">
        <f>ROUNDUP(H298/520,0)</f>
        <v>1</v>
      </c>
    </row>
    <row r="299" spans="1:9">
      <c r="A299" s="113" t="s">
        <v>1545</v>
      </c>
      <c r="B299" s="113" t="s">
        <v>1425</v>
      </c>
      <c r="H299" s="114">
        <v>2</v>
      </c>
      <c r="I299" s="115">
        <f>ROUNDUP(H299/520,0)</f>
        <v>1</v>
      </c>
    </row>
    <row r="300" spans="1:9">
      <c r="A300" s="113" t="s">
        <v>1545</v>
      </c>
      <c r="B300" s="113" t="s">
        <v>1486</v>
      </c>
      <c r="H300" s="114">
        <v>32.5</v>
      </c>
      <c r="I300" s="115">
        <f>ROUNDUP(H300/520,0)</f>
        <v>1</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18</vt:i4>
      </vt:variant>
    </vt:vector>
  </HeadingPairs>
  <TitlesOfParts>
    <vt:vector size="18" baseType="lpstr">
      <vt:lpstr>SC決算仕訳 仕掛品</vt:lpstr>
      <vt:lpstr>仕掛品SC総括</vt:lpstr>
      <vt:lpstr>仕掛品SC明細</vt:lpstr>
      <vt:lpstr>労務費経費単価SC</vt:lpstr>
      <vt:lpstr>仕掛品標準単価一覧表（貼付）</vt:lpstr>
      <vt:lpstr>仕掛品名寄（貼付）</vt:lpstr>
      <vt:lpstr>DBより貼付⇒</vt:lpstr>
      <vt:lpstr>2.1④異種原液</vt:lpstr>
      <vt:lpstr>2.7製造部生産分</vt:lpstr>
      <vt:lpstr>1.3②原材料使用</vt:lpstr>
      <vt:lpstr>2.10原液別作業時間</vt:lpstr>
      <vt:lpstr>2.2⑤純増減→前工程費</vt:lpstr>
      <vt:lpstr>2.3研究費</vt:lpstr>
      <vt:lpstr>2.4販促費</vt:lpstr>
      <vt:lpstr>2.5廃棄処分</vt:lpstr>
      <vt:lpstr>2.6完成品</vt:lpstr>
      <vt:lpstr>2.8SC戻り</vt:lpstr>
      <vt:lpstr>2.9原液在庫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勲相 金本</dc:creator>
  <cp:lastModifiedBy>勲相 金本</cp:lastModifiedBy>
  <dcterms:created xsi:type="dcterms:W3CDTF">2026-04-06T06:42:58Z</dcterms:created>
  <dcterms:modified xsi:type="dcterms:W3CDTF">2026-04-20T03:09:07Z</dcterms:modified>
</cp:coreProperties>
</file>