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anamoto isami\ベストパートナーズ Dropbox\isami kanamoto\原価計算2026\"/>
    </mc:Choice>
  </mc:AlternateContent>
  <xr:revisionPtr revIDLastSave="0" documentId="13_ncr:1_{A6F2ECC2-4004-4BB3-80D8-CB77563F0706}" xr6:coauthVersionLast="47" xr6:coauthVersionMax="47" xr10:uidLastSave="{00000000-0000-0000-0000-000000000000}"/>
  <bookViews>
    <workbookView xWindow="-110" yWindow="-110" windowWidth="19420" windowHeight="10300" tabRatio="841" xr2:uid="{00000000-000D-0000-FFFF-FFFF00000000}"/>
  </bookViews>
  <sheets>
    <sheet name="SC決算仕訳 原料" sheetId="8" r:id="rId1"/>
    <sheet name="原材料SC総括" sheetId="6" r:id="rId2"/>
    <sheet name="原材料SC明細" sheetId="1" r:id="rId3"/>
    <sheet name="原料標準単価（貼付）" sheetId="7" r:id="rId4"/>
    <sheet name="1.2①原材料受入" sheetId="2" r:id="rId5"/>
    <sheet name="1.3②原材料使用" sheetId="3" r:id="rId6"/>
    <sheet name="1.4原材料(その他)" sheetId="4" r:id="rId7"/>
    <sheet name="1.5原材料在庫" sheetId="5" r:id="rId8"/>
  </sheets>
  <externalReferences>
    <externalReference r:id="rId9"/>
  </externalReferences>
  <definedNames>
    <definedName name="_xlnm._FilterDatabase" localSheetId="2" hidden="1">原材料SC明細!$A$4:$U$394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8" l="1"/>
  <c r="G14" i="8"/>
  <c r="G6" i="8"/>
  <c r="G5" i="8"/>
  <c r="C389" i="1" l="1"/>
  <c r="C387" i="1"/>
  <c r="C385" i="1"/>
  <c r="C383" i="1"/>
  <c r="C381" i="1"/>
  <c r="C379" i="1"/>
  <c r="C377" i="1"/>
  <c r="C375" i="1"/>
  <c r="C373" i="1"/>
  <c r="C371" i="1"/>
  <c r="C369" i="1"/>
  <c r="C367" i="1"/>
  <c r="C365" i="1"/>
  <c r="C363" i="1"/>
  <c r="C361" i="1"/>
  <c r="C359" i="1"/>
  <c r="C357" i="1"/>
  <c r="C355" i="1"/>
  <c r="C353" i="1"/>
  <c r="C351" i="1"/>
  <c r="C349" i="1"/>
  <c r="C347" i="1"/>
  <c r="C345" i="1"/>
  <c r="C343" i="1"/>
  <c r="C341" i="1"/>
  <c r="C339" i="1"/>
  <c r="C337" i="1"/>
  <c r="C335" i="1"/>
  <c r="C333" i="1"/>
  <c r="C331" i="1"/>
  <c r="C329" i="1"/>
  <c r="C327" i="1"/>
  <c r="C325" i="1"/>
  <c r="C323" i="1"/>
  <c r="C321" i="1"/>
  <c r="C319" i="1"/>
  <c r="C317" i="1"/>
  <c r="C315" i="1"/>
  <c r="C313" i="1"/>
  <c r="C311" i="1"/>
  <c r="C309" i="1"/>
  <c r="C307" i="1"/>
  <c r="C305" i="1"/>
  <c r="C303" i="1"/>
  <c r="C301" i="1"/>
  <c r="C299" i="1"/>
  <c r="C297" i="1"/>
  <c r="C295" i="1"/>
  <c r="C293" i="1"/>
  <c r="C291" i="1"/>
  <c r="C289" i="1"/>
  <c r="C287" i="1"/>
  <c r="C285" i="1"/>
  <c r="C283" i="1"/>
  <c r="C281" i="1"/>
  <c r="C279" i="1"/>
  <c r="C277" i="1"/>
  <c r="C275" i="1"/>
  <c r="C273" i="1"/>
  <c r="C271" i="1"/>
  <c r="C269" i="1"/>
  <c r="C267" i="1"/>
  <c r="C265" i="1"/>
  <c r="C263" i="1"/>
  <c r="C261" i="1"/>
  <c r="C259" i="1"/>
  <c r="C257" i="1"/>
  <c r="C255" i="1"/>
  <c r="C253" i="1"/>
  <c r="C251" i="1"/>
  <c r="C249" i="1"/>
  <c r="C247" i="1"/>
  <c r="C245" i="1"/>
  <c r="C243" i="1"/>
  <c r="C241" i="1"/>
  <c r="C239" i="1"/>
  <c r="C237" i="1"/>
  <c r="C235" i="1"/>
  <c r="C233" i="1"/>
  <c r="C231" i="1"/>
  <c r="C229" i="1"/>
  <c r="C227" i="1"/>
  <c r="C225" i="1"/>
  <c r="C223" i="1"/>
  <c r="C221" i="1"/>
  <c r="C219" i="1"/>
  <c r="C217" i="1"/>
  <c r="C215" i="1"/>
  <c r="C213" i="1"/>
  <c r="C211" i="1"/>
  <c r="C209" i="1"/>
  <c r="C207" i="1"/>
  <c r="C205" i="1"/>
  <c r="C203" i="1"/>
  <c r="C201" i="1"/>
  <c r="C199" i="1"/>
  <c r="C197" i="1"/>
  <c r="C195" i="1"/>
  <c r="C193" i="1"/>
  <c r="C191" i="1"/>
  <c r="C189" i="1"/>
  <c r="C187" i="1"/>
  <c r="C185" i="1"/>
  <c r="C183" i="1"/>
  <c r="C181" i="1"/>
  <c r="C179" i="1"/>
  <c r="C177" i="1"/>
  <c r="C175" i="1"/>
  <c r="C173" i="1"/>
  <c r="C171" i="1"/>
  <c r="C169" i="1"/>
  <c r="C167" i="1"/>
  <c r="C165" i="1"/>
  <c r="C163" i="1"/>
  <c r="C161" i="1"/>
  <c r="C159" i="1"/>
  <c r="C157" i="1"/>
  <c r="C155" i="1"/>
  <c r="C153" i="1"/>
  <c r="C151" i="1"/>
  <c r="C149" i="1"/>
  <c r="C147" i="1"/>
  <c r="C145" i="1"/>
  <c r="C143" i="1"/>
  <c r="C141" i="1"/>
  <c r="C139" i="1"/>
  <c r="C137" i="1"/>
  <c r="C135" i="1"/>
  <c r="C133" i="1"/>
  <c r="C131" i="1"/>
  <c r="C129" i="1"/>
  <c r="C127" i="1"/>
  <c r="C125" i="1"/>
  <c r="C123" i="1"/>
  <c r="C121" i="1"/>
  <c r="C119" i="1"/>
  <c r="C117" i="1"/>
  <c r="C115" i="1"/>
  <c r="C113" i="1"/>
  <c r="C111" i="1"/>
  <c r="C109" i="1"/>
  <c r="C107" i="1"/>
  <c r="C105" i="1"/>
  <c r="C103" i="1"/>
  <c r="C101" i="1"/>
  <c r="C99" i="1"/>
  <c r="C97" i="1"/>
  <c r="C95" i="1"/>
  <c r="C93" i="1"/>
  <c r="C91" i="1"/>
  <c r="C89" i="1"/>
  <c r="C87" i="1"/>
  <c r="C85" i="1"/>
  <c r="C83" i="1"/>
  <c r="C81" i="1"/>
  <c r="C79" i="1"/>
  <c r="C77" i="1"/>
  <c r="C75" i="1"/>
  <c r="C73" i="1"/>
  <c r="C71" i="1"/>
  <c r="C69" i="1"/>
  <c r="C67" i="1"/>
  <c r="C65" i="1"/>
  <c r="C63" i="1"/>
  <c r="C61" i="1"/>
  <c r="C59" i="1"/>
  <c r="C57" i="1"/>
  <c r="C55" i="1"/>
  <c r="C53" i="1"/>
  <c r="C51" i="1"/>
  <c r="C49" i="1"/>
  <c r="C47" i="1"/>
  <c r="C45" i="1"/>
  <c r="C43" i="1"/>
  <c r="C41" i="1"/>
  <c r="C39" i="1"/>
  <c r="C37" i="1"/>
  <c r="C35" i="1"/>
  <c r="C33" i="1"/>
  <c r="C31" i="1"/>
  <c r="C29" i="1"/>
  <c r="C27" i="1"/>
  <c r="C25" i="1"/>
  <c r="C23" i="1"/>
  <c r="C21" i="1"/>
  <c r="C19" i="1"/>
  <c r="C17" i="1"/>
  <c r="C15" i="1"/>
  <c r="C13" i="1"/>
  <c r="C11" i="1"/>
  <c r="C9" i="1"/>
  <c r="C7" i="1"/>
  <c r="C5" i="1"/>
  <c r="G389" i="1" l="1"/>
  <c r="G387" i="1"/>
  <c r="G385" i="1"/>
  <c r="G383" i="1"/>
  <c r="G381" i="1"/>
  <c r="G379" i="1"/>
  <c r="G377" i="1"/>
  <c r="G375" i="1"/>
  <c r="G373" i="1"/>
  <c r="G371" i="1"/>
  <c r="G369" i="1"/>
  <c r="G367" i="1"/>
  <c r="G365" i="1"/>
  <c r="G363" i="1"/>
  <c r="G361" i="1"/>
  <c r="G359" i="1"/>
  <c r="G357" i="1"/>
  <c r="G355" i="1"/>
  <c r="G353" i="1"/>
  <c r="G351" i="1"/>
  <c r="G349" i="1"/>
  <c r="G347" i="1"/>
  <c r="G345" i="1"/>
  <c r="G343" i="1"/>
  <c r="G341" i="1"/>
  <c r="G339" i="1"/>
  <c r="G337" i="1"/>
  <c r="G335" i="1"/>
  <c r="G333" i="1"/>
  <c r="G331" i="1"/>
  <c r="G329" i="1"/>
  <c r="G327" i="1"/>
  <c r="G325" i="1"/>
  <c r="G323" i="1"/>
  <c r="G321" i="1"/>
  <c r="G319" i="1"/>
  <c r="G317" i="1"/>
  <c r="G315" i="1"/>
  <c r="G313" i="1"/>
  <c r="G311" i="1"/>
  <c r="G309" i="1"/>
  <c r="G307" i="1"/>
  <c r="G305" i="1"/>
  <c r="G303" i="1"/>
  <c r="G301" i="1"/>
  <c r="G299" i="1"/>
  <c r="G297" i="1"/>
  <c r="G295" i="1"/>
  <c r="G293" i="1"/>
  <c r="G291" i="1"/>
  <c r="G289" i="1"/>
  <c r="G287" i="1"/>
  <c r="G285" i="1"/>
  <c r="G283" i="1"/>
  <c r="G281" i="1"/>
  <c r="G279" i="1"/>
  <c r="G277" i="1"/>
  <c r="G275" i="1"/>
  <c r="G273" i="1"/>
  <c r="G271" i="1"/>
  <c r="G269" i="1"/>
  <c r="G267" i="1"/>
  <c r="G265" i="1"/>
  <c r="G263" i="1"/>
  <c r="G261" i="1"/>
  <c r="G259" i="1"/>
  <c r="G257" i="1"/>
  <c r="G255" i="1"/>
  <c r="G253" i="1"/>
  <c r="G251" i="1"/>
  <c r="G249" i="1"/>
  <c r="G247" i="1"/>
  <c r="G245" i="1"/>
  <c r="G243" i="1"/>
  <c r="G241" i="1"/>
  <c r="G239" i="1"/>
  <c r="G237" i="1"/>
  <c r="G235" i="1"/>
  <c r="G233" i="1"/>
  <c r="G231" i="1"/>
  <c r="G229" i="1"/>
  <c r="G227" i="1"/>
  <c r="G225" i="1"/>
  <c r="G223" i="1"/>
  <c r="G221" i="1"/>
  <c r="G219" i="1"/>
  <c r="G217" i="1"/>
  <c r="G215" i="1"/>
  <c r="G213" i="1"/>
  <c r="G211" i="1"/>
  <c r="G209" i="1"/>
  <c r="G207" i="1"/>
  <c r="G205" i="1"/>
  <c r="G203" i="1"/>
  <c r="G201" i="1"/>
  <c r="G199" i="1"/>
  <c r="G197" i="1"/>
  <c r="G195" i="1"/>
  <c r="G193" i="1"/>
  <c r="G191" i="1"/>
  <c r="G189" i="1"/>
  <c r="G187" i="1"/>
  <c r="G185" i="1"/>
  <c r="G183" i="1"/>
  <c r="G181" i="1"/>
  <c r="G179" i="1"/>
  <c r="G177" i="1"/>
  <c r="G175" i="1"/>
  <c r="G173" i="1"/>
  <c r="G171" i="1"/>
  <c r="G169" i="1"/>
  <c r="G167" i="1"/>
  <c r="G165" i="1"/>
  <c r="G163" i="1"/>
  <c r="G161" i="1"/>
  <c r="G159" i="1"/>
  <c r="G157" i="1"/>
  <c r="G155" i="1"/>
  <c r="G153" i="1"/>
  <c r="G151" i="1"/>
  <c r="G149" i="1"/>
  <c r="G147" i="1"/>
  <c r="G145" i="1"/>
  <c r="G143" i="1"/>
  <c r="G141" i="1"/>
  <c r="G139" i="1"/>
  <c r="G137" i="1"/>
  <c r="G135" i="1"/>
  <c r="G133" i="1"/>
  <c r="G131" i="1"/>
  <c r="G129" i="1"/>
  <c r="G127" i="1"/>
  <c r="G125" i="1"/>
  <c r="G123" i="1"/>
  <c r="G121" i="1"/>
  <c r="G119" i="1"/>
  <c r="G117" i="1"/>
  <c r="G115" i="1"/>
  <c r="G113" i="1"/>
  <c r="G111" i="1"/>
  <c r="G109" i="1"/>
  <c r="G107" i="1"/>
  <c r="G105" i="1"/>
  <c r="G103" i="1"/>
  <c r="G101" i="1"/>
  <c r="G99" i="1"/>
  <c r="G97" i="1"/>
  <c r="G95" i="1"/>
  <c r="G93" i="1"/>
  <c r="G91" i="1"/>
  <c r="G89" i="1"/>
  <c r="G87" i="1"/>
  <c r="G85" i="1"/>
  <c r="G83" i="1"/>
  <c r="G81" i="1"/>
  <c r="G79" i="1"/>
  <c r="G77" i="1"/>
  <c r="G75" i="1"/>
  <c r="G73" i="1"/>
  <c r="G71" i="1"/>
  <c r="G69" i="1"/>
  <c r="G67" i="1"/>
  <c r="G65" i="1"/>
  <c r="G63" i="1"/>
  <c r="G61" i="1"/>
  <c r="G59" i="1"/>
  <c r="G57" i="1"/>
  <c r="G55" i="1"/>
  <c r="G53" i="1"/>
  <c r="G51" i="1"/>
  <c r="G49" i="1"/>
  <c r="G47" i="1"/>
  <c r="G45" i="1"/>
  <c r="G43" i="1"/>
  <c r="G41" i="1"/>
  <c r="G39" i="1"/>
  <c r="G37" i="1"/>
  <c r="G35" i="1"/>
  <c r="G33" i="1"/>
  <c r="G31" i="1"/>
  <c r="G29" i="1"/>
  <c r="G27" i="1"/>
  <c r="G25" i="1"/>
  <c r="G23" i="1"/>
  <c r="G21" i="1"/>
  <c r="G19" i="1"/>
  <c r="G17" i="1"/>
  <c r="G15" i="1"/>
  <c r="G13" i="1"/>
  <c r="G11" i="1"/>
  <c r="G9" i="1"/>
  <c r="G7" i="1"/>
  <c r="G374" i="1" l="1"/>
  <c r="G372" i="1"/>
  <c r="G366" i="1"/>
  <c r="G364" i="1"/>
  <c r="G362" i="1"/>
  <c r="G360" i="1"/>
  <c r="G358" i="1"/>
  <c r="G356" i="1"/>
  <c r="G354" i="1"/>
  <c r="G352" i="1"/>
  <c r="G350" i="1"/>
  <c r="G348" i="1"/>
  <c r="G346" i="1"/>
  <c r="G344" i="1"/>
  <c r="G342" i="1"/>
  <c r="G340" i="1"/>
  <c r="G338" i="1"/>
  <c r="G336" i="1"/>
  <c r="G330" i="1"/>
  <c r="G328" i="1"/>
  <c r="G326" i="1"/>
  <c r="G324" i="1"/>
  <c r="G322" i="1"/>
  <c r="G316" i="1"/>
  <c r="G314" i="1"/>
  <c r="G312" i="1"/>
  <c r="G310" i="1"/>
  <c r="G308" i="1"/>
  <c r="G306" i="1"/>
  <c r="G304" i="1"/>
  <c r="G302" i="1"/>
  <c r="G298" i="1"/>
  <c r="G296" i="1"/>
  <c r="G292" i="1"/>
  <c r="G290" i="1"/>
  <c r="G288" i="1"/>
  <c r="G286" i="1"/>
  <c r="G284" i="1"/>
  <c r="G280" i="1"/>
  <c r="G276" i="1"/>
  <c r="G274" i="1"/>
  <c r="G272" i="1"/>
  <c r="G270" i="1"/>
  <c r="G268" i="1"/>
  <c r="G266" i="1"/>
  <c r="G260" i="1"/>
  <c r="G258" i="1"/>
  <c r="G256" i="1"/>
  <c r="G254" i="1"/>
  <c r="G250" i="1"/>
  <c r="G248" i="1"/>
  <c r="G246" i="1"/>
  <c r="G244" i="1"/>
  <c r="G242" i="1"/>
  <c r="G240" i="1"/>
  <c r="G238" i="1"/>
  <c r="G236" i="1"/>
  <c r="G234" i="1"/>
  <c r="G228" i="1"/>
  <c r="G226" i="1"/>
  <c r="G224" i="1"/>
  <c r="G222" i="1"/>
  <c r="G220" i="1"/>
  <c r="G194" i="1"/>
  <c r="G192" i="1"/>
  <c r="G190" i="1"/>
  <c r="G188" i="1"/>
  <c r="G186" i="1"/>
  <c r="G184" i="1"/>
  <c r="G182" i="1"/>
  <c r="G180" i="1"/>
  <c r="G178" i="1"/>
  <c r="G176" i="1"/>
  <c r="G174" i="1"/>
  <c r="G172" i="1"/>
  <c r="G170" i="1"/>
  <c r="G168" i="1"/>
  <c r="G166" i="1"/>
  <c r="G164" i="1"/>
  <c r="G162" i="1"/>
  <c r="G160" i="1"/>
  <c r="G158" i="1"/>
  <c r="G156" i="1"/>
  <c r="G154" i="1"/>
  <c r="G152" i="1"/>
  <c r="G150" i="1"/>
  <c r="G148" i="1"/>
  <c r="G146" i="1"/>
  <c r="G144" i="1"/>
  <c r="G142" i="1"/>
  <c r="G140" i="1"/>
  <c r="G138" i="1"/>
  <c r="G136" i="1"/>
  <c r="G134" i="1"/>
  <c r="G132" i="1"/>
  <c r="G130" i="1"/>
  <c r="G128" i="1"/>
  <c r="G108" i="1"/>
  <c r="G16" i="1"/>
  <c r="G390" i="1"/>
  <c r="G388" i="1"/>
  <c r="G386" i="1"/>
  <c r="G384" i="1"/>
  <c r="G382" i="1"/>
  <c r="G380" i="1"/>
  <c r="G378" i="1"/>
  <c r="G376" i="1"/>
  <c r="G370" i="1"/>
  <c r="G368" i="1"/>
  <c r="G334" i="1"/>
  <c r="G332" i="1"/>
  <c r="G320" i="1"/>
  <c r="G318" i="1"/>
  <c r="G300" i="1"/>
  <c r="G294" i="1"/>
  <c r="G282" i="1"/>
  <c r="G278" i="1"/>
  <c r="G264" i="1"/>
  <c r="G262" i="1"/>
  <c r="G252" i="1"/>
  <c r="G232" i="1"/>
  <c r="G230" i="1"/>
  <c r="G218" i="1"/>
  <c r="G216" i="1"/>
  <c r="G214" i="1"/>
  <c r="G212" i="1"/>
  <c r="G210" i="1"/>
  <c r="G208" i="1"/>
  <c r="G206" i="1"/>
  <c r="G204" i="1"/>
  <c r="G202" i="1"/>
  <c r="G200" i="1"/>
  <c r="G198" i="1"/>
  <c r="G196" i="1"/>
  <c r="G126" i="1"/>
  <c r="G124" i="1"/>
  <c r="G122" i="1"/>
  <c r="G120" i="1"/>
  <c r="G118" i="1"/>
  <c r="G116" i="1"/>
  <c r="G114" i="1"/>
  <c r="G112" i="1"/>
  <c r="G110" i="1"/>
  <c r="G106" i="1"/>
  <c r="G104" i="1"/>
  <c r="G102" i="1"/>
  <c r="G100" i="1"/>
  <c r="G98" i="1"/>
  <c r="G96" i="1"/>
  <c r="G94" i="1"/>
  <c r="G92" i="1"/>
  <c r="G90" i="1"/>
  <c r="G88" i="1"/>
  <c r="G86" i="1"/>
  <c r="G84" i="1"/>
  <c r="G82" i="1"/>
  <c r="G80" i="1"/>
  <c r="G78" i="1"/>
  <c r="G76" i="1"/>
  <c r="G74" i="1"/>
  <c r="G72" i="1"/>
  <c r="G70" i="1"/>
  <c r="G68" i="1"/>
  <c r="G66" i="1"/>
  <c r="G64" i="1"/>
  <c r="G62" i="1"/>
  <c r="G60" i="1"/>
  <c r="G58" i="1"/>
  <c r="G56" i="1"/>
  <c r="G54" i="1"/>
  <c r="G52" i="1"/>
  <c r="G50" i="1"/>
  <c r="G48" i="1"/>
  <c r="G46" i="1"/>
  <c r="G44" i="1"/>
  <c r="G42" i="1"/>
  <c r="G40" i="1"/>
  <c r="G38" i="1"/>
  <c r="G36" i="1"/>
  <c r="G34" i="1"/>
  <c r="G32" i="1"/>
  <c r="G30" i="1"/>
  <c r="G28" i="1"/>
  <c r="G26" i="1"/>
  <c r="G24" i="1"/>
  <c r="G22" i="1"/>
  <c r="G20" i="1"/>
  <c r="G18" i="1"/>
  <c r="G14" i="1"/>
  <c r="G12" i="1"/>
  <c r="G10" i="1"/>
  <c r="G8" i="1"/>
  <c r="G5" i="1" l="1"/>
  <c r="O389" i="1"/>
  <c r="O390" i="1" s="1"/>
  <c r="O387" i="1"/>
  <c r="O388" i="1" s="1"/>
  <c r="O385" i="1"/>
  <c r="O386" i="1" s="1"/>
  <c r="O383" i="1"/>
  <c r="O384" i="1" s="1"/>
  <c r="O381" i="1"/>
  <c r="O382" i="1" s="1"/>
  <c r="O379" i="1"/>
  <c r="O380" i="1" s="1"/>
  <c r="O377" i="1"/>
  <c r="O378" i="1" s="1"/>
  <c r="O375" i="1"/>
  <c r="O376" i="1" s="1"/>
  <c r="O373" i="1"/>
  <c r="O374" i="1" s="1"/>
  <c r="O371" i="1"/>
  <c r="O372" i="1" s="1"/>
  <c r="O369" i="1"/>
  <c r="O370" i="1" s="1"/>
  <c r="O367" i="1"/>
  <c r="O368" i="1" s="1"/>
  <c r="O365" i="1"/>
  <c r="O366" i="1" s="1"/>
  <c r="O363" i="1"/>
  <c r="O364" i="1" s="1"/>
  <c r="O361" i="1"/>
  <c r="O362" i="1" s="1"/>
  <c r="O359" i="1"/>
  <c r="O360" i="1" s="1"/>
  <c r="O357" i="1"/>
  <c r="O358" i="1" s="1"/>
  <c r="O355" i="1"/>
  <c r="O356" i="1" s="1"/>
  <c r="O353" i="1"/>
  <c r="O354" i="1" s="1"/>
  <c r="O351" i="1"/>
  <c r="O352" i="1" s="1"/>
  <c r="O349" i="1"/>
  <c r="O350" i="1" s="1"/>
  <c r="O347" i="1"/>
  <c r="O348" i="1" s="1"/>
  <c r="O345" i="1"/>
  <c r="O346" i="1" s="1"/>
  <c r="O343" i="1"/>
  <c r="O344" i="1" s="1"/>
  <c r="O341" i="1"/>
  <c r="O342" i="1" s="1"/>
  <c r="O339" i="1"/>
  <c r="O340" i="1" s="1"/>
  <c r="O337" i="1"/>
  <c r="O338" i="1" s="1"/>
  <c r="O335" i="1"/>
  <c r="O336" i="1" s="1"/>
  <c r="O333" i="1"/>
  <c r="O334" i="1" s="1"/>
  <c r="O331" i="1"/>
  <c r="O332" i="1" s="1"/>
  <c r="O329" i="1"/>
  <c r="O330" i="1" s="1"/>
  <c r="O327" i="1"/>
  <c r="O328" i="1" s="1"/>
  <c r="O325" i="1"/>
  <c r="O326" i="1" s="1"/>
  <c r="O323" i="1"/>
  <c r="O324" i="1" s="1"/>
  <c r="O321" i="1"/>
  <c r="O322" i="1" s="1"/>
  <c r="O319" i="1"/>
  <c r="O320" i="1" s="1"/>
  <c r="O317" i="1"/>
  <c r="O318" i="1" s="1"/>
  <c r="O315" i="1"/>
  <c r="O316" i="1" s="1"/>
  <c r="O313" i="1"/>
  <c r="O314" i="1" s="1"/>
  <c r="O311" i="1"/>
  <c r="O312" i="1" s="1"/>
  <c r="O309" i="1"/>
  <c r="O310" i="1" s="1"/>
  <c r="O307" i="1"/>
  <c r="O308" i="1" s="1"/>
  <c r="O305" i="1"/>
  <c r="O306" i="1" s="1"/>
  <c r="O303" i="1"/>
  <c r="O304" i="1" s="1"/>
  <c r="O301" i="1"/>
  <c r="O302" i="1" s="1"/>
  <c r="O299" i="1"/>
  <c r="O300" i="1" s="1"/>
  <c r="O297" i="1"/>
  <c r="O298" i="1" s="1"/>
  <c r="O295" i="1"/>
  <c r="O296" i="1" s="1"/>
  <c r="O293" i="1"/>
  <c r="O294" i="1" s="1"/>
  <c r="O291" i="1"/>
  <c r="O292" i="1" s="1"/>
  <c r="O289" i="1"/>
  <c r="O290" i="1" s="1"/>
  <c r="O287" i="1"/>
  <c r="O288" i="1" s="1"/>
  <c r="O285" i="1"/>
  <c r="O286" i="1" s="1"/>
  <c r="O283" i="1"/>
  <c r="O284" i="1" s="1"/>
  <c r="O281" i="1"/>
  <c r="O282" i="1" s="1"/>
  <c r="O279" i="1"/>
  <c r="O280" i="1" s="1"/>
  <c r="O277" i="1"/>
  <c r="O278" i="1" s="1"/>
  <c r="O275" i="1"/>
  <c r="O276" i="1" s="1"/>
  <c r="O273" i="1"/>
  <c r="O274" i="1" s="1"/>
  <c r="O271" i="1"/>
  <c r="O272" i="1" s="1"/>
  <c r="O269" i="1"/>
  <c r="O270" i="1" s="1"/>
  <c r="O267" i="1"/>
  <c r="O268" i="1" s="1"/>
  <c r="O265" i="1"/>
  <c r="O266" i="1" s="1"/>
  <c r="O263" i="1"/>
  <c r="O264" i="1" s="1"/>
  <c r="O261" i="1"/>
  <c r="O262" i="1" s="1"/>
  <c r="O259" i="1"/>
  <c r="O260" i="1" s="1"/>
  <c r="O257" i="1"/>
  <c r="O258" i="1" s="1"/>
  <c r="O255" i="1"/>
  <c r="O256" i="1" s="1"/>
  <c r="O253" i="1"/>
  <c r="O254" i="1" s="1"/>
  <c r="O251" i="1"/>
  <c r="O252" i="1" s="1"/>
  <c r="O249" i="1"/>
  <c r="O250" i="1" s="1"/>
  <c r="O247" i="1"/>
  <c r="O248" i="1" s="1"/>
  <c r="O245" i="1"/>
  <c r="O246" i="1" s="1"/>
  <c r="O243" i="1"/>
  <c r="O244" i="1" s="1"/>
  <c r="O241" i="1"/>
  <c r="O242" i="1" s="1"/>
  <c r="O239" i="1"/>
  <c r="O240" i="1" s="1"/>
  <c r="O237" i="1"/>
  <c r="O238" i="1" s="1"/>
  <c r="O235" i="1"/>
  <c r="O236" i="1" s="1"/>
  <c r="O233" i="1"/>
  <c r="O234" i="1" s="1"/>
  <c r="O231" i="1"/>
  <c r="O232" i="1" s="1"/>
  <c r="O229" i="1"/>
  <c r="O230" i="1" s="1"/>
  <c r="O227" i="1"/>
  <c r="O228" i="1" s="1"/>
  <c r="O225" i="1"/>
  <c r="O226" i="1" s="1"/>
  <c r="O223" i="1"/>
  <c r="O224" i="1" s="1"/>
  <c r="O221" i="1"/>
  <c r="O222" i="1" s="1"/>
  <c r="O219" i="1"/>
  <c r="O220" i="1" s="1"/>
  <c r="O217" i="1"/>
  <c r="O218" i="1" s="1"/>
  <c r="O215" i="1"/>
  <c r="O216" i="1" s="1"/>
  <c r="O213" i="1"/>
  <c r="O214" i="1" s="1"/>
  <c r="O211" i="1"/>
  <c r="O212" i="1" s="1"/>
  <c r="O209" i="1"/>
  <c r="O210" i="1" s="1"/>
  <c r="O207" i="1"/>
  <c r="O208" i="1" s="1"/>
  <c r="O205" i="1"/>
  <c r="O206" i="1" s="1"/>
  <c r="O203" i="1"/>
  <c r="O204" i="1" s="1"/>
  <c r="O201" i="1"/>
  <c r="O202" i="1" s="1"/>
  <c r="O199" i="1"/>
  <c r="O200" i="1" s="1"/>
  <c r="O197" i="1"/>
  <c r="O198" i="1" s="1"/>
  <c r="O195" i="1"/>
  <c r="O196" i="1" s="1"/>
  <c r="O193" i="1"/>
  <c r="O194" i="1" s="1"/>
  <c r="O191" i="1"/>
  <c r="O192" i="1" s="1"/>
  <c r="O189" i="1"/>
  <c r="O190" i="1" s="1"/>
  <c r="O187" i="1"/>
  <c r="O188" i="1" s="1"/>
  <c r="O185" i="1"/>
  <c r="O186" i="1" s="1"/>
  <c r="O183" i="1"/>
  <c r="O184" i="1" s="1"/>
  <c r="O181" i="1"/>
  <c r="O182" i="1" s="1"/>
  <c r="O179" i="1"/>
  <c r="O180" i="1" s="1"/>
  <c r="O177" i="1"/>
  <c r="O178" i="1" s="1"/>
  <c r="O175" i="1"/>
  <c r="O176" i="1" s="1"/>
  <c r="O173" i="1"/>
  <c r="O174" i="1" s="1"/>
  <c r="O171" i="1"/>
  <c r="O172" i="1" s="1"/>
  <c r="O169" i="1"/>
  <c r="O170" i="1" s="1"/>
  <c r="O167" i="1"/>
  <c r="O168" i="1" s="1"/>
  <c r="O165" i="1"/>
  <c r="O166" i="1" s="1"/>
  <c r="O163" i="1"/>
  <c r="O164" i="1" s="1"/>
  <c r="O161" i="1"/>
  <c r="O162" i="1" s="1"/>
  <c r="O159" i="1"/>
  <c r="O160" i="1" s="1"/>
  <c r="O157" i="1"/>
  <c r="O158" i="1" s="1"/>
  <c r="O155" i="1"/>
  <c r="O156" i="1" s="1"/>
  <c r="O153" i="1"/>
  <c r="O154" i="1" s="1"/>
  <c r="O151" i="1"/>
  <c r="O152" i="1" s="1"/>
  <c r="O149" i="1"/>
  <c r="O150" i="1" s="1"/>
  <c r="O147" i="1"/>
  <c r="O148" i="1" s="1"/>
  <c r="O145" i="1"/>
  <c r="O146" i="1" s="1"/>
  <c r="O143" i="1"/>
  <c r="O144" i="1" s="1"/>
  <c r="O141" i="1"/>
  <c r="O142" i="1" s="1"/>
  <c r="O139" i="1"/>
  <c r="O140" i="1" s="1"/>
  <c r="O137" i="1"/>
  <c r="O138" i="1" s="1"/>
  <c r="O135" i="1"/>
  <c r="O136" i="1" s="1"/>
  <c r="O133" i="1"/>
  <c r="O134" i="1" s="1"/>
  <c r="O131" i="1"/>
  <c r="O132" i="1" s="1"/>
  <c r="O129" i="1"/>
  <c r="O130" i="1" s="1"/>
  <c r="O127" i="1"/>
  <c r="O128" i="1" s="1"/>
  <c r="O125" i="1"/>
  <c r="O126" i="1" s="1"/>
  <c r="O123" i="1"/>
  <c r="O124" i="1" s="1"/>
  <c r="O121" i="1"/>
  <c r="O122" i="1" s="1"/>
  <c r="O119" i="1"/>
  <c r="O120" i="1" s="1"/>
  <c r="O117" i="1"/>
  <c r="O118" i="1" s="1"/>
  <c r="O115" i="1"/>
  <c r="O116" i="1" s="1"/>
  <c r="O113" i="1"/>
  <c r="O114" i="1" s="1"/>
  <c r="O111" i="1"/>
  <c r="O112" i="1" s="1"/>
  <c r="O109" i="1"/>
  <c r="O110" i="1" s="1"/>
  <c r="O107" i="1"/>
  <c r="O108" i="1" s="1"/>
  <c r="O105" i="1"/>
  <c r="O106" i="1" s="1"/>
  <c r="O103" i="1"/>
  <c r="O104" i="1" s="1"/>
  <c r="O101" i="1"/>
  <c r="O102" i="1" s="1"/>
  <c r="O99" i="1"/>
  <c r="O100" i="1" s="1"/>
  <c r="O97" i="1"/>
  <c r="O98" i="1" s="1"/>
  <c r="O95" i="1"/>
  <c r="O96" i="1" s="1"/>
  <c r="O93" i="1"/>
  <c r="O94" i="1" s="1"/>
  <c r="O91" i="1"/>
  <c r="O92" i="1" s="1"/>
  <c r="O89" i="1"/>
  <c r="O90" i="1" s="1"/>
  <c r="O87" i="1"/>
  <c r="O88" i="1" s="1"/>
  <c r="O85" i="1"/>
  <c r="O86" i="1" s="1"/>
  <c r="O83" i="1"/>
  <c r="O84" i="1" s="1"/>
  <c r="O81" i="1"/>
  <c r="O82" i="1" s="1"/>
  <c r="O79" i="1"/>
  <c r="O80" i="1" s="1"/>
  <c r="O77" i="1"/>
  <c r="O78" i="1" s="1"/>
  <c r="O75" i="1"/>
  <c r="O76" i="1" s="1"/>
  <c r="O73" i="1"/>
  <c r="O74" i="1" s="1"/>
  <c r="O71" i="1"/>
  <c r="O72" i="1" s="1"/>
  <c r="O69" i="1"/>
  <c r="O70" i="1" s="1"/>
  <c r="O67" i="1"/>
  <c r="O68" i="1" s="1"/>
  <c r="O65" i="1"/>
  <c r="O66" i="1" s="1"/>
  <c r="O63" i="1"/>
  <c r="O64" i="1" s="1"/>
  <c r="O61" i="1"/>
  <c r="O62" i="1" s="1"/>
  <c r="O59" i="1"/>
  <c r="O60" i="1" s="1"/>
  <c r="O57" i="1"/>
  <c r="O58" i="1" s="1"/>
  <c r="O55" i="1"/>
  <c r="O56" i="1" s="1"/>
  <c r="O53" i="1"/>
  <c r="O54" i="1" s="1"/>
  <c r="O51" i="1"/>
  <c r="O52" i="1" s="1"/>
  <c r="O49" i="1"/>
  <c r="O50" i="1" s="1"/>
  <c r="O47" i="1"/>
  <c r="O48" i="1" s="1"/>
  <c r="O45" i="1"/>
  <c r="O46" i="1" s="1"/>
  <c r="O43" i="1"/>
  <c r="O44" i="1" s="1"/>
  <c r="O41" i="1"/>
  <c r="O42" i="1" s="1"/>
  <c r="O39" i="1"/>
  <c r="O40" i="1" s="1"/>
  <c r="O37" i="1"/>
  <c r="O38" i="1" s="1"/>
  <c r="O35" i="1"/>
  <c r="O36" i="1" s="1"/>
  <c r="O33" i="1"/>
  <c r="O34" i="1" s="1"/>
  <c r="O31" i="1"/>
  <c r="O32" i="1" s="1"/>
  <c r="O29" i="1"/>
  <c r="O30" i="1" s="1"/>
  <c r="O27" i="1"/>
  <c r="O28" i="1" s="1"/>
  <c r="O25" i="1"/>
  <c r="O26" i="1" s="1"/>
  <c r="O23" i="1"/>
  <c r="O24" i="1" s="1"/>
  <c r="O21" i="1"/>
  <c r="O22" i="1" s="1"/>
  <c r="O19" i="1"/>
  <c r="O20" i="1" s="1"/>
  <c r="O17" i="1"/>
  <c r="O18" i="1" s="1"/>
  <c r="O15" i="1"/>
  <c r="O16" i="1" s="1"/>
  <c r="O13" i="1"/>
  <c r="O14" i="1" s="1"/>
  <c r="O11" i="1"/>
  <c r="O12" i="1" s="1"/>
  <c r="O9" i="1"/>
  <c r="O10" i="1" s="1"/>
  <c r="O7" i="1"/>
  <c r="O8" i="1" s="1"/>
  <c r="O5" i="1"/>
  <c r="O6" i="1" s="1"/>
  <c r="H9" i="1"/>
  <c r="H10" i="1" s="1"/>
  <c r="F389" i="1"/>
  <c r="F390" i="1" s="1"/>
  <c r="F387" i="1"/>
  <c r="F388" i="1" s="1"/>
  <c r="F385" i="1"/>
  <c r="F386" i="1" s="1"/>
  <c r="F383" i="1"/>
  <c r="F384" i="1" s="1"/>
  <c r="F381" i="1"/>
  <c r="F382" i="1" s="1"/>
  <c r="F379" i="1"/>
  <c r="F380" i="1" s="1"/>
  <c r="F377" i="1"/>
  <c r="F378" i="1" s="1"/>
  <c r="F375" i="1"/>
  <c r="F376" i="1" s="1"/>
  <c r="F373" i="1"/>
  <c r="F374" i="1" s="1"/>
  <c r="F371" i="1"/>
  <c r="F372" i="1" s="1"/>
  <c r="F369" i="1"/>
  <c r="F370" i="1" s="1"/>
  <c r="F367" i="1"/>
  <c r="F368" i="1" s="1"/>
  <c r="F365" i="1"/>
  <c r="F366" i="1" s="1"/>
  <c r="F363" i="1"/>
  <c r="F364" i="1" s="1"/>
  <c r="F361" i="1"/>
  <c r="F362" i="1" s="1"/>
  <c r="F359" i="1"/>
  <c r="F360" i="1" s="1"/>
  <c r="F357" i="1"/>
  <c r="F358" i="1" s="1"/>
  <c r="F355" i="1"/>
  <c r="F356" i="1" s="1"/>
  <c r="F353" i="1"/>
  <c r="F354" i="1" s="1"/>
  <c r="F351" i="1"/>
  <c r="F352" i="1" s="1"/>
  <c r="F349" i="1"/>
  <c r="F350" i="1" s="1"/>
  <c r="F347" i="1"/>
  <c r="F348" i="1" s="1"/>
  <c r="F345" i="1"/>
  <c r="F346" i="1" s="1"/>
  <c r="F343" i="1"/>
  <c r="F344" i="1" s="1"/>
  <c r="F341" i="1"/>
  <c r="F342" i="1" s="1"/>
  <c r="F339" i="1"/>
  <c r="F340" i="1" s="1"/>
  <c r="F337" i="1"/>
  <c r="F338" i="1" s="1"/>
  <c r="F335" i="1"/>
  <c r="F336" i="1" s="1"/>
  <c r="F333" i="1"/>
  <c r="F334" i="1" s="1"/>
  <c r="F331" i="1"/>
  <c r="F332" i="1" s="1"/>
  <c r="F329" i="1"/>
  <c r="F330" i="1" s="1"/>
  <c r="F327" i="1"/>
  <c r="F328" i="1" s="1"/>
  <c r="F325" i="1"/>
  <c r="F326" i="1" s="1"/>
  <c r="F323" i="1"/>
  <c r="F324" i="1" s="1"/>
  <c r="F321" i="1"/>
  <c r="F322" i="1" s="1"/>
  <c r="F319" i="1"/>
  <c r="F320" i="1" s="1"/>
  <c r="F317" i="1"/>
  <c r="F318" i="1" s="1"/>
  <c r="F315" i="1"/>
  <c r="F316" i="1" s="1"/>
  <c r="F313" i="1"/>
  <c r="F314" i="1" s="1"/>
  <c r="F311" i="1"/>
  <c r="F312" i="1" s="1"/>
  <c r="F309" i="1"/>
  <c r="F310" i="1" s="1"/>
  <c r="F307" i="1"/>
  <c r="F308" i="1" s="1"/>
  <c r="F305" i="1"/>
  <c r="F306" i="1" s="1"/>
  <c r="F303" i="1"/>
  <c r="F304" i="1" s="1"/>
  <c r="F301" i="1"/>
  <c r="F302" i="1" s="1"/>
  <c r="F299" i="1"/>
  <c r="F300" i="1" s="1"/>
  <c r="F297" i="1"/>
  <c r="F298" i="1" s="1"/>
  <c r="F295" i="1"/>
  <c r="F296" i="1" s="1"/>
  <c r="F293" i="1"/>
  <c r="F294" i="1" s="1"/>
  <c r="F291" i="1"/>
  <c r="F292" i="1" s="1"/>
  <c r="F289" i="1"/>
  <c r="F290" i="1" s="1"/>
  <c r="F287" i="1"/>
  <c r="F288" i="1" s="1"/>
  <c r="F285" i="1"/>
  <c r="F286" i="1" s="1"/>
  <c r="F283" i="1"/>
  <c r="F284" i="1" s="1"/>
  <c r="F281" i="1"/>
  <c r="F282" i="1" s="1"/>
  <c r="F279" i="1"/>
  <c r="F280" i="1" s="1"/>
  <c r="F277" i="1"/>
  <c r="F278" i="1" s="1"/>
  <c r="F275" i="1"/>
  <c r="F276" i="1" s="1"/>
  <c r="F273" i="1"/>
  <c r="F274" i="1" s="1"/>
  <c r="F271" i="1"/>
  <c r="F272" i="1" s="1"/>
  <c r="F269" i="1"/>
  <c r="F270" i="1" s="1"/>
  <c r="F267" i="1"/>
  <c r="F268" i="1" s="1"/>
  <c r="F265" i="1"/>
  <c r="F266" i="1" s="1"/>
  <c r="F263" i="1"/>
  <c r="F264" i="1" s="1"/>
  <c r="F261" i="1"/>
  <c r="F262" i="1" s="1"/>
  <c r="F259" i="1"/>
  <c r="F260" i="1" s="1"/>
  <c r="F257" i="1"/>
  <c r="F258" i="1" s="1"/>
  <c r="F255" i="1"/>
  <c r="F256" i="1" s="1"/>
  <c r="F253" i="1"/>
  <c r="F254" i="1" s="1"/>
  <c r="F251" i="1"/>
  <c r="F252" i="1" s="1"/>
  <c r="F249" i="1"/>
  <c r="F250" i="1" s="1"/>
  <c r="F247" i="1"/>
  <c r="F248" i="1" s="1"/>
  <c r="F245" i="1"/>
  <c r="F246" i="1" s="1"/>
  <c r="F243" i="1"/>
  <c r="F244" i="1" s="1"/>
  <c r="F241" i="1"/>
  <c r="F242" i="1" s="1"/>
  <c r="F239" i="1"/>
  <c r="F240" i="1" s="1"/>
  <c r="F237" i="1"/>
  <c r="F238" i="1" s="1"/>
  <c r="F235" i="1"/>
  <c r="F236" i="1" s="1"/>
  <c r="F233" i="1"/>
  <c r="F234" i="1" s="1"/>
  <c r="F231" i="1"/>
  <c r="F232" i="1" s="1"/>
  <c r="F229" i="1"/>
  <c r="F230" i="1" s="1"/>
  <c r="F227" i="1"/>
  <c r="F228" i="1" s="1"/>
  <c r="F225" i="1"/>
  <c r="F226" i="1" s="1"/>
  <c r="F223" i="1"/>
  <c r="F224" i="1" s="1"/>
  <c r="F221" i="1"/>
  <c r="F222" i="1" s="1"/>
  <c r="F219" i="1"/>
  <c r="F220" i="1" s="1"/>
  <c r="F217" i="1"/>
  <c r="F218" i="1" s="1"/>
  <c r="F215" i="1"/>
  <c r="F216" i="1" s="1"/>
  <c r="F213" i="1"/>
  <c r="F214" i="1" s="1"/>
  <c r="F211" i="1"/>
  <c r="F212" i="1" s="1"/>
  <c r="F209" i="1"/>
  <c r="F210" i="1" s="1"/>
  <c r="F207" i="1"/>
  <c r="F208" i="1" s="1"/>
  <c r="F205" i="1"/>
  <c r="F206" i="1" s="1"/>
  <c r="F203" i="1"/>
  <c r="F204" i="1" s="1"/>
  <c r="F201" i="1"/>
  <c r="F202" i="1" s="1"/>
  <c r="F199" i="1"/>
  <c r="F200" i="1" s="1"/>
  <c r="F197" i="1"/>
  <c r="F195" i="1"/>
  <c r="F196" i="1" s="1"/>
  <c r="F193" i="1"/>
  <c r="F194" i="1" s="1"/>
  <c r="F191" i="1"/>
  <c r="F192" i="1" s="1"/>
  <c r="F189" i="1"/>
  <c r="F190" i="1" s="1"/>
  <c r="F187" i="1"/>
  <c r="F188" i="1" s="1"/>
  <c r="F185" i="1"/>
  <c r="F186" i="1" s="1"/>
  <c r="F183" i="1"/>
  <c r="F184" i="1" s="1"/>
  <c r="F181" i="1"/>
  <c r="F182" i="1" s="1"/>
  <c r="F179" i="1"/>
  <c r="F180" i="1" s="1"/>
  <c r="F177" i="1"/>
  <c r="F178" i="1" s="1"/>
  <c r="F175" i="1"/>
  <c r="F176" i="1" s="1"/>
  <c r="F173" i="1"/>
  <c r="F174" i="1" s="1"/>
  <c r="F171" i="1"/>
  <c r="F172" i="1" s="1"/>
  <c r="F169" i="1"/>
  <c r="F170" i="1" s="1"/>
  <c r="F167" i="1"/>
  <c r="F168" i="1" s="1"/>
  <c r="F165" i="1"/>
  <c r="F166" i="1" s="1"/>
  <c r="F163" i="1"/>
  <c r="F164" i="1" s="1"/>
  <c r="F161" i="1"/>
  <c r="F162" i="1" s="1"/>
  <c r="F159" i="1"/>
  <c r="F160" i="1" s="1"/>
  <c r="F157" i="1"/>
  <c r="F158" i="1" s="1"/>
  <c r="F155" i="1"/>
  <c r="F156" i="1" s="1"/>
  <c r="F153" i="1"/>
  <c r="F154" i="1" s="1"/>
  <c r="F151" i="1"/>
  <c r="F152" i="1" s="1"/>
  <c r="F149" i="1"/>
  <c r="F150" i="1" s="1"/>
  <c r="F147" i="1"/>
  <c r="F148" i="1" s="1"/>
  <c r="F145" i="1"/>
  <c r="F146" i="1" s="1"/>
  <c r="F143" i="1"/>
  <c r="F144" i="1" s="1"/>
  <c r="F141" i="1"/>
  <c r="F142" i="1" s="1"/>
  <c r="F139" i="1"/>
  <c r="F140" i="1" s="1"/>
  <c r="F137" i="1"/>
  <c r="F138" i="1" s="1"/>
  <c r="F135" i="1"/>
  <c r="F136" i="1" s="1"/>
  <c r="F133" i="1"/>
  <c r="F134" i="1" s="1"/>
  <c r="F131" i="1"/>
  <c r="F132" i="1" s="1"/>
  <c r="F129" i="1"/>
  <c r="F130" i="1" s="1"/>
  <c r="F127" i="1"/>
  <c r="F128" i="1" s="1"/>
  <c r="F125" i="1"/>
  <c r="F126" i="1" s="1"/>
  <c r="F123" i="1"/>
  <c r="F124" i="1" s="1"/>
  <c r="F121" i="1"/>
  <c r="F122" i="1" s="1"/>
  <c r="F119" i="1"/>
  <c r="F120" i="1" s="1"/>
  <c r="F117" i="1"/>
  <c r="F118" i="1" s="1"/>
  <c r="F115" i="1"/>
  <c r="F116" i="1" s="1"/>
  <c r="F113" i="1"/>
  <c r="F114" i="1" s="1"/>
  <c r="F111" i="1"/>
  <c r="F112" i="1" s="1"/>
  <c r="F109" i="1"/>
  <c r="F110" i="1" s="1"/>
  <c r="F107" i="1"/>
  <c r="F108" i="1" s="1"/>
  <c r="F105" i="1"/>
  <c r="F106" i="1" s="1"/>
  <c r="F103" i="1"/>
  <c r="F104" i="1" s="1"/>
  <c r="F101" i="1"/>
  <c r="F102" i="1" s="1"/>
  <c r="F99" i="1"/>
  <c r="F100" i="1" s="1"/>
  <c r="F97" i="1"/>
  <c r="F98" i="1" s="1"/>
  <c r="F95" i="1"/>
  <c r="F96" i="1" s="1"/>
  <c r="F93" i="1"/>
  <c r="F94" i="1" s="1"/>
  <c r="F91" i="1"/>
  <c r="F92" i="1" s="1"/>
  <c r="F89" i="1"/>
  <c r="F90" i="1" s="1"/>
  <c r="F87" i="1"/>
  <c r="F88" i="1" s="1"/>
  <c r="F85" i="1"/>
  <c r="F86" i="1" s="1"/>
  <c r="F83" i="1"/>
  <c r="F84" i="1" s="1"/>
  <c r="F81" i="1"/>
  <c r="F82" i="1" s="1"/>
  <c r="F79" i="1"/>
  <c r="F80" i="1" s="1"/>
  <c r="F77" i="1"/>
  <c r="F78" i="1" s="1"/>
  <c r="F75" i="1"/>
  <c r="F76" i="1" s="1"/>
  <c r="F73" i="1"/>
  <c r="F74" i="1" s="1"/>
  <c r="F71" i="1"/>
  <c r="F72" i="1" s="1"/>
  <c r="F69" i="1"/>
  <c r="F70" i="1" s="1"/>
  <c r="F67" i="1"/>
  <c r="F68" i="1" s="1"/>
  <c r="F65" i="1"/>
  <c r="F66" i="1" s="1"/>
  <c r="F63" i="1"/>
  <c r="F64" i="1" s="1"/>
  <c r="F61" i="1"/>
  <c r="F62" i="1" s="1"/>
  <c r="F59" i="1"/>
  <c r="F60" i="1" s="1"/>
  <c r="F57" i="1"/>
  <c r="F58" i="1" s="1"/>
  <c r="F55" i="1"/>
  <c r="F56" i="1" s="1"/>
  <c r="F53" i="1"/>
  <c r="F54" i="1" s="1"/>
  <c r="F51" i="1"/>
  <c r="F52" i="1" s="1"/>
  <c r="F49" i="1"/>
  <c r="F50" i="1" s="1"/>
  <c r="F47" i="1"/>
  <c r="F48" i="1" s="1"/>
  <c r="F45" i="1"/>
  <c r="F46" i="1" s="1"/>
  <c r="F43" i="1"/>
  <c r="F44" i="1" s="1"/>
  <c r="F41" i="1"/>
  <c r="F42" i="1" s="1"/>
  <c r="F39" i="1"/>
  <c r="F40" i="1" s="1"/>
  <c r="F37" i="1"/>
  <c r="F38" i="1" s="1"/>
  <c r="F35" i="1"/>
  <c r="F36" i="1" s="1"/>
  <c r="F33" i="1"/>
  <c r="F34" i="1" s="1"/>
  <c r="F31" i="1"/>
  <c r="F32" i="1" s="1"/>
  <c r="F29" i="1"/>
  <c r="F30" i="1" s="1"/>
  <c r="F27" i="1"/>
  <c r="F28" i="1" s="1"/>
  <c r="F25" i="1"/>
  <c r="F26" i="1" s="1"/>
  <c r="F23" i="1"/>
  <c r="F24" i="1" s="1"/>
  <c r="F21" i="1"/>
  <c r="F22" i="1" s="1"/>
  <c r="F19" i="1"/>
  <c r="F20" i="1" s="1"/>
  <c r="F17" i="1"/>
  <c r="F18" i="1" s="1"/>
  <c r="F15" i="1"/>
  <c r="F16" i="1" s="1"/>
  <c r="F13" i="1"/>
  <c r="F14" i="1" s="1"/>
  <c r="F11" i="1"/>
  <c r="F12" i="1" s="1"/>
  <c r="F9" i="1"/>
  <c r="F10" i="1" s="1"/>
  <c r="F7" i="1"/>
  <c r="F8" i="1" s="1"/>
  <c r="F5" i="1"/>
  <c r="F6" i="1" s="1"/>
  <c r="M389" i="1"/>
  <c r="M390" i="1" s="1"/>
  <c r="L389" i="1"/>
  <c r="L390" i="1" s="1"/>
  <c r="K389" i="1"/>
  <c r="K390" i="1" s="1"/>
  <c r="J389" i="1"/>
  <c r="J390" i="1" s="1"/>
  <c r="I389" i="1"/>
  <c r="I390" i="1" s="1"/>
  <c r="H389" i="1"/>
  <c r="H390" i="1" s="1"/>
  <c r="M387" i="1"/>
  <c r="M388" i="1" s="1"/>
  <c r="L387" i="1"/>
  <c r="L388" i="1" s="1"/>
  <c r="K387" i="1"/>
  <c r="K388" i="1" s="1"/>
  <c r="J387" i="1"/>
  <c r="J388" i="1" s="1"/>
  <c r="I387" i="1"/>
  <c r="I388" i="1" s="1"/>
  <c r="H387" i="1"/>
  <c r="H388" i="1" s="1"/>
  <c r="M385" i="1"/>
  <c r="M386" i="1" s="1"/>
  <c r="L385" i="1"/>
  <c r="L386" i="1" s="1"/>
  <c r="K385" i="1"/>
  <c r="K386" i="1" s="1"/>
  <c r="J385" i="1"/>
  <c r="J386" i="1" s="1"/>
  <c r="I385" i="1"/>
  <c r="I386" i="1" s="1"/>
  <c r="H385" i="1"/>
  <c r="H386" i="1" s="1"/>
  <c r="M383" i="1"/>
  <c r="M384" i="1" s="1"/>
  <c r="L383" i="1"/>
  <c r="L384" i="1" s="1"/>
  <c r="K383" i="1"/>
  <c r="K384" i="1" s="1"/>
  <c r="J383" i="1"/>
  <c r="J384" i="1" s="1"/>
  <c r="I383" i="1"/>
  <c r="I384" i="1" s="1"/>
  <c r="H383" i="1"/>
  <c r="H384" i="1" s="1"/>
  <c r="M381" i="1"/>
  <c r="M382" i="1" s="1"/>
  <c r="L381" i="1"/>
  <c r="L382" i="1" s="1"/>
  <c r="K381" i="1"/>
  <c r="K382" i="1" s="1"/>
  <c r="J381" i="1"/>
  <c r="J382" i="1" s="1"/>
  <c r="I381" i="1"/>
  <c r="I382" i="1" s="1"/>
  <c r="H381" i="1"/>
  <c r="H382" i="1" s="1"/>
  <c r="M379" i="1"/>
  <c r="M380" i="1" s="1"/>
  <c r="L379" i="1"/>
  <c r="L380" i="1" s="1"/>
  <c r="K379" i="1"/>
  <c r="K380" i="1" s="1"/>
  <c r="J379" i="1"/>
  <c r="J380" i="1" s="1"/>
  <c r="I379" i="1"/>
  <c r="I380" i="1" s="1"/>
  <c r="H379" i="1"/>
  <c r="H380" i="1" s="1"/>
  <c r="M377" i="1"/>
  <c r="M378" i="1" s="1"/>
  <c r="L377" i="1"/>
  <c r="L378" i="1" s="1"/>
  <c r="K377" i="1"/>
  <c r="K378" i="1" s="1"/>
  <c r="J377" i="1"/>
  <c r="J378" i="1" s="1"/>
  <c r="I377" i="1"/>
  <c r="I378" i="1" s="1"/>
  <c r="H377" i="1"/>
  <c r="H378" i="1" s="1"/>
  <c r="M375" i="1"/>
  <c r="M376" i="1" s="1"/>
  <c r="L375" i="1"/>
  <c r="L376" i="1" s="1"/>
  <c r="K375" i="1"/>
  <c r="K376" i="1" s="1"/>
  <c r="J375" i="1"/>
  <c r="J376" i="1" s="1"/>
  <c r="I375" i="1"/>
  <c r="I376" i="1" s="1"/>
  <c r="H375" i="1"/>
  <c r="H376" i="1" s="1"/>
  <c r="M373" i="1"/>
  <c r="M374" i="1" s="1"/>
  <c r="L373" i="1"/>
  <c r="L374" i="1" s="1"/>
  <c r="K373" i="1"/>
  <c r="K374" i="1" s="1"/>
  <c r="J373" i="1"/>
  <c r="J374" i="1" s="1"/>
  <c r="I373" i="1"/>
  <c r="I374" i="1" s="1"/>
  <c r="H373" i="1"/>
  <c r="H374" i="1" s="1"/>
  <c r="M371" i="1"/>
  <c r="M372" i="1" s="1"/>
  <c r="L371" i="1"/>
  <c r="L372" i="1" s="1"/>
  <c r="K371" i="1"/>
  <c r="K372" i="1" s="1"/>
  <c r="J371" i="1"/>
  <c r="J372" i="1" s="1"/>
  <c r="I371" i="1"/>
  <c r="I372" i="1" s="1"/>
  <c r="H371" i="1"/>
  <c r="H372" i="1" s="1"/>
  <c r="M369" i="1"/>
  <c r="M370" i="1" s="1"/>
  <c r="L369" i="1"/>
  <c r="L370" i="1" s="1"/>
  <c r="K369" i="1"/>
  <c r="K370" i="1" s="1"/>
  <c r="J369" i="1"/>
  <c r="J370" i="1" s="1"/>
  <c r="I369" i="1"/>
  <c r="I370" i="1" s="1"/>
  <c r="H369" i="1"/>
  <c r="H370" i="1" s="1"/>
  <c r="M367" i="1"/>
  <c r="M368" i="1" s="1"/>
  <c r="L367" i="1"/>
  <c r="L368" i="1" s="1"/>
  <c r="K367" i="1"/>
  <c r="K368" i="1" s="1"/>
  <c r="J367" i="1"/>
  <c r="J368" i="1" s="1"/>
  <c r="I367" i="1"/>
  <c r="I368" i="1" s="1"/>
  <c r="H367" i="1"/>
  <c r="H368" i="1" s="1"/>
  <c r="M365" i="1"/>
  <c r="M366" i="1" s="1"/>
  <c r="L365" i="1"/>
  <c r="L366" i="1" s="1"/>
  <c r="K365" i="1"/>
  <c r="K366" i="1" s="1"/>
  <c r="J365" i="1"/>
  <c r="J366" i="1" s="1"/>
  <c r="I365" i="1"/>
  <c r="I366" i="1" s="1"/>
  <c r="H365" i="1"/>
  <c r="H366" i="1" s="1"/>
  <c r="M363" i="1"/>
  <c r="M364" i="1" s="1"/>
  <c r="L363" i="1"/>
  <c r="L364" i="1" s="1"/>
  <c r="K363" i="1"/>
  <c r="K364" i="1" s="1"/>
  <c r="J363" i="1"/>
  <c r="J364" i="1" s="1"/>
  <c r="I363" i="1"/>
  <c r="I364" i="1" s="1"/>
  <c r="H363" i="1"/>
  <c r="H364" i="1" s="1"/>
  <c r="M361" i="1"/>
  <c r="M362" i="1" s="1"/>
  <c r="L361" i="1"/>
  <c r="L362" i="1" s="1"/>
  <c r="K361" i="1"/>
  <c r="K362" i="1" s="1"/>
  <c r="J361" i="1"/>
  <c r="J362" i="1" s="1"/>
  <c r="I361" i="1"/>
  <c r="I362" i="1" s="1"/>
  <c r="H361" i="1"/>
  <c r="H362" i="1" s="1"/>
  <c r="M359" i="1"/>
  <c r="M360" i="1" s="1"/>
  <c r="L359" i="1"/>
  <c r="L360" i="1" s="1"/>
  <c r="K359" i="1"/>
  <c r="K360" i="1" s="1"/>
  <c r="J359" i="1"/>
  <c r="J360" i="1" s="1"/>
  <c r="I359" i="1"/>
  <c r="I360" i="1" s="1"/>
  <c r="H359" i="1"/>
  <c r="H360" i="1" s="1"/>
  <c r="M357" i="1"/>
  <c r="M358" i="1" s="1"/>
  <c r="L357" i="1"/>
  <c r="L358" i="1" s="1"/>
  <c r="K357" i="1"/>
  <c r="K358" i="1" s="1"/>
  <c r="J357" i="1"/>
  <c r="J358" i="1" s="1"/>
  <c r="I357" i="1"/>
  <c r="I358" i="1" s="1"/>
  <c r="H357" i="1"/>
  <c r="H358" i="1" s="1"/>
  <c r="M355" i="1"/>
  <c r="M356" i="1" s="1"/>
  <c r="L355" i="1"/>
  <c r="L356" i="1" s="1"/>
  <c r="K355" i="1"/>
  <c r="K356" i="1" s="1"/>
  <c r="J355" i="1"/>
  <c r="J356" i="1" s="1"/>
  <c r="I355" i="1"/>
  <c r="I356" i="1" s="1"/>
  <c r="H355" i="1"/>
  <c r="H356" i="1" s="1"/>
  <c r="M353" i="1"/>
  <c r="M354" i="1" s="1"/>
  <c r="L353" i="1"/>
  <c r="L354" i="1" s="1"/>
  <c r="K353" i="1"/>
  <c r="K354" i="1" s="1"/>
  <c r="J353" i="1"/>
  <c r="J354" i="1" s="1"/>
  <c r="I353" i="1"/>
  <c r="I354" i="1" s="1"/>
  <c r="H353" i="1"/>
  <c r="H354" i="1" s="1"/>
  <c r="M351" i="1"/>
  <c r="M352" i="1" s="1"/>
  <c r="L351" i="1"/>
  <c r="L352" i="1" s="1"/>
  <c r="K351" i="1"/>
  <c r="K352" i="1" s="1"/>
  <c r="J351" i="1"/>
  <c r="J352" i="1" s="1"/>
  <c r="I351" i="1"/>
  <c r="I352" i="1" s="1"/>
  <c r="H351" i="1"/>
  <c r="H352" i="1" s="1"/>
  <c r="M349" i="1"/>
  <c r="M350" i="1" s="1"/>
  <c r="L349" i="1"/>
  <c r="L350" i="1" s="1"/>
  <c r="K349" i="1"/>
  <c r="K350" i="1" s="1"/>
  <c r="J349" i="1"/>
  <c r="J350" i="1" s="1"/>
  <c r="I349" i="1"/>
  <c r="I350" i="1" s="1"/>
  <c r="H349" i="1"/>
  <c r="H350" i="1" s="1"/>
  <c r="M347" i="1"/>
  <c r="M348" i="1" s="1"/>
  <c r="L347" i="1"/>
  <c r="L348" i="1" s="1"/>
  <c r="K347" i="1"/>
  <c r="K348" i="1" s="1"/>
  <c r="J347" i="1"/>
  <c r="J348" i="1" s="1"/>
  <c r="I347" i="1"/>
  <c r="I348" i="1" s="1"/>
  <c r="H347" i="1"/>
  <c r="H348" i="1" s="1"/>
  <c r="M345" i="1"/>
  <c r="M346" i="1" s="1"/>
  <c r="L345" i="1"/>
  <c r="L346" i="1" s="1"/>
  <c r="K345" i="1"/>
  <c r="K346" i="1" s="1"/>
  <c r="J345" i="1"/>
  <c r="J346" i="1" s="1"/>
  <c r="I345" i="1"/>
  <c r="I346" i="1" s="1"/>
  <c r="H345" i="1"/>
  <c r="H346" i="1" s="1"/>
  <c r="M343" i="1"/>
  <c r="M344" i="1" s="1"/>
  <c r="L343" i="1"/>
  <c r="L344" i="1" s="1"/>
  <c r="K343" i="1"/>
  <c r="K344" i="1" s="1"/>
  <c r="J343" i="1"/>
  <c r="J344" i="1" s="1"/>
  <c r="I343" i="1"/>
  <c r="I344" i="1" s="1"/>
  <c r="H343" i="1"/>
  <c r="H344" i="1" s="1"/>
  <c r="M341" i="1"/>
  <c r="M342" i="1" s="1"/>
  <c r="L341" i="1"/>
  <c r="L342" i="1" s="1"/>
  <c r="K341" i="1"/>
  <c r="K342" i="1" s="1"/>
  <c r="J341" i="1"/>
  <c r="J342" i="1" s="1"/>
  <c r="I341" i="1"/>
  <c r="I342" i="1" s="1"/>
  <c r="H341" i="1"/>
  <c r="H342" i="1" s="1"/>
  <c r="M339" i="1"/>
  <c r="M340" i="1" s="1"/>
  <c r="L339" i="1"/>
  <c r="L340" i="1" s="1"/>
  <c r="K339" i="1"/>
  <c r="K340" i="1" s="1"/>
  <c r="J339" i="1"/>
  <c r="J340" i="1" s="1"/>
  <c r="I339" i="1"/>
  <c r="I340" i="1" s="1"/>
  <c r="H339" i="1"/>
  <c r="H340" i="1" s="1"/>
  <c r="M337" i="1"/>
  <c r="M338" i="1" s="1"/>
  <c r="L337" i="1"/>
  <c r="L338" i="1" s="1"/>
  <c r="K337" i="1"/>
  <c r="K338" i="1" s="1"/>
  <c r="J337" i="1"/>
  <c r="J338" i="1" s="1"/>
  <c r="I337" i="1"/>
  <c r="I338" i="1" s="1"/>
  <c r="H337" i="1"/>
  <c r="H338" i="1" s="1"/>
  <c r="M335" i="1"/>
  <c r="M336" i="1" s="1"/>
  <c r="L335" i="1"/>
  <c r="L336" i="1" s="1"/>
  <c r="K335" i="1"/>
  <c r="K336" i="1" s="1"/>
  <c r="J335" i="1"/>
  <c r="J336" i="1" s="1"/>
  <c r="I335" i="1"/>
  <c r="I336" i="1" s="1"/>
  <c r="H335" i="1"/>
  <c r="H336" i="1" s="1"/>
  <c r="M333" i="1"/>
  <c r="M334" i="1" s="1"/>
  <c r="L333" i="1"/>
  <c r="L334" i="1" s="1"/>
  <c r="K333" i="1"/>
  <c r="K334" i="1" s="1"/>
  <c r="J333" i="1"/>
  <c r="J334" i="1" s="1"/>
  <c r="I333" i="1"/>
  <c r="I334" i="1" s="1"/>
  <c r="H333" i="1"/>
  <c r="H334" i="1" s="1"/>
  <c r="M331" i="1"/>
  <c r="M332" i="1" s="1"/>
  <c r="L331" i="1"/>
  <c r="L332" i="1" s="1"/>
  <c r="K331" i="1"/>
  <c r="K332" i="1" s="1"/>
  <c r="J331" i="1"/>
  <c r="J332" i="1" s="1"/>
  <c r="I331" i="1"/>
  <c r="I332" i="1" s="1"/>
  <c r="H331" i="1"/>
  <c r="H332" i="1" s="1"/>
  <c r="M329" i="1"/>
  <c r="M330" i="1" s="1"/>
  <c r="L329" i="1"/>
  <c r="L330" i="1" s="1"/>
  <c r="K329" i="1"/>
  <c r="K330" i="1" s="1"/>
  <c r="J329" i="1"/>
  <c r="J330" i="1" s="1"/>
  <c r="I329" i="1"/>
  <c r="I330" i="1" s="1"/>
  <c r="H329" i="1"/>
  <c r="H330" i="1" s="1"/>
  <c r="M327" i="1"/>
  <c r="M328" i="1" s="1"/>
  <c r="L327" i="1"/>
  <c r="L328" i="1" s="1"/>
  <c r="K327" i="1"/>
  <c r="K328" i="1" s="1"/>
  <c r="J327" i="1"/>
  <c r="J328" i="1" s="1"/>
  <c r="I327" i="1"/>
  <c r="I328" i="1" s="1"/>
  <c r="H327" i="1"/>
  <c r="H328" i="1" s="1"/>
  <c r="M325" i="1"/>
  <c r="M326" i="1" s="1"/>
  <c r="L325" i="1"/>
  <c r="L326" i="1" s="1"/>
  <c r="K325" i="1"/>
  <c r="K326" i="1" s="1"/>
  <c r="J325" i="1"/>
  <c r="J326" i="1" s="1"/>
  <c r="I325" i="1"/>
  <c r="I326" i="1" s="1"/>
  <c r="H325" i="1"/>
  <c r="H326" i="1" s="1"/>
  <c r="M323" i="1"/>
  <c r="M324" i="1" s="1"/>
  <c r="L323" i="1"/>
  <c r="L324" i="1" s="1"/>
  <c r="K323" i="1"/>
  <c r="K324" i="1" s="1"/>
  <c r="J323" i="1"/>
  <c r="J324" i="1" s="1"/>
  <c r="I323" i="1"/>
  <c r="I324" i="1" s="1"/>
  <c r="H323" i="1"/>
  <c r="H324" i="1" s="1"/>
  <c r="M321" i="1"/>
  <c r="M322" i="1" s="1"/>
  <c r="L321" i="1"/>
  <c r="L322" i="1" s="1"/>
  <c r="K321" i="1"/>
  <c r="K322" i="1" s="1"/>
  <c r="J321" i="1"/>
  <c r="J322" i="1" s="1"/>
  <c r="I321" i="1"/>
  <c r="I322" i="1" s="1"/>
  <c r="H321" i="1"/>
  <c r="H322" i="1" s="1"/>
  <c r="M319" i="1"/>
  <c r="M320" i="1" s="1"/>
  <c r="L319" i="1"/>
  <c r="L320" i="1" s="1"/>
  <c r="K319" i="1"/>
  <c r="K320" i="1" s="1"/>
  <c r="J319" i="1"/>
  <c r="J320" i="1" s="1"/>
  <c r="I319" i="1"/>
  <c r="I320" i="1" s="1"/>
  <c r="H319" i="1"/>
  <c r="H320" i="1" s="1"/>
  <c r="M317" i="1"/>
  <c r="M318" i="1" s="1"/>
  <c r="L317" i="1"/>
  <c r="L318" i="1" s="1"/>
  <c r="K317" i="1"/>
  <c r="K318" i="1" s="1"/>
  <c r="J317" i="1"/>
  <c r="J318" i="1" s="1"/>
  <c r="I317" i="1"/>
  <c r="I318" i="1" s="1"/>
  <c r="H317" i="1"/>
  <c r="H318" i="1" s="1"/>
  <c r="M315" i="1"/>
  <c r="M316" i="1" s="1"/>
  <c r="L315" i="1"/>
  <c r="L316" i="1" s="1"/>
  <c r="K315" i="1"/>
  <c r="K316" i="1" s="1"/>
  <c r="J315" i="1"/>
  <c r="J316" i="1" s="1"/>
  <c r="I315" i="1"/>
  <c r="I316" i="1" s="1"/>
  <c r="H315" i="1"/>
  <c r="H316" i="1" s="1"/>
  <c r="M313" i="1"/>
  <c r="M314" i="1" s="1"/>
  <c r="L313" i="1"/>
  <c r="L314" i="1" s="1"/>
  <c r="K313" i="1"/>
  <c r="K314" i="1" s="1"/>
  <c r="J313" i="1"/>
  <c r="J314" i="1" s="1"/>
  <c r="I313" i="1"/>
  <c r="I314" i="1" s="1"/>
  <c r="H313" i="1"/>
  <c r="H314" i="1" s="1"/>
  <c r="M311" i="1"/>
  <c r="M312" i="1" s="1"/>
  <c r="L311" i="1"/>
  <c r="L312" i="1" s="1"/>
  <c r="K311" i="1"/>
  <c r="K312" i="1" s="1"/>
  <c r="J311" i="1"/>
  <c r="J312" i="1" s="1"/>
  <c r="I311" i="1"/>
  <c r="I312" i="1" s="1"/>
  <c r="H311" i="1"/>
  <c r="H312" i="1" s="1"/>
  <c r="M309" i="1"/>
  <c r="M310" i="1" s="1"/>
  <c r="L309" i="1"/>
  <c r="L310" i="1" s="1"/>
  <c r="K309" i="1"/>
  <c r="K310" i="1" s="1"/>
  <c r="J309" i="1"/>
  <c r="J310" i="1" s="1"/>
  <c r="I309" i="1"/>
  <c r="I310" i="1" s="1"/>
  <c r="H309" i="1"/>
  <c r="H310" i="1" s="1"/>
  <c r="M307" i="1"/>
  <c r="M308" i="1" s="1"/>
  <c r="L307" i="1"/>
  <c r="L308" i="1" s="1"/>
  <c r="K307" i="1"/>
  <c r="K308" i="1" s="1"/>
  <c r="J307" i="1"/>
  <c r="J308" i="1" s="1"/>
  <c r="I307" i="1"/>
  <c r="I308" i="1" s="1"/>
  <c r="H307" i="1"/>
  <c r="H308" i="1" s="1"/>
  <c r="M305" i="1"/>
  <c r="M306" i="1" s="1"/>
  <c r="L305" i="1"/>
  <c r="L306" i="1" s="1"/>
  <c r="K305" i="1"/>
  <c r="K306" i="1" s="1"/>
  <c r="J305" i="1"/>
  <c r="J306" i="1" s="1"/>
  <c r="I305" i="1"/>
  <c r="I306" i="1" s="1"/>
  <c r="H305" i="1"/>
  <c r="H306" i="1" s="1"/>
  <c r="M303" i="1"/>
  <c r="M304" i="1" s="1"/>
  <c r="L303" i="1"/>
  <c r="L304" i="1" s="1"/>
  <c r="K303" i="1"/>
  <c r="K304" i="1" s="1"/>
  <c r="J303" i="1"/>
  <c r="J304" i="1" s="1"/>
  <c r="I303" i="1"/>
  <c r="I304" i="1" s="1"/>
  <c r="H303" i="1"/>
  <c r="H304" i="1" s="1"/>
  <c r="M301" i="1"/>
  <c r="M302" i="1" s="1"/>
  <c r="L301" i="1"/>
  <c r="L302" i="1" s="1"/>
  <c r="K301" i="1"/>
  <c r="K302" i="1" s="1"/>
  <c r="J301" i="1"/>
  <c r="J302" i="1" s="1"/>
  <c r="I301" i="1"/>
  <c r="I302" i="1" s="1"/>
  <c r="H301" i="1"/>
  <c r="H302" i="1" s="1"/>
  <c r="M299" i="1"/>
  <c r="M300" i="1" s="1"/>
  <c r="L299" i="1"/>
  <c r="L300" i="1" s="1"/>
  <c r="K299" i="1"/>
  <c r="K300" i="1" s="1"/>
  <c r="J299" i="1"/>
  <c r="J300" i="1" s="1"/>
  <c r="I299" i="1"/>
  <c r="I300" i="1" s="1"/>
  <c r="H299" i="1"/>
  <c r="H300" i="1" s="1"/>
  <c r="M297" i="1"/>
  <c r="M298" i="1" s="1"/>
  <c r="L297" i="1"/>
  <c r="L298" i="1" s="1"/>
  <c r="K297" i="1"/>
  <c r="K298" i="1" s="1"/>
  <c r="J297" i="1"/>
  <c r="J298" i="1" s="1"/>
  <c r="I297" i="1"/>
  <c r="I298" i="1" s="1"/>
  <c r="H297" i="1"/>
  <c r="H298" i="1" s="1"/>
  <c r="M295" i="1"/>
  <c r="M296" i="1" s="1"/>
  <c r="L295" i="1"/>
  <c r="L296" i="1" s="1"/>
  <c r="K295" i="1"/>
  <c r="K296" i="1" s="1"/>
  <c r="J295" i="1"/>
  <c r="J296" i="1" s="1"/>
  <c r="I295" i="1"/>
  <c r="I296" i="1" s="1"/>
  <c r="H295" i="1"/>
  <c r="H296" i="1" s="1"/>
  <c r="M293" i="1"/>
  <c r="M294" i="1" s="1"/>
  <c r="L293" i="1"/>
  <c r="L294" i="1" s="1"/>
  <c r="K293" i="1"/>
  <c r="K294" i="1" s="1"/>
  <c r="J293" i="1"/>
  <c r="J294" i="1" s="1"/>
  <c r="I293" i="1"/>
  <c r="I294" i="1" s="1"/>
  <c r="H293" i="1"/>
  <c r="H294" i="1" s="1"/>
  <c r="M291" i="1"/>
  <c r="M292" i="1" s="1"/>
  <c r="L291" i="1"/>
  <c r="L292" i="1" s="1"/>
  <c r="K291" i="1"/>
  <c r="K292" i="1" s="1"/>
  <c r="J291" i="1"/>
  <c r="J292" i="1" s="1"/>
  <c r="I291" i="1"/>
  <c r="I292" i="1" s="1"/>
  <c r="H291" i="1"/>
  <c r="H292" i="1" s="1"/>
  <c r="M289" i="1"/>
  <c r="M290" i="1" s="1"/>
  <c r="L289" i="1"/>
  <c r="L290" i="1" s="1"/>
  <c r="K289" i="1"/>
  <c r="K290" i="1" s="1"/>
  <c r="J289" i="1"/>
  <c r="J290" i="1" s="1"/>
  <c r="I289" i="1"/>
  <c r="I290" i="1" s="1"/>
  <c r="H289" i="1"/>
  <c r="H290" i="1" s="1"/>
  <c r="M287" i="1"/>
  <c r="M288" i="1" s="1"/>
  <c r="L287" i="1"/>
  <c r="L288" i="1" s="1"/>
  <c r="K287" i="1"/>
  <c r="K288" i="1" s="1"/>
  <c r="J287" i="1"/>
  <c r="J288" i="1" s="1"/>
  <c r="I287" i="1"/>
  <c r="I288" i="1" s="1"/>
  <c r="H287" i="1"/>
  <c r="H288" i="1" s="1"/>
  <c r="M285" i="1"/>
  <c r="M286" i="1" s="1"/>
  <c r="L285" i="1"/>
  <c r="L286" i="1" s="1"/>
  <c r="K285" i="1"/>
  <c r="K286" i="1" s="1"/>
  <c r="J285" i="1"/>
  <c r="J286" i="1" s="1"/>
  <c r="I285" i="1"/>
  <c r="I286" i="1" s="1"/>
  <c r="H285" i="1"/>
  <c r="H286" i="1" s="1"/>
  <c r="M283" i="1"/>
  <c r="M284" i="1" s="1"/>
  <c r="L283" i="1"/>
  <c r="L284" i="1" s="1"/>
  <c r="K283" i="1"/>
  <c r="K284" i="1" s="1"/>
  <c r="J283" i="1"/>
  <c r="J284" i="1" s="1"/>
  <c r="I283" i="1"/>
  <c r="I284" i="1" s="1"/>
  <c r="H283" i="1"/>
  <c r="H284" i="1" s="1"/>
  <c r="M281" i="1"/>
  <c r="M282" i="1" s="1"/>
  <c r="L281" i="1"/>
  <c r="L282" i="1" s="1"/>
  <c r="K281" i="1"/>
  <c r="K282" i="1" s="1"/>
  <c r="J281" i="1"/>
  <c r="J282" i="1" s="1"/>
  <c r="I281" i="1"/>
  <c r="I282" i="1" s="1"/>
  <c r="H281" i="1"/>
  <c r="H282" i="1" s="1"/>
  <c r="M279" i="1"/>
  <c r="M280" i="1" s="1"/>
  <c r="L279" i="1"/>
  <c r="L280" i="1" s="1"/>
  <c r="K279" i="1"/>
  <c r="K280" i="1" s="1"/>
  <c r="J279" i="1"/>
  <c r="J280" i="1" s="1"/>
  <c r="I279" i="1"/>
  <c r="I280" i="1" s="1"/>
  <c r="H279" i="1"/>
  <c r="H280" i="1" s="1"/>
  <c r="M277" i="1"/>
  <c r="M278" i="1" s="1"/>
  <c r="L277" i="1"/>
  <c r="L278" i="1" s="1"/>
  <c r="K277" i="1"/>
  <c r="K278" i="1" s="1"/>
  <c r="J277" i="1"/>
  <c r="J278" i="1" s="1"/>
  <c r="I277" i="1"/>
  <c r="I278" i="1" s="1"/>
  <c r="H277" i="1"/>
  <c r="H278" i="1" s="1"/>
  <c r="M275" i="1"/>
  <c r="M276" i="1" s="1"/>
  <c r="L275" i="1"/>
  <c r="L276" i="1" s="1"/>
  <c r="K275" i="1"/>
  <c r="K276" i="1" s="1"/>
  <c r="J275" i="1"/>
  <c r="J276" i="1" s="1"/>
  <c r="I275" i="1"/>
  <c r="I276" i="1" s="1"/>
  <c r="H275" i="1"/>
  <c r="H276" i="1" s="1"/>
  <c r="M273" i="1"/>
  <c r="M274" i="1" s="1"/>
  <c r="L273" i="1"/>
  <c r="L274" i="1" s="1"/>
  <c r="K273" i="1"/>
  <c r="K274" i="1" s="1"/>
  <c r="J273" i="1"/>
  <c r="J274" i="1" s="1"/>
  <c r="I273" i="1"/>
  <c r="I274" i="1" s="1"/>
  <c r="H273" i="1"/>
  <c r="H274" i="1" s="1"/>
  <c r="M271" i="1"/>
  <c r="M272" i="1" s="1"/>
  <c r="L271" i="1"/>
  <c r="L272" i="1" s="1"/>
  <c r="K271" i="1"/>
  <c r="K272" i="1" s="1"/>
  <c r="J271" i="1"/>
  <c r="J272" i="1" s="1"/>
  <c r="I271" i="1"/>
  <c r="I272" i="1" s="1"/>
  <c r="H271" i="1"/>
  <c r="H272" i="1" s="1"/>
  <c r="M269" i="1"/>
  <c r="M270" i="1" s="1"/>
  <c r="L269" i="1"/>
  <c r="L270" i="1" s="1"/>
  <c r="K269" i="1"/>
  <c r="K270" i="1" s="1"/>
  <c r="J269" i="1"/>
  <c r="J270" i="1" s="1"/>
  <c r="I269" i="1"/>
  <c r="I270" i="1" s="1"/>
  <c r="H269" i="1"/>
  <c r="H270" i="1" s="1"/>
  <c r="M267" i="1"/>
  <c r="M268" i="1" s="1"/>
  <c r="L267" i="1"/>
  <c r="L268" i="1" s="1"/>
  <c r="K267" i="1"/>
  <c r="K268" i="1" s="1"/>
  <c r="J267" i="1"/>
  <c r="J268" i="1" s="1"/>
  <c r="I267" i="1"/>
  <c r="I268" i="1" s="1"/>
  <c r="H267" i="1"/>
  <c r="H268" i="1" s="1"/>
  <c r="M265" i="1"/>
  <c r="M266" i="1" s="1"/>
  <c r="L265" i="1"/>
  <c r="L266" i="1" s="1"/>
  <c r="K265" i="1"/>
  <c r="K266" i="1" s="1"/>
  <c r="J265" i="1"/>
  <c r="J266" i="1" s="1"/>
  <c r="I265" i="1"/>
  <c r="I266" i="1" s="1"/>
  <c r="H265" i="1"/>
  <c r="H266" i="1" s="1"/>
  <c r="M263" i="1"/>
  <c r="M264" i="1" s="1"/>
  <c r="L263" i="1"/>
  <c r="L264" i="1" s="1"/>
  <c r="K263" i="1"/>
  <c r="K264" i="1" s="1"/>
  <c r="J263" i="1"/>
  <c r="J264" i="1" s="1"/>
  <c r="I263" i="1"/>
  <c r="I264" i="1" s="1"/>
  <c r="H263" i="1"/>
  <c r="H264" i="1" s="1"/>
  <c r="M261" i="1"/>
  <c r="M262" i="1" s="1"/>
  <c r="L261" i="1"/>
  <c r="L262" i="1" s="1"/>
  <c r="K261" i="1"/>
  <c r="K262" i="1" s="1"/>
  <c r="J261" i="1"/>
  <c r="J262" i="1" s="1"/>
  <c r="I261" i="1"/>
  <c r="I262" i="1" s="1"/>
  <c r="H261" i="1"/>
  <c r="H262" i="1" s="1"/>
  <c r="M259" i="1"/>
  <c r="M260" i="1" s="1"/>
  <c r="L259" i="1"/>
  <c r="L260" i="1" s="1"/>
  <c r="K259" i="1"/>
  <c r="K260" i="1" s="1"/>
  <c r="J259" i="1"/>
  <c r="J260" i="1" s="1"/>
  <c r="I259" i="1"/>
  <c r="I260" i="1" s="1"/>
  <c r="H259" i="1"/>
  <c r="H260" i="1" s="1"/>
  <c r="M257" i="1"/>
  <c r="M258" i="1" s="1"/>
  <c r="L257" i="1"/>
  <c r="L258" i="1" s="1"/>
  <c r="K257" i="1"/>
  <c r="K258" i="1" s="1"/>
  <c r="J257" i="1"/>
  <c r="J258" i="1" s="1"/>
  <c r="I257" i="1"/>
  <c r="I258" i="1" s="1"/>
  <c r="H257" i="1"/>
  <c r="H258" i="1" s="1"/>
  <c r="M255" i="1"/>
  <c r="M256" i="1" s="1"/>
  <c r="L255" i="1"/>
  <c r="L256" i="1" s="1"/>
  <c r="K255" i="1"/>
  <c r="K256" i="1" s="1"/>
  <c r="J255" i="1"/>
  <c r="J256" i="1" s="1"/>
  <c r="I255" i="1"/>
  <c r="I256" i="1" s="1"/>
  <c r="H255" i="1"/>
  <c r="H256" i="1" s="1"/>
  <c r="M253" i="1"/>
  <c r="M254" i="1" s="1"/>
  <c r="L253" i="1"/>
  <c r="L254" i="1" s="1"/>
  <c r="K253" i="1"/>
  <c r="K254" i="1" s="1"/>
  <c r="J253" i="1"/>
  <c r="J254" i="1" s="1"/>
  <c r="I253" i="1"/>
  <c r="I254" i="1" s="1"/>
  <c r="H253" i="1"/>
  <c r="H254" i="1" s="1"/>
  <c r="M251" i="1"/>
  <c r="M252" i="1" s="1"/>
  <c r="L251" i="1"/>
  <c r="L252" i="1" s="1"/>
  <c r="K251" i="1"/>
  <c r="K252" i="1" s="1"/>
  <c r="J251" i="1"/>
  <c r="J252" i="1" s="1"/>
  <c r="I251" i="1"/>
  <c r="I252" i="1" s="1"/>
  <c r="H251" i="1"/>
  <c r="H252" i="1" s="1"/>
  <c r="M249" i="1"/>
  <c r="M250" i="1" s="1"/>
  <c r="L249" i="1"/>
  <c r="L250" i="1" s="1"/>
  <c r="K249" i="1"/>
  <c r="K250" i="1" s="1"/>
  <c r="J249" i="1"/>
  <c r="J250" i="1" s="1"/>
  <c r="I249" i="1"/>
  <c r="I250" i="1" s="1"/>
  <c r="H249" i="1"/>
  <c r="H250" i="1" s="1"/>
  <c r="M247" i="1"/>
  <c r="M248" i="1" s="1"/>
  <c r="L247" i="1"/>
  <c r="L248" i="1" s="1"/>
  <c r="K247" i="1"/>
  <c r="K248" i="1" s="1"/>
  <c r="J247" i="1"/>
  <c r="J248" i="1" s="1"/>
  <c r="I247" i="1"/>
  <c r="I248" i="1" s="1"/>
  <c r="H247" i="1"/>
  <c r="H248" i="1" s="1"/>
  <c r="M245" i="1"/>
  <c r="M246" i="1" s="1"/>
  <c r="L245" i="1"/>
  <c r="L246" i="1" s="1"/>
  <c r="K245" i="1"/>
  <c r="K246" i="1" s="1"/>
  <c r="J245" i="1"/>
  <c r="J246" i="1" s="1"/>
  <c r="I245" i="1"/>
  <c r="I246" i="1" s="1"/>
  <c r="H245" i="1"/>
  <c r="H246" i="1" s="1"/>
  <c r="M243" i="1"/>
  <c r="M244" i="1" s="1"/>
  <c r="L243" i="1"/>
  <c r="L244" i="1" s="1"/>
  <c r="K243" i="1"/>
  <c r="K244" i="1" s="1"/>
  <c r="J243" i="1"/>
  <c r="J244" i="1" s="1"/>
  <c r="I243" i="1"/>
  <c r="I244" i="1" s="1"/>
  <c r="H243" i="1"/>
  <c r="H244" i="1" s="1"/>
  <c r="M241" i="1"/>
  <c r="M242" i="1" s="1"/>
  <c r="L241" i="1"/>
  <c r="L242" i="1" s="1"/>
  <c r="K241" i="1"/>
  <c r="K242" i="1" s="1"/>
  <c r="J241" i="1"/>
  <c r="J242" i="1" s="1"/>
  <c r="I241" i="1"/>
  <c r="I242" i="1" s="1"/>
  <c r="H241" i="1"/>
  <c r="H242" i="1" s="1"/>
  <c r="M239" i="1"/>
  <c r="M240" i="1" s="1"/>
  <c r="L239" i="1"/>
  <c r="L240" i="1" s="1"/>
  <c r="K239" i="1"/>
  <c r="K240" i="1" s="1"/>
  <c r="J239" i="1"/>
  <c r="J240" i="1" s="1"/>
  <c r="I239" i="1"/>
  <c r="I240" i="1" s="1"/>
  <c r="H239" i="1"/>
  <c r="H240" i="1" s="1"/>
  <c r="M237" i="1"/>
  <c r="M238" i="1" s="1"/>
  <c r="L237" i="1"/>
  <c r="L238" i="1" s="1"/>
  <c r="K237" i="1"/>
  <c r="K238" i="1" s="1"/>
  <c r="J237" i="1"/>
  <c r="J238" i="1" s="1"/>
  <c r="I237" i="1"/>
  <c r="I238" i="1" s="1"/>
  <c r="H237" i="1"/>
  <c r="H238" i="1" s="1"/>
  <c r="M235" i="1"/>
  <c r="M236" i="1" s="1"/>
  <c r="L235" i="1"/>
  <c r="L236" i="1" s="1"/>
  <c r="K235" i="1"/>
  <c r="K236" i="1" s="1"/>
  <c r="J235" i="1"/>
  <c r="J236" i="1" s="1"/>
  <c r="I235" i="1"/>
  <c r="I236" i="1" s="1"/>
  <c r="H235" i="1"/>
  <c r="H236" i="1" s="1"/>
  <c r="M233" i="1"/>
  <c r="M234" i="1" s="1"/>
  <c r="L233" i="1"/>
  <c r="L234" i="1" s="1"/>
  <c r="K233" i="1"/>
  <c r="K234" i="1" s="1"/>
  <c r="J233" i="1"/>
  <c r="J234" i="1" s="1"/>
  <c r="I233" i="1"/>
  <c r="I234" i="1" s="1"/>
  <c r="H233" i="1"/>
  <c r="H234" i="1" s="1"/>
  <c r="M231" i="1"/>
  <c r="M232" i="1" s="1"/>
  <c r="L231" i="1"/>
  <c r="L232" i="1" s="1"/>
  <c r="K231" i="1"/>
  <c r="K232" i="1" s="1"/>
  <c r="J231" i="1"/>
  <c r="J232" i="1" s="1"/>
  <c r="I231" i="1"/>
  <c r="I232" i="1" s="1"/>
  <c r="H231" i="1"/>
  <c r="H232" i="1" s="1"/>
  <c r="M229" i="1"/>
  <c r="M230" i="1" s="1"/>
  <c r="L229" i="1"/>
  <c r="L230" i="1" s="1"/>
  <c r="K229" i="1"/>
  <c r="K230" i="1" s="1"/>
  <c r="J229" i="1"/>
  <c r="J230" i="1" s="1"/>
  <c r="I229" i="1"/>
  <c r="I230" i="1" s="1"/>
  <c r="H229" i="1"/>
  <c r="H230" i="1" s="1"/>
  <c r="M227" i="1"/>
  <c r="M228" i="1" s="1"/>
  <c r="L227" i="1"/>
  <c r="L228" i="1" s="1"/>
  <c r="K227" i="1"/>
  <c r="K228" i="1" s="1"/>
  <c r="J227" i="1"/>
  <c r="J228" i="1" s="1"/>
  <c r="I227" i="1"/>
  <c r="I228" i="1" s="1"/>
  <c r="H227" i="1"/>
  <c r="H228" i="1" s="1"/>
  <c r="M225" i="1"/>
  <c r="M226" i="1" s="1"/>
  <c r="L225" i="1"/>
  <c r="L226" i="1" s="1"/>
  <c r="K225" i="1"/>
  <c r="K226" i="1" s="1"/>
  <c r="J225" i="1"/>
  <c r="J226" i="1" s="1"/>
  <c r="I225" i="1"/>
  <c r="I226" i="1" s="1"/>
  <c r="H225" i="1"/>
  <c r="H226" i="1" s="1"/>
  <c r="M223" i="1"/>
  <c r="M224" i="1" s="1"/>
  <c r="L223" i="1"/>
  <c r="L224" i="1" s="1"/>
  <c r="K223" i="1"/>
  <c r="K224" i="1" s="1"/>
  <c r="J223" i="1"/>
  <c r="J224" i="1" s="1"/>
  <c r="I223" i="1"/>
  <c r="I224" i="1" s="1"/>
  <c r="H223" i="1"/>
  <c r="H224" i="1" s="1"/>
  <c r="M221" i="1"/>
  <c r="M222" i="1" s="1"/>
  <c r="L221" i="1"/>
  <c r="L222" i="1" s="1"/>
  <c r="K221" i="1"/>
  <c r="K222" i="1" s="1"/>
  <c r="J221" i="1"/>
  <c r="J222" i="1" s="1"/>
  <c r="I221" i="1"/>
  <c r="I222" i="1" s="1"/>
  <c r="H221" i="1"/>
  <c r="H222" i="1" s="1"/>
  <c r="M219" i="1"/>
  <c r="M220" i="1" s="1"/>
  <c r="L219" i="1"/>
  <c r="L220" i="1" s="1"/>
  <c r="K219" i="1"/>
  <c r="K220" i="1" s="1"/>
  <c r="J219" i="1"/>
  <c r="J220" i="1" s="1"/>
  <c r="I219" i="1"/>
  <c r="I220" i="1" s="1"/>
  <c r="H219" i="1"/>
  <c r="H220" i="1" s="1"/>
  <c r="M217" i="1"/>
  <c r="M218" i="1" s="1"/>
  <c r="L217" i="1"/>
  <c r="L218" i="1" s="1"/>
  <c r="K217" i="1"/>
  <c r="K218" i="1" s="1"/>
  <c r="J217" i="1"/>
  <c r="J218" i="1" s="1"/>
  <c r="I217" i="1"/>
  <c r="I218" i="1" s="1"/>
  <c r="H217" i="1"/>
  <c r="H218" i="1" s="1"/>
  <c r="M215" i="1"/>
  <c r="M216" i="1" s="1"/>
  <c r="L215" i="1"/>
  <c r="L216" i="1" s="1"/>
  <c r="K215" i="1"/>
  <c r="K216" i="1" s="1"/>
  <c r="J215" i="1"/>
  <c r="J216" i="1" s="1"/>
  <c r="I215" i="1"/>
  <c r="I216" i="1" s="1"/>
  <c r="H215" i="1"/>
  <c r="H216" i="1" s="1"/>
  <c r="M213" i="1"/>
  <c r="M214" i="1" s="1"/>
  <c r="L213" i="1"/>
  <c r="L214" i="1" s="1"/>
  <c r="K213" i="1"/>
  <c r="K214" i="1" s="1"/>
  <c r="J213" i="1"/>
  <c r="J214" i="1" s="1"/>
  <c r="I213" i="1"/>
  <c r="I214" i="1" s="1"/>
  <c r="H213" i="1"/>
  <c r="H214" i="1" s="1"/>
  <c r="M211" i="1"/>
  <c r="M212" i="1" s="1"/>
  <c r="L211" i="1"/>
  <c r="L212" i="1" s="1"/>
  <c r="K211" i="1"/>
  <c r="K212" i="1" s="1"/>
  <c r="J211" i="1"/>
  <c r="J212" i="1" s="1"/>
  <c r="I211" i="1"/>
  <c r="I212" i="1" s="1"/>
  <c r="H211" i="1"/>
  <c r="H212" i="1" s="1"/>
  <c r="M209" i="1"/>
  <c r="M210" i="1" s="1"/>
  <c r="L209" i="1"/>
  <c r="L210" i="1" s="1"/>
  <c r="K209" i="1"/>
  <c r="K210" i="1" s="1"/>
  <c r="J209" i="1"/>
  <c r="J210" i="1" s="1"/>
  <c r="I209" i="1"/>
  <c r="I210" i="1" s="1"/>
  <c r="H209" i="1"/>
  <c r="H210" i="1" s="1"/>
  <c r="M207" i="1"/>
  <c r="M208" i="1" s="1"/>
  <c r="L207" i="1"/>
  <c r="L208" i="1" s="1"/>
  <c r="K207" i="1"/>
  <c r="K208" i="1" s="1"/>
  <c r="J207" i="1"/>
  <c r="J208" i="1" s="1"/>
  <c r="I207" i="1"/>
  <c r="I208" i="1" s="1"/>
  <c r="H207" i="1"/>
  <c r="H208" i="1" s="1"/>
  <c r="M205" i="1"/>
  <c r="M206" i="1" s="1"/>
  <c r="L205" i="1"/>
  <c r="L206" i="1" s="1"/>
  <c r="K205" i="1"/>
  <c r="K206" i="1" s="1"/>
  <c r="J205" i="1"/>
  <c r="J206" i="1" s="1"/>
  <c r="I205" i="1"/>
  <c r="I206" i="1" s="1"/>
  <c r="H205" i="1"/>
  <c r="H206" i="1" s="1"/>
  <c r="M203" i="1"/>
  <c r="M204" i="1" s="1"/>
  <c r="L203" i="1"/>
  <c r="L204" i="1" s="1"/>
  <c r="K203" i="1"/>
  <c r="K204" i="1" s="1"/>
  <c r="J203" i="1"/>
  <c r="J204" i="1" s="1"/>
  <c r="I203" i="1"/>
  <c r="I204" i="1" s="1"/>
  <c r="H203" i="1"/>
  <c r="H204" i="1" s="1"/>
  <c r="M201" i="1"/>
  <c r="M202" i="1" s="1"/>
  <c r="L201" i="1"/>
  <c r="L202" i="1" s="1"/>
  <c r="K201" i="1"/>
  <c r="K202" i="1" s="1"/>
  <c r="J201" i="1"/>
  <c r="J202" i="1" s="1"/>
  <c r="I201" i="1"/>
  <c r="I202" i="1" s="1"/>
  <c r="H201" i="1"/>
  <c r="H202" i="1" s="1"/>
  <c r="M199" i="1"/>
  <c r="M200" i="1" s="1"/>
  <c r="L199" i="1"/>
  <c r="L200" i="1" s="1"/>
  <c r="K199" i="1"/>
  <c r="K200" i="1" s="1"/>
  <c r="J199" i="1"/>
  <c r="J200" i="1" s="1"/>
  <c r="I199" i="1"/>
  <c r="I200" i="1" s="1"/>
  <c r="H199" i="1"/>
  <c r="H200" i="1" s="1"/>
  <c r="M197" i="1"/>
  <c r="M198" i="1" s="1"/>
  <c r="L197" i="1"/>
  <c r="L198" i="1" s="1"/>
  <c r="K197" i="1"/>
  <c r="K198" i="1" s="1"/>
  <c r="J197" i="1"/>
  <c r="J198" i="1" s="1"/>
  <c r="I197" i="1"/>
  <c r="I198" i="1" s="1"/>
  <c r="H197" i="1"/>
  <c r="H198" i="1" s="1"/>
  <c r="M195" i="1"/>
  <c r="M196" i="1" s="1"/>
  <c r="L195" i="1"/>
  <c r="L196" i="1" s="1"/>
  <c r="K195" i="1"/>
  <c r="K196" i="1" s="1"/>
  <c r="J195" i="1"/>
  <c r="J196" i="1" s="1"/>
  <c r="I195" i="1"/>
  <c r="I196" i="1" s="1"/>
  <c r="H195" i="1"/>
  <c r="H196" i="1" s="1"/>
  <c r="M193" i="1"/>
  <c r="M194" i="1" s="1"/>
  <c r="L193" i="1"/>
  <c r="L194" i="1" s="1"/>
  <c r="K193" i="1"/>
  <c r="K194" i="1" s="1"/>
  <c r="J193" i="1"/>
  <c r="J194" i="1" s="1"/>
  <c r="I193" i="1"/>
  <c r="I194" i="1" s="1"/>
  <c r="H193" i="1"/>
  <c r="H194" i="1" s="1"/>
  <c r="M191" i="1"/>
  <c r="M192" i="1" s="1"/>
  <c r="L191" i="1"/>
  <c r="L192" i="1" s="1"/>
  <c r="K191" i="1"/>
  <c r="K192" i="1" s="1"/>
  <c r="J191" i="1"/>
  <c r="J192" i="1" s="1"/>
  <c r="I191" i="1"/>
  <c r="I192" i="1" s="1"/>
  <c r="H191" i="1"/>
  <c r="H192" i="1" s="1"/>
  <c r="M189" i="1"/>
  <c r="M190" i="1" s="1"/>
  <c r="L189" i="1"/>
  <c r="L190" i="1" s="1"/>
  <c r="K189" i="1"/>
  <c r="K190" i="1" s="1"/>
  <c r="J189" i="1"/>
  <c r="J190" i="1" s="1"/>
  <c r="I189" i="1"/>
  <c r="I190" i="1" s="1"/>
  <c r="H189" i="1"/>
  <c r="H190" i="1" s="1"/>
  <c r="M187" i="1"/>
  <c r="M188" i="1" s="1"/>
  <c r="L187" i="1"/>
  <c r="L188" i="1" s="1"/>
  <c r="K187" i="1"/>
  <c r="K188" i="1" s="1"/>
  <c r="J187" i="1"/>
  <c r="J188" i="1" s="1"/>
  <c r="I187" i="1"/>
  <c r="I188" i="1" s="1"/>
  <c r="H187" i="1"/>
  <c r="H188" i="1" s="1"/>
  <c r="M185" i="1"/>
  <c r="M186" i="1" s="1"/>
  <c r="L185" i="1"/>
  <c r="L186" i="1" s="1"/>
  <c r="K185" i="1"/>
  <c r="K186" i="1" s="1"/>
  <c r="J185" i="1"/>
  <c r="J186" i="1" s="1"/>
  <c r="I185" i="1"/>
  <c r="I186" i="1" s="1"/>
  <c r="H185" i="1"/>
  <c r="H186" i="1" s="1"/>
  <c r="M183" i="1"/>
  <c r="M184" i="1" s="1"/>
  <c r="L183" i="1"/>
  <c r="L184" i="1" s="1"/>
  <c r="K183" i="1"/>
  <c r="K184" i="1" s="1"/>
  <c r="J183" i="1"/>
  <c r="J184" i="1" s="1"/>
  <c r="I183" i="1"/>
  <c r="I184" i="1" s="1"/>
  <c r="H183" i="1"/>
  <c r="H184" i="1" s="1"/>
  <c r="M181" i="1"/>
  <c r="M182" i="1" s="1"/>
  <c r="L181" i="1"/>
  <c r="L182" i="1" s="1"/>
  <c r="K181" i="1"/>
  <c r="K182" i="1" s="1"/>
  <c r="J181" i="1"/>
  <c r="J182" i="1" s="1"/>
  <c r="I181" i="1"/>
  <c r="I182" i="1" s="1"/>
  <c r="H181" i="1"/>
  <c r="H182" i="1" s="1"/>
  <c r="M179" i="1"/>
  <c r="M180" i="1" s="1"/>
  <c r="L179" i="1"/>
  <c r="L180" i="1" s="1"/>
  <c r="K179" i="1"/>
  <c r="K180" i="1" s="1"/>
  <c r="J179" i="1"/>
  <c r="J180" i="1" s="1"/>
  <c r="I179" i="1"/>
  <c r="I180" i="1" s="1"/>
  <c r="H179" i="1"/>
  <c r="H180" i="1" s="1"/>
  <c r="M177" i="1"/>
  <c r="M178" i="1" s="1"/>
  <c r="L177" i="1"/>
  <c r="L178" i="1" s="1"/>
  <c r="K177" i="1"/>
  <c r="K178" i="1" s="1"/>
  <c r="J177" i="1"/>
  <c r="J178" i="1" s="1"/>
  <c r="I177" i="1"/>
  <c r="I178" i="1" s="1"/>
  <c r="H177" i="1"/>
  <c r="H178" i="1" s="1"/>
  <c r="M175" i="1"/>
  <c r="M176" i="1" s="1"/>
  <c r="L175" i="1"/>
  <c r="L176" i="1" s="1"/>
  <c r="K175" i="1"/>
  <c r="K176" i="1" s="1"/>
  <c r="J175" i="1"/>
  <c r="J176" i="1" s="1"/>
  <c r="I175" i="1"/>
  <c r="I176" i="1" s="1"/>
  <c r="H175" i="1"/>
  <c r="H176" i="1" s="1"/>
  <c r="M173" i="1"/>
  <c r="M174" i="1" s="1"/>
  <c r="L173" i="1"/>
  <c r="L174" i="1" s="1"/>
  <c r="K173" i="1"/>
  <c r="K174" i="1" s="1"/>
  <c r="J173" i="1"/>
  <c r="J174" i="1" s="1"/>
  <c r="I173" i="1"/>
  <c r="I174" i="1" s="1"/>
  <c r="H173" i="1"/>
  <c r="H174" i="1" s="1"/>
  <c r="M171" i="1"/>
  <c r="M172" i="1" s="1"/>
  <c r="L171" i="1"/>
  <c r="L172" i="1" s="1"/>
  <c r="K171" i="1"/>
  <c r="K172" i="1" s="1"/>
  <c r="J171" i="1"/>
  <c r="J172" i="1" s="1"/>
  <c r="I171" i="1"/>
  <c r="I172" i="1" s="1"/>
  <c r="H171" i="1"/>
  <c r="H172" i="1" s="1"/>
  <c r="M169" i="1"/>
  <c r="M170" i="1" s="1"/>
  <c r="L169" i="1"/>
  <c r="L170" i="1" s="1"/>
  <c r="K169" i="1"/>
  <c r="K170" i="1" s="1"/>
  <c r="J169" i="1"/>
  <c r="J170" i="1" s="1"/>
  <c r="I169" i="1"/>
  <c r="I170" i="1" s="1"/>
  <c r="H169" i="1"/>
  <c r="H170" i="1" s="1"/>
  <c r="M167" i="1"/>
  <c r="M168" i="1" s="1"/>
  <c r="L167" i="1"/>
  <c r="L168" i="1" s="1"/>
  <c r="K167" i="1"/>
  <c r="K168" i="1" s="1"/>
  <c r="J167" i="1"/>
  <c r="J168" i="1" s="1"/>
  <c r="I167" i="1"/>
  <c r="I168" i="1" s="1"/>
  <c r="H167" i="1"/>
  <c r="H168" i="1" s="1"/>
  <c r="M165" i="1"/>
  <c r="M166" i="1" s="1"/>
  <c r="L165" i="1"/>
  <c r="L166" i="1" s="1"/>
  <c r="K165" i="1"/>
  <c r="K166" i="1" s="1"/>
  <c r="J165" i="1"/>
  <c r="J166" i="1" s="1"/>
  <c r="I165" i="1"/>
  <c r="I166" i="1" s="1"/>
  <c r="H165" i="1"/>
  <c r="H166" i="1" s="1"/>
  <c r="M163" i="1"/>
  <c r="M164" i="1" s="1"/>
  <c r="L163" i="1"/>
  <c r="L164" i="1" s="1"/>
  <c r="K163" i="1"/>
  <c r="K164" i="1" s="1"/>
  <c r="J163" i="1"/>
  <c r="J164" i="1" s="1"/>
  <c r="I163" i="1"/>
  <c r="I164" i="1" s="1"/>
  <c r="H163" i="1"/>
  <c r="H164" i="1" s="1"/>
  <c r="M161" i="1"/>
  <c r="M162" i="1" s="1"/>
  <c r="L161" i="1"/>
  <c r="L162" i="1" s="1"/>
  <c r="K161" i="1"/>
  <c r="K162" i="1" s="1"/>
  <c r="J161" i="1"/>
  <c r="J162" i="1" s="1"/>
  <c r="I161" i="1"/>
  <c r="I162" i="1" s="1"/>
  <c r="H161" i="1"/>
  <c r="H162" i="1" s="1"/>
  <c r="M159" i="1"/>
  <c r="M160" i="1" s="1"/>
  <c r="L159" i="1"/>
  <c r="L160" i="1" s="1"/>
  <c r="K159" i="1"/>
  <c r="K160" i="1" s="1"/>
  <c r="J159" i="1"/>
  <c r="J160" i="1" s="1"/>
  <c r="I159" i="1"/>
  <c r="I160" i="1" s="1"/>
  <c r="H159" i="1"/>
  <c r="H160" i="1" s="1"/>
  <c r="M157" i="1"/>
  <c r="M158" i="1" s="1"/>
  <c r="L157" i="1"/>
  <c r="L158" i="1" s="1"/>
  <c r="K157" i="1"/>
  <c r="K158" i="1" s="1"/>
  <c r="J157" i="1"/>
  <c r="J158" i="1" s="1"/>
  <c r="I157" i="1"/>
  <c r="I158" i="1" s="1"/>
  <c r="H157" i="1"/>
  <c r="H158" i="1" s="1"/>
  <c r="M155" i="1"/>
  <c r="M156" i="1" s="1"/>
  <c r="L155" i="1"/>
  <c r="L156" i="1" s="1"/>
  <c r="K155" i="1"/>
  <c r="K156" i="1" s="1"/>
  <c r="J155" i="1"/>
  <c r="J156" i="1" s="1"/>
  <c r="I155" i="1"/>
  <c r="I156" i="1" s="1"/>
  <c r="H155" i="1"/>
  <c r="H156" i="1" s="1"/>
  <c r="M153" i="1"/>
  <c r="M154" i="1" s="1"/>
  <c r="L153" i="1"/>
  <c r="L154" i="1" s="1"/>
  <c r="K153" i="1"/>
  <c r="K154" i="1" s="1"/>
  <c r="J153" i="1"/>
  <c r="J154" i="1" s="1"/>
  <c r="I153" i="1"/>
  <c r="I154" i="1" s="1"/>
  <c r="H153" i="1"/>
  <c r="H154" i="1" s="1"/>
  <c r="M151" i="1"/>
  <c r="M152" i="1" s="1"/>
  <c r="L151" i="1"/>
  <c r="L152" i="1" s="1"/>
  <c r="K151" i="1"/>
  <c r="K152" i="1" s="1"/>
  <c r="J151" i="1"/>
  <c r="J152" i="1" s="1"/>
  <c r="I151" i="1"/>
  <c r="I152" i="1" s="1"/>
  <c r="H151" i="1"/>
  <c r="H152" i="1" s="1"/>
  <c r="M149" i="1"/>
  <c r="M150" i="1" s="1"/>
  <c r="L149" i="1"/>
  <c r="L150" i="1" s="1"/>
  <c r="K149" i="1"/>
  <c r="K150" i="1" s="1"/>
  <c r="J149" i="1"/>
  <c r="J150" i="1" s="1"/>
  <c r="I149" i="1"/>
  <c r="I150" i="1" s="1"/>
  <c r="H149" i="1"/>
  <c r="H150" i="1" s="1"/>
  <c r="M147" i="1"/>
  <c r="M148" i="1" s="1"/>
  <c r="L147" i="1"/>
  <c r="L148" i="1" s="1"/>
  <c r="K147" i="1"/>
  <c r="K148" i="1" s="1"/>
  <c r="J147" i="1"/>
  <c r="J148" i="1" s="1"/>
  <c r="I147" i="1"/>
  <c r="I148" i="1" s="1"/>
  <c r="H147" i="1"/>
  <c r="H148" i="1" s="1"/>
  <c r="M145" i="1"/>
  <c r="M146" i="1" s="1"/>
  <c r="L145" i="1"/>
  <c r="L146" i="1" s="1"/>
  <c r="K145" i="1"/>
  <c r="K146" i="1" s="1"/>
  <c r="J145" i="1"/>
  <c r="J146" i="1" s="1"/>
  <c r="I145" i="1"/>
  <c r="I146" i="1" s="1"/>
  <c r="H145" i="1"/>
  <c r="H146" i="1" s="1"/>
  <c r="M143" i="1"/>
  <c r="M144" i="1" s="1"/>
  <c r="L143" i="1"/>
  <c r="L144" i="1" s="1"/>
  <c r="K143" i="1"/>
  <c r="K144" i="1" s="1"/>
  <c r="J143" i="1"/>
  <c r="J144" i="1" s="1"/>
  <c r="I143" i="1"/>
  <c r="I144" i="1" s="1"/>
  <c r="H143" i="1"/>
  <c r="H144" i="1" s="1"/>
  <c r="M141" i="1"/>
  <c r="M142" i="1" s="1"/>
  <c r="L141" i="1"/>
  <c r="L142" i="1" s="1"/>
  <c r="K141" i="1"/>
  <c r="K142" i="1" s="1"/>
  <c r="J141" i="1"/>
  <c r="J142" i="1" s="1"/>
  <c r="I141" i="1"/>
  <c r="I142" i="1" s="1"/>
  <c r="H141" i="1"/>
  <c r="H142" i="1" s="1"/>
  <c r="M139" i="1"/>
  <c r="M140" i="1" s="1"/>
  <c r="L139" i="1"/>
  <c r="L140" i="1" s="1"/>
  <c r="K139" i="1"/>
  <c r="K140" i="1" s="1"/>
  <c r="J139" i="1"/>
  <c r="J140" i="1" s="1"/>
  <c r="I139" i="1"/>
  <c r="I140" i="1" s="1"/>
  <c r="H139" i="1"/>
  <c r="H140" i="1" s="1"/>
  <c r="M137" i="1"/>
  <c r="M138" i="1" s="1"/>
  <c r="L137" i="1"/>
  <c r="L138" i="1" s="1"/>
  <c r="K137" i="1"/>
  <c r="K138" i="1" s="1"/>
  <c r="J137" i="1"/>
  <c r="J138" i="1" s="1"/>
  <c r="I137" i="1"/>
  <c r="I138" i="1" s="1"/>
  <c r="H137" i="1"/>
  <c r="H138" i="1" s="1"/>
  <c r="M135" i="1"/>
  <c r="M136" i="1" s="1"/>
  <c r="L135" i="1"/>
  <c r="L136" i="1" s="1"/>
  <c r="K135" i="1"/>
  <c r="K136" i="1" s="1"/>
  <c r="J135" i="1"/>
  <c r="J136" i="1" s="1"/>
  <c r="I135" i="1"/>
  <c r="I136" i="1" s="1"/>
  <c r="H135" i="1"/>
  <c r="H136" i="1" s="1"/>
  <c r="M133" i="1"/>
  <c r="M134" i="1" s="1"/>
  <c r="L133" i="1"/>
  <c r="L134" i="1" s="1"/>
  <c r="K133" i="1"/>
  <c r="K134" i="1" s="1"/>
  <c r="J133" i="1"/>
  <c r="J134" i="1" s="1"/>
  <c r="I133" i="1"/>
  <c r="I134" i="1" s="1"/>
  <c r="H133" i="1"/>
  <c r="H134" i="1" s="1"/>
  <c r="M131" i="1"/>
  <c r="M132" i="1" s="1"/>
  <c r="L131" i="1"/>
  <c r="L132" i="1" s="1"/>
  <c r="K131" i="1"/>
  <c r="K132" i="1" s="1"/>
  <c r="J131" i="1"/>
  <c r="J132" i="1" s="1"/>
  <c r="I131" i="1"/>
  <c r="I132" i="1" s="1"/>
  <c r="H131" i="1"/>
  <c r="H132" i="1" s="1"/>
  <c r="M129" i="1"/>
  <c r="M130" i="1" s="1"/>
  <c r="L129" i="1"/>
  <c r="L130" i="1" s="1"/>
  <c r="K129" i="1"/>
  <c r="K130" i="1" s="1"/>
  <c r="J129" i="1"/>
  <c r="J130" i="1" s="1"/>
  <c r="I129" i="1"/>
  <c r="I130" i="1" s="1"/>
  <c r="H129" i="1"/>
  <c r="H130" i="1" s="1"/>
  <c r="M127" i="1"/>
  <c r="M128" i="1" s="1"/>
  <c r="L127" i="1"/>
  <c r="L128" i="1" s="1"/>
  <c r="K127" i="1"/>
  <c r="K128" i="1" s="1"/>
  <c r="J127" i="1"/>
  <c r="J128" i="1" s="1"/>
  <c r="I127" i="1"/>
  <c r="I128" i="1" s="1"/>
  <c r="H127" i="1"/>
  <c r="H128" i="1" s="1"/>
  <c r="M125" i="1"/>
  <c r="M126" i="1" s="1"/>
  <c r="L125" i="1"/>
  <c r="L126" i="1" s="1"/>
  <c r="K125" i="1"/>
  <c r="K126" i="1" s="1"/>
  <c r="J125" i="1"/>
  <c r="J126" i="1" s="1"/>
  <c r="I125" i="1"/>
  <c r="I126" i="1" s="1"/>
  <c r="H125" i="1"/>
  <c r="H126" i="1" s="1"/>
  <c r="M123" i="1"/>
  <c r="M124" i="1" s="1"/>
  <c r="L123" i="1"/>
  <c r="L124" i="1" s="1"/>
  <c r="K123" i="1"/>
  <c r="K124" i="1" s="1"/>
  <c r="J123" i="1"/>
  <c r="J124" i="1" s="1"/>
  <c r="I123" i="1"/>
  <c r="I124" i="1" s="1"/>
  <c r="H123" i="1"/>
  <c r="H124" i="1" s="1"/>
  <c r="M121" i="1"/>
  <c r="M122" i="1" s="1"/>
  <c r="L121" i="1"/>
  <c r="L122" i="1" s="1"/>
  <c r="K121" i="1"/>
  <c r="K122" i="1" s="1"/>
  <c r="J121" i="1"/>
  <c r="J122" i="1" s="1"/>
  <c r="I121" i="1"/>
  <c r="I122" i="1" s="1"/>
  <c r="H121" i="1"/>
  <c r="H122" i="1" s="1"/>
  <c r="M119" i="1"/>
  <c r="M120" i="1" s="1"/>
  <c r="L119" i="1"/>
  <c r="L120" i="1" s="1"/>
  <c r="K119" i="1"/>
  <c r="K120" i="1" s="1"/>
  <c r="J119" i="1"/>
  <c r="J120" i="1" s="1"/>
  <c r="I119" i="1"/>
  <c r="I120" i="1" s="1"/>
  <c r="H119" i="1"/>
  <c r="H120" i="1" s="1"/>
  <c r="M117" i="1"/>
  <c r="M118" i="1" s="1"/>
  <c r="L117" i="1"/>
  <c r="L118" i="1" s="1"/>
  <c r="K117" i="1"/>
  <c r="K118" i="1" s="1"/>
  <c r="J117" i="1"/>
  <c r="J118" i="1" s="1"/>
  <c r="I117" i="1"/>
  <c r="I118" i="1" s="1"/>
  <c r="H117" i="1"/>
  <c r="H118" i="1" s="1"/>
  <c r="M115" i="1"/>
  <c r="M116" i="1" s="1"/>
  <c r="L115" i="1"/>
  <c r="L116" i="1" s="1"/>
  <c r="K115" i="1"/>
  <c r="K116" i="1" s="1"/>
  <c r="J115" i="1"/>
  <c r="J116" i="1" s="1"/>
  <c r="I115" i="1"/>
  <c r="I116" i="1" s="1"/>
  <c r="H115" i="1"/>
  <c r="H116" i="1" s="1"/>
  <c r="M113" i="1"/>
  <c r="M114" i="1" s="1"/>
  <c r="L113" i="1"/>
  <c r="L114" i="1" s="1"/>
  <c r="K113" i="1"/>
  <c r="K114" i="1" s="1"/>
  <c r="J113" i="1"/>
  <c r="J114" i="1" s="1"/>
  <c r="I113" i="1"/>
  <c r="I114" i="1" s="1"/>
  <c r="H113" i="1"/>
  <c r="H114" i="1" s="1"/>
  <c r="M111" i="1"/>
  <c r="M112" i="1" s="1"/>
  <c r="L111" i="1"/>
  <c r="L112" i="1" s="1"/>
  <c r="K111" i="1"/>
  <c r="K112" i="1" s="1"/>
  <c r="J111" i="1"/>
  <c r="J112" i="1" s="1"/>
  <c r="I111" i="1"/>
  <c r="I112" i="1" s="1"/>
  <c r="H111" i="1"/>
  <c r="H112" i="1" s="1"/>
  <c r="M109" i="1"/>
  <c r="M110" i="1" s="1"/>
  <c r="L109" i="1"/>
  <c r="L110" i="1" s="1"/>
  <c r="K109" i="1"/>
  <c r="K110" i="1" s="1"/>
  <c r="J109" i="1"/>
  <c r="J110" i="1" s="1"/>
  <c r="I109" i="1"/>
  <c r="I110" i="1" s="1"/>
  <c r="H109" i="1"/>
  <c r="H110" i="1" s="1"/>
  <c r="M107" i="1"/>
  <c r="M108" i="1" s="1"/>
  <c r="L107" i="1"/>
  <c r="L108" i="1" s="1"/>
  <c r="K107" i="1"/>
  <c r="K108" i="1" s="1"/>
  <c r="J107" i="1"/>
  <c r="J108" i="1" s="1"/>
  <c r="I107" i="1"/>
  <c r="I108" i="1" s="1"/>
  <c r="H107" i="1"/>
  <c r="H108" i="1" s="1"/>
  <c r="M105" i="1"/>
  <c r="M106" i="1" s="1"/>
  <c r="L105" i="1"/>
  <c r="L106" i="1" s="1"/>
  <c r="K105" i="1"/>
  <c r="K106" i="1" s="1"/>
  <c r="J105" i="1"/>
  <c r="J106" i="1" s="1"/>
  <c r="I105" i="1"/>
  <c r="I106" i="1" s="1"/>
  <c r="H105" i="1"/>
  <c r="H106" i="1" s="1"/>
  <c r="M103" i="1"/>
  <c r="M104" i="1" s="1"/>
  <c r="L103" i="1"/>
  <c r="L104" i="1" s="1"/>
  <c r="K103" i="1"/>
  <c r="K104" i="1" s="1"/>
  <c r="J103" i="1"/>
  <c r="J104" i="1" s="1"/>
  <c r="I103" i="1"/>
  <c r="I104" i="1" s="1"/>
  <c r="H103" i="1"/>
  <c r="H104" i="1" s="1"/>
  <c r="M101" i="1"/>
  <c r="M102" i="1" s="1"/>
  <c r="L101" i="1"/>
  <c r="L102" i="1" s="1"/>
  <c r="K101" i="1"/>
  <c r="K102" i="1" s="1"/>
  <c r="J101" i="1"/>
  <c r="J102" i="1" s="1"/>
  <c r="I101" i="1"/>
  <c r="I102" i="1" s="1"/>
  <c r="H101" i="1"/>
  <c r="H102" i="1" s="1"/>
  <c r="M99" i="1"/>
  <c r="M100" i="1" s="1"/>
  <c r="L99" i="1"/>
  <c r="L100" i="1" s="1"/>
  <c r="K99" i="1"/>
  <c r="K100" i="1" s="1"/>
  <c r="J99" i="1"/>
  <c r="J100" i="1" s="1"/>
  <c r="I99" i="1"/>
  <c r="I100" i="1" s="1"/>
  <c r="H99" i="1"/>
  <c r="H100" i="1" s="1"/>
  <c r="M97" i="1"/>
  <c r="M98" i="1" s="1"/>
  <c r="L97" i="1"/>
  <c r="L98" i="1" s="1"/>
  <c r="K97" i="1"/>
  <c r="K98" i="1" s="1"/>
  <c r="J97" i="1"/>
  <c r="J98" i="1" s="1"/>
  <c r="I97" i="1"/>
  <c r="I98" i="1" s="1"/>
  <c r="H97" i="1"/>
  <c r="H98" i="1" s="1"/>
  <c r="M95" i="1"/>
  <c r="M96" i="1" s="1"/>
  <c r="L95" i="1"/>
  <c r="L96" i="1" s="1"/>
  <c r="K95" i="1"/>
  <c r="K96" i="1" s="1"/>
  <c r="J95" i="1"/>
  <c r="J96" i="1" s="1"/>
  <c r="I95" i="1"/>
  <c r="I96" i="1" s="1"/>
  <c r="H95" i="1"/>
  <c r="H96" i="1" s="1"/>
  <c r="M93" i="1"/>
  <c r="M94" i="1" s="1"/>
  <c r="L93" i="1"/>
  <c r="L94" i="1" s="1"/>
  <c r="K93" i="1"/>
  <c r="K94" i="1" s="1"/>
  <c r="J93" i="1"/>
  <c r="J94" i="1" s="1"/>
  <c r="I93" i="1"/>
  <c r="I94" i="1" s="1"/>
  <c r="H93" i="1"/>
  <c r="H94" i="1" s="1"/>
  <c r="M91" i="1"/>
  <c r="M92" i="1" s="1"/>
  <c r="L91" i="1"/>
  <c r="L92" i="1" s="1"/>
  <c r="K91" i="1"/>
  <c r="K92" i="1" s="1"/>
  <c r="J91" i="1"/>
  <c r="J92" i="1" s="1"/>
  <c r="I91" i="1"/>
  <c r="I92" i="1" s="1"/>
  <c r="H91" i="1"/>
  <c r="H92" i="1" s="1"/>
  <c r="M89" i="1"/>
  <c r="M90" i="1" s="1"/>
  <c r="L89" i="1"/>
  <c r="L90" i="1" s="1"/>
  <c r="K89" i="1"/>
  <c r="K90" i="1" s="1"/>
  <c r="J89" i="1"/>
  <c r="J90" i="1" s="1"/>
  <c r="I89" i="1"/>
  <c r="I90" i="1" s="1"/>
  <c r="H89" i="1"/>
  <c r="H90" i="1" s="1"/>
  <c r="M87" i="1"/>
  <c r="M88" i="1" s="1"/>
  <c r="L87" i="1"/>
  <c r="L88" i="1" s="1"/>
  <c r="K87" i="1"/>
  <c r="K88" i="1" s="1"/>
  <c r="J87" i="1"/>
  <c r="J88" i="1" s="1"/>
  <c r="I87" i="1"/>
  <c r="I88" i="1" s="1"/>
  <c r="H87" i="1"/>
  <c r="H88" i="1" s="1"/>
  <c r="M85" i="1"/>
  <c r="M86" i="1" s="1"/>
  <c r="L85" i="1"/>
  <c r="L86" i="1" s="1"/>
  <c r="K85" i="1"/>
  <c r="K86" i="1" s="1"/>
  <c r="J85" i="1"/>
  <c r="J86" i="1" s="1"/>
  <c r="I85" i="1"/>
  <c r="I86" i="1" s="1"/>
  <c r="H85" i="1"/>
  <c r="H86" i="1" s="1"/>
  <c r="M83" i="1"/>
  <c r="M84" i="1" s="1"/>
  <c r="L83" i="1"/>
  <c r="L84" i="1" s="1"/>
  <c r="K83" i="1"/>
  <c r="K84" i="1" s="1"/>
  <c r="J83" i="1"/>
  <c r="J84" i="1" s="1"/>
  <c r="I83" i="1"/>
  <c r="I84" i="1" s="1"/>
  <c r="H83" i="1"/>
  <c r="H84" i="1" s="1"/>
  <c r="M81" i="1"/>
  <c r="M82" i="1" s="1"/>
  <c r="L81" i="1"/>
  <c r="L82" i="1" s="1"/>
  <c r="K81" i="1"/>
  <c r="K82" i="1" s="1"/>
  <c r="J81" i="1"/>
  <c r="J82" i="1" s="1"/>
  <c r="I81" i="1"/>
  <c r="I82" i="1" s="1"/>
  <c r="H81" i="1"/>
  <c r="H82" i="1" s="1"/>
  <c r="M79" i="1"/>
  <c r="M80" i="1" s="1"/>
  <c r="L79" i="1"/>
  <c r="L80" i="1" s="1"/>
  <c r="K79" i="1"/>
  <c r="K80" i="1" s="1"/>
  <c r="J79" i="1"/>
  <c r="J80" i="1" s="1"/>
  <c r="I79" i="1"/>
  <c r="I80" i="1" s="1"/>
  <c r="H79" i="1"/>
  <c r="H80" i="1" s="1"/>
  <c r="M77" i="1"/>
  <c r="M78" i="1" s="1"/>
  <c r="L77" i="1"/>
  <c r="L78" i="1" s="1"/>
  <c r="K77" i="1"/>
  <c r="K78" i="1" s="1"/>
  <c r="J77" i="1"/>
  <c r="J78" i="1" s="1"/>
  <c r="I77" i="1"/>
  <c r="I78" i="1" s="1"/>
  <c r="H77" i="1"/>
  <c r="H78" i="1" s="1"/>
  <c r="M75" i="1"/>
  <c r="M76" i="1" s="1"/>
  <c r="L75" i="1"/>
  <c r="L76" i="1" s="1"/>
  <c r="K75" i="1"/>
  <c r="K76" i="1" s="1"/>
  <c r="J75" i="1"/>
  <c r="J76" i="1" s="1"/>
  <c r="I75" i="1"/>
  <c r="I76" i="1" s="1"/>
  <c r="H75" i="1"/>
  <c r="H76" i="1" s="1"/>
  <c r="M73" i="1"/>
  <c r="M74" i="1" s="1"/>
  <c r="L73" i="1"/>
  <c r="L74" i="1" s="1"/>
  <c r="K73" i="1"/>
  <c r="K74" i="1" s="1"/>
  <c r="J73" i="1"/>
  <c r="J74" i="1" s="1"/>
  <c r="I73" i="1"/>
  <c r="I74" i="1" s="1"/>
  <c r="H73" i="1"/>
  <c r="H74" i="1" s="1"/>
  <c r="M71" i="1"/>
  <c r="M72" i="1" s="1"/>
  <c r="L71" i="1"/>
  <c r="L72" i="1" s="1"/>
  <c r="K71" i="1"/>
  <c r="K72" i="1" s="1"/>
  <c r="J71" i="1"/>
  <c r="J72" i="1" s="1"/>
  <c r="I71" i="1"/>
  <c r="I72" i="1" s="1"/>
  <c r="H71" i="1"/>
  <c r="H72" i="1" s="1"/>
  <c r="M69" i="1"/>
  <c r="M70" i="1" s="1"/>
  <c r="L69" i="1"/>
  <c r="L70" i="1" s="1"/>
  <c r="K69" i="1"/>
  <c r="K70" i="1" s="1"/>
  <c r="J69" i="1"/>
  <c r="J70" i="1" s="1"/>
  <c r="I69" i="1"/>
  <c r="I70" i="1" s="1"/>
  <c r="H69" i="1"/>
  <c r="H70" i="1" s="1"/>
  <c r="M67" i="1"/>
  <c r="M68" i="1" s="1"/>
  <c r="L67" i="1"/>
  <c r="L68" i="1" s="1"/>
  <c r="K67" i="1"/>
  <c r="K68" i="1" s="1"/>
  <c r="J67" i="1"/>
  <c r="J68" i="1" s="1"/>
  <c r="I67" i="1"/>
  <c r="I68" i="1" s="1"/>
  <c r="H67" i="1"/>
  <c r="H68" i="1" s="1"/>
  <c r="M65" i="1"/>
  <c r="M66" i="1" s="1"/>
  <c r="L65" i="1"/>
  <c r="L66" i="1" s="1"/>
  <c r="K65" i="1"/>
  <c r="K66" i="1" s="1"/>
  <c r="J65" i="1"/>
  <c r="J66" i="1" s="1"/>
  <c r="I65" i="1"/>
  <c r="I66" i="1" s="1"/>
  <c r="H65" i="1"/>
  <c r="H66" i="1" s="1"/>
  <c r="M63" i="1"/>
  <c r="M64" i="1" s="1"/>
  <c r="L63" i="1"/>
  <c r="L64" i="1" s="1"/>
  <c r="K63" i="1"/>
  <c r="K64" i="1" s="1"/>
  <c r="J63" i="1"/>
  <c r="J64" i="1" s="1"/>
  <c r="I63" i="1"/>
  <c r="I64" i="1" s="1"/>
  <c r="H63" i="1"/>
  <c r="H64" i="1" s="1"/>
  <c r="M61" i="1"/>
  <c r="M62" i="1" s="1"/>
  <c r="L61" i="1"/>
  <c r="L62" i="1" s="1"/>
  <c r="K61" i="1"/>
  <c r="K62" i="1" s="1"/>
  <c r="J61" i="1"/>
  <c r="J62" i="1" s="1"/>
  <c r="I61" i="1"/>
  <c r="I62" i="1" s="1"/>
  <c r="H61" i="1"/>
  <c r="H62" i="1" s="1"/>
  <c r="M59" i="1"/>
  <c r="M60" i="1" s="1"/>
  <c r="L59" i="1"/>
  <c r="L60" i="1" s="1"/>
  <c r="K59" i="1"/>
  <c r="K60" i="1" s="1"/>
  <c r="J59" i="1"/>
  <c r="J60" i="1" s="1"/>
  <c r="I59" i="1"/>
  <c r="I60" i="1" s="1"/>
  <c r="H59" i="1"/>
  <c r="H60" i="1" s="1"/>
  <c r="M57" i="1"/>
  <c r="M58" i="1" s="1"/>
  <c r="L57" i="1"/>
  <c r="L58" i="1" s="1"/>
  <c r="K57" i="1"/>
  <c r="K58" i="1" s="1"/>
  <c r="J57" i="1"/>
  <c r="J58" i="1" s="1"/>
  <c r="I57" i="1"/>
  <c r="I58" i="1" s="1"/>
  <c r="H57" i="1"/>
  <c r="H58" i="1" s="1"/>
  <c r="M55" i="1"/>
  <c r="M56" i="1" s="1"/>
  <c r="L55" i="1"/>
  <c r="L56" i="1" s="1"/>
  <c r="K55" i="1"/>
  <c r="K56" i="1" s="1"/>
  <c r="J55" i="1"/>
  <c r="J56" i="1" s="1"/>
  <c r="I55" i="1"/>
  <c r="I56" i="1" s="1"/>
  <c r="H55" i="1"/>
  <c r="H56" i="1" s="1"/>
  <c r="M53" i="1"/>
  <c r="M54" i="1" s="1"/>
  <c r="L53" i="1"/>
  <c r="L54" i="1" s="1"/>
  <c r="K53" i="1"/>
  <c r="K54" i="1" s="1"/>
  <c r="J53" i="1"/>
  <c r="J54" i="1" s="1"/>
  <c r="I53" i="1"/>
  <c r="I54" i="1" s="1"/>
  <c r="H53" i="1"/>
  <c r="H54" i="1" s="1"/>
  <c r="M51" i="1"/>
  <c r="M52" i="1" s="1"/>
  <c r="L51" i="1"/>
  <c r="L52" i="1" s="1"/>
  <c r="K51" i="1"/>
  <c r="K52" i="1" s="1"/>
  <c r="J51" i="1"/>
  <c r="J52" i="1" s="1"/>
  <c r="I51" i="1"/>
  <c r="I52" i="1" s="1"/>
  <c r="H51" i="1"/>
  <c r="H52" i="1" s="1"/>
  <c r="M49" i="1"/>
  <c r="M50" i="1" s="1"/>
  <c r="L49" i="1"/>
  <c r="L50" i="1" s="1"/>
  <c r="K49" i="1"/>
  <c r="K50" i="1" s="1"/>
  <c r="J49" i="1"/>
  <c r="J50" i="1" s="1"/>
  <c r="I49" i="1"/>
  <c r="I50" i="1" s="1"/>
  <c r="H49" i="1"/>
  <c r="H50" i="1" s="1"/>
  <c r="M47" i="1"/>
  <c r="M48" i="1" s="1"/>
  <c r="L47" i="1"/>
  <c r="L48" i="1" s="1"/>
  <c r="K47" i="1"/>
  <c r="K48" i="1" s="1"/>
  <c r="J47" i="1"/>
  <c r="J48" i="1" s="1"/>
  <c r="I47" i="1"/>
  <c r="I48" i="1" s="1"/>
  <c r="H47" i="1"/>
  <c r="H48" i="1" s="1"/>
  <c r="M45" i="1"/>
  <c r="M46" i="1" s="1"/>
  <c r="L45" i="1"/>
  <c r="L46" i="1" s="1"/>
  <c r="K45" i="1"/>
  <c r="K46" i="1" s="1"/>
  <c r="J45" i="1"/>
  <c r="J46" i="1" s="1"/>
  <c r="I45" i="1"/>
  <c r="I46" i="1" s="1"/>
  <c r="H45" i="1"/>
  <c r="H46" i="1" s="1"/>
  <c r="M43" i="1"/>
  <c r="M44" i="1" s="1"/>
  <c r="L43" i="1"/>
  <c r="L44" i="1" s="1"/>
  <c r="K43" i="1"/>
  <c r="K44" i="1" s="1"/>
  <c r="J43" i="1"/>
  <c r="J44" i="1" s="1"/>
  <c r="I43" i="1"/>
  <c r="I44" i="1" s="1"/>
  <c r="H43" i="1"/>
  <c r="H44" i="1" s="1"/>
  <c r="M41" i="1"/>
  <c r="M42" i="1" s="1"/>
  <c r="L41" i="1"/>
  <c r="L42" i="1" s="1"/>
  <c r="K41" i="1"/>
  <c r="K42" i="1" s="1"/>
  <c r="J41" i="1"/>
  <c r="J42" i="1" s="1"/>
  <c r="I41" i="1"/>
  <c r="I42" i="1" s="1"/>
  <c r="H41" i="1"/>
  <c r="H42" i="1" s="1"/>
  <c r="M39" i="1"/>
  <c r="M40" i="1" s="1"/>
  <c r="L39" i="1"/>
  <c r="L40" i="1" s="1"/>
  <c r="K39" i="1"/>
  <c r="K40" i="1" s="1"/>
  <c r="J39" i="1"/>
  <c r="J40" i="1" s="1"/>
  <c r="I39" i="1"/>
  <c r="I40" i="1" s="1"/>
  <c r="H39" i="1"/>
  <c r="H40" i="1" s="1"/>
  <c r="M37" i="1"/>
  <c r="M38" i="1" s="1"/>
  <c r="L37" i="1"/>
  <c r="L38" i="1" s="1"/>
  <c r="K37" i="1"/>
  <c r="K38" i="1" s="1"/>
  <c r="J37" i="1"/>
  <c r="J38" i="1" s="1"/>
  <c r="I37" i="1"/>
  <c r="I38" i="1" s="1"/>
  <c r="H37" i="1"/>
  <c r="H38" i="1" s="1"/>
  <c r="M35" i="1"/>
  <c r="M36" i="1" s="1"/>
  <c r="L35" i="1"/>
  <c r="L36" i="1" s="1"/>
  <c r="K35" i="1"/>
  <c r="K36" i="1" s="1"/>
  <c r="J35" i="1"/>
  <c r="J36" i="1" s="1"/>
  <c r="I35" i="1"/>
  <c r="I36" i="1" s="1"/>
  <c r="H35" i="1"/>
  <c r="H36" i="1" s="1"/>
  <c r="M33" i="1"/>
  <c r="M34" i="1" s="1"/>
  <c r="L33" i="1"/>
  <c r="L34" i="1" s="1"/>
  <c r="K33" i="1"/>
  <c r="K34" i="1" s="1"/>
  <c r="J33" i="1"/>
  <c r="J34" i="1" s="1"/>
  <c r="I33" i="1"/>
  <c r="I34" i="1" s="1"/>
  <c r="H33" i="1"/>
  <c r="H34" i="1" s="1"/>
  <c r="M31" i="1"/>
  <c r="M32" i="1" s="1"/>
  <c r="L31" i="1"/>
  <c r="L32" i="1" s="1"/>
  <c r="K31" i="1"/>
  <c r="K32" i="1" s="1"/>
  <c r="J31" i="1"/>
  <c r="J32" i="1" s="1"/>
  <c r="I31" i="1"/>
  <c r="I32" i="1" s="1"/>
  <c r="H31" i="1"/>
  <c r="H32" i="1" s="1"/>
  <c r="M29" i="1"/>
  <c r="M30" i="1" s="1"/>
  <c r="L29" i="1"/>
  <c r="L30" i="1" s="1"/>
  <c r="K29" i="1"/>
  <c r="K30" i="1" s="1"/>
  <c r="J29" i="1"/>
  <c r="J30" i="1" s="1"/>
  <c r="I29" i="1"/>
  <c r="I30" i="1" s="1"/>
  <c r="H29" i="1"/>
  <c r="H30" i="1" s="1"/>
  <c r="M27" i="1"/>
  <c r="M28" i="1" s="1"/>
  <c r="L27" i="1"/>
  <c r="L28" i="1" s="1"/>
  <c r="K27" i="1"/>
  <c r="K28" i="1" s="1"/>
  <c r="J27" i="1"/>
  <c r="J28" i="1" s="1"/>
  <c r="I27" i="1"/>
  <c r="I28" i="1" s="1"/>
  <c r="H27" i="1"/>
  <c r="H28" i="1" s="1"/>
  <c r="M25" i="1"/>
  <c r="M26" i="1" s="1"/>
  <c r="L25" i="1"/>
  <c r="L26" i="1" s="1"/>
  <c r="K25" i="1"/>
  <c r="K26" i="1" s="1"/>
  <c r="J25" i="1"/>
  <c r="J26" i="1" s="1"/>
  <c r="I25" i="1"/>
  <c r="I26" i="1" s="1"/>
  <c r="H25" i="1"/>
  <c r="H26" i="1" s="1"/>
  <c r="M23" i="1"/>
  <c r="M24" i="1" s="1"/>
  <c r="L23" i="1"/>
  <c r="L24" i="1" s="1"/>
  <c r="K23" i="1"/>
  <c r="K24" i="1" s="1"/>
  <c r="J23" i="1"/>
  <c r="J24" i="1" s="1"/>
  <c r="I23" i="1"/>
  <c r="I24" i="1" s="1"/>
  <c r="H23" i="1"/>
  <c r="H24" i="1" s="1"/>
  <c r="M21" i="1"/>
  <c r="M22" i="1" s="1"/>
  <c r="L21" i="1"/>
  <c r="L22" i="1" s="1"/>
  <c r="K21" i="1"/>
  <c r="K22" i="1" s="1"/>
  <c r="J21" i="1"/>
  <c r="J22" i="1" s="1"/>
  <c r="I21" i="1"/>
  <c r="I22" i="1" s="1"/>
  <c r="H21" i="1"/>
  <c r="H22" i="1" s="1"/>
  <c r="M19" i="1"/>
  <c r="M20" i="1" s="1"/>
  <c r="L19" i="1"/>
  <c r="L20" i="1" s="1"/>
  <c r="K19" i="1"/>
  <c r="K20" i="1" s="1"/>
  <c r="J19" i="1"/>
  <c r="J20" i="1" s="1"/>
  <c r="I19" i="1"/>
  <c r="I20" i="1" s="1"/>
  <c r="H19" i="1"/>
  <c r="H20" i="1" s="1"/>
  <c r="M17" i="1"/>
  <c r="M18" i="1" s="1"/>
  <c r="L17" i="1"/>
  <c r="L18" i="1" s="1"/>
  <c r="K17" i="1"/>
  <c r="K18" i="1" s="1"/>
  <c r="J17" i="1"/>
  <c r="J18" i="1" s="1"/>
  <c r="I17" i="1"/>
  <c r="I18" i="1" s="1"/>
  <c r="H17" i="1"/>
  <c r="H18" i="1" s="1"/>
  <c r="M15" i="1"/>
  <c r="M16" i="1" s="1"/>
  <c r="L15" i="1"/>
  <c r="L16" i="1" s="1"/>
  <c r="K15" i="1"/>
  <c r="K16" i="1" s="1"/>
  <c r="J15" i="1"/>
  <c r="J16" i="1" s="1"/>
  <c r="I15" i="1"/>
  <c r="I16" i="1" s="1"/>
  <c r="H15" i="1"/>
  <c r="H16" i="1" s="1"/>
  <c r="M13" i="1"/>
  <c r="M14" i="1" s="1"/>
  <c r="L13" i="1"/>
  <c r="L14" i="1" s="1"/>
  <c r="K13" i="1"/>
  <c r="K14" i="1" s="1"/>
  <c r="J13" i="1"/>
  <c r="J14" i="1" s="1"/>
  <c r="I13" i="1"/>
  <c r="I14" i="1" s="1"/>
  <c r="H13" i="1"/>
  <c r="H14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M9" i="1"/>
  <c r="M10" i="1" s="1"/>
  <c r="L9" i="1"/>
  <c r="L10" i="1" s="1"/>
  <c r="K9" i="1"/>
  <c r="K10" i="1" s="1"/>
  <c r="J9" i="1"/>
  <c r="J10" i="1" s="1"/>
  <c r="I9" i="1"/>
  <c r="I10" i="1" s="1"/>
  <c r="M7" i="1"/>
  <c r="M8" i="1" s="1"/>
  <c r="L7" i="1"/>
  <c r="L8" i="1" s="1"/>
  <c r="K7" i="1"/>
  <c r="K8" i="1" s="1"/>
  <c r="J7" i="1"/>
  <c r="J8" i="1" s="1"/>
  <c r="I7" i="1"/>
  <c r="I8" i="1" s="1"/>
  <c r="H7" i="1"/>
  <c r="H8" i="1" s="1"/>
  <c r="M5" i="1"/>
  <c r="M6" i="1" s="1"/>
  <c r="L5" i="1"/>
  <c r="L6" i="1" s="1"/>
  <c r="K5" i="1"/>
  <c r="K6" i="1" s="1"/>
  <c r="J5" i="1"/>
  <c r="J6" i="1" s="1"/>
  <c r="I5" i="1"/>
  <c r="I6" i="1" s="1"/>
  <c r="H5" i="1"/>
  <c r="H6" i="1" s="1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394" i="1"/>
  <c r="C14" i="6" s="1"/>
  <c r="K4" i="8" s="1"/>
  <c r="G4" i="8" s="1"/>
  <c r="E393" i="1"/>
  <c r="C3" i="6" s="1"/>
  <c r="F392" i="1"/>
  <c r="G6" i="1" l="1"/>
  <c r="F198" i="1"/>
  <c r="O393" i="1"/>
  <c r="E10" i="6" s="1"/>
  <c r="F393" i="1"/>
  <c r="C4" i="6" s="1"/>
  <c r="G393" i="1"/>
  <c r="E3" i="6" s="1"/>
  <c r="N141" i="1"/>
  <c r="N142" i="1" s="1"/>
  <c r="N175" i="1"/>
  <c r="N176" i="1" s="1"/>
  <c r="N43" i="1"/>
  <c r="N44" i="1" s="1"/>
  <c r="H393" i="1"/>
  <c r="E4" i="6" s="1"/>
  <c r="N69" i="1"/>
  <c r="N70" i="1" s="1"/>
  <c r="N209" i="1"/>
  <c r="N210" i="1" s="1"/>
  <c r="N341" i="1"/>
  <c r="N342" i="1" s="1"/>
  <c r="J392" i="1"/>
  <c r="N9" i="1"/>
  <c r="N10" i="1" s="1"/>
  <c r="I393" i="1"/>
  <c r="E5" i="6" s="1"/>
  <c r="L393" i="1"/>
  <c r="E8" i="6" s="1"/>
  <c r="N17" i="1"/>
  <c r="N18" i="1" s="1"/>
  <c r="N63" i="1"/>
  <c r="N64" i="1" s="1"/>
  <c r="N137" i="1"/>
  <c r="N138" i="1" s="1"/>
  <c r="N11" i="1"/>
  <c r="N12" i="1" s="1"/>
  <c r="N37" i="1"/>
  <c r="N38" i="1" s="1"/>
  <c r="N181" i="1"/>
  <c r="N182" i="1" s="1"/>
  <c r="N185" i="1"/>
  <c r="N186" i="1" s="1"/>
  <c r="N229" i="1"/>
  <c r="N230" i="1" s="1"/>
  <c r="N223" i="1"/>
  <c r="N224" i="1" s="1"/>
  <c r="N221" i="1"/>
  <c r="N222" i="1" s="1"/>
  <c r="N249" i="1"/>
  <c r="N250" i="1" s="1"/>
  <c r="N269" i="1"/>
  <c r="N270" i="1" s="1"/>
  <c r="N309" i="1"/>
  <c r="N310" i="1" s="1"/>
  <c r="G392" i="1"/>
  <c r="M392" i="1"/>
  <c r="N15" i="1"/>
  <c r="N16" i="1" s="1"/>
  <c r="N21" i="1"/>
  <c r="N22" i="1" s="1"/>
  <c r="N31" i="1"/>
  <c r="N32" i="1" s="1"/>
  <c r="N13" i="1"/>
  <c r="N14" i="1" s="1"/>
  <c r="N7" i="1"/>
  <c r="N8" i="1" s="1"/>
  <c r="N33" i="1"/>
  <c r="N34" i="1" s="1"/>
  <c r="J393" i="1"/>
  <c r="E6" i="6" s="1"/>
  <c r="N27" i="1"/>
  <c r="N28" i="1" s="1"/>
  <c r="K393" i="1"/>
  <c r="E7" i="6" s="1"/>
  <c r="N19" i="1"/>
  <c r="N20" i="1" s="1"/>
  <c r="N29" i="1"/>
  <c r="N30" i="1" s="1"/>
  <c r="M393" i="1"/>
  <c r="E9" i="6" s="1"/>
  <c r="N23" i="1"/>
  <c r="N24" i="1" s="1"/>
  <c r="N5" i="1"/>
  <c r="N47" i="1"/>
  <c r="N48" i="1" s="1"/>
  <c r="N25" i="1"/>
  <c r="N26" i="1" s="1"/>
  <c r="N41" i="1"/>
  <c r="N42" i="1" s="1"/>
  <c r="N35" i="1"/>
  <c r="N36" i="1" s="1"/>
  <c r="N39" i="1"/>
  <c r="N40" i="1" s="1"/>
  <c r="N51" i="1"/>
  <c r="N52" i="1" s="1"/>
  <c r="N45" i="1"/>
  <c r="N46" i="1" s="1"/>
  <c r="N57" i="1"/>
  <c r="N58" i="1" s="1"/>
  <c r="N59" i="1"/>
  <c r="N60" i="1" s="1"/>
  <c r="N55" i="1"/>
  <c r="N56" i="1" s="1"/>
  <c r="N79" i="1"/>
  <c r="N80" i="1" s="1"/>
  <c r="N67" i="1"/>
  <c r="N68" i="1" s="1"/>
  <c r="N71" i="1"/>
  <c r="N72" i="1" s="1"/>
  <c r="N93" i="1"/>
  <c r="N94" i="1" s="1"/>
  <c r="N61" i="1"/>
  <c r="N62" i="1" s="1"/>
  <c r="N75" i="1"/>
  <c r="N76" i="1" s="1"/>
  <c r="N91" i="1"/>
  <c r="N92" i="1" s="1"/>
  <c r="N49" i="1"/>
  <c r="N50" i="1" s="1"/>
  <c r="N65" i="1"/>
  <c r="N66" i="1" s="1"/>
  <c r="N73" i="1"/>
  <c r="N74" i="1" s="1"/>
  <c r="N87" i="1"/>
  <c r="N88" i="1" s="1"/>
  <c r="N85" i="1"/>
  <c r="N86" i="1" s="1"/>
  <c r="N53" i="1"/>
  <c r="N54" i="1" s="1"/>
  <c r="N83" i="1"/>
  <c r="N84" i="1" s="1"/>
  <c r="N77" i="1"/>
  <c r="N78" i="1" s="1"/>
  <c r="N81" i="1"/>
  <c r="N82" i="1" s="1"/>
  <c r="N123" i="1"/>
  <c r="N124" i="1" s="1"/>
  <c r="N99" i="1"/>
  <c r="N100" i="1" s="1"/>
  <c r="N119" i="1"/>
  <c r="N120" i="1" s="1"/>
  <c r="N95" i="1"/>
  <c r="N96" i="1" s="1"/>
  <c r="N89" i="1"/>
  <c r="N90" i="1" s="1"/>
  <c r="N103" i="1"/>
  <c r="N104" i="1" s="1"/>
  <c r="N105" i="1"/>
  <c r="N106" i="1" s="1"/>
  <c r="N121" i="1"/>
  <c r="N122" i="1" s="1"/>
  <c r="N115" i="1"/>
  <c r="N116" i="1" s="1"/>
  <c r="N109" i="1"/>
  <c r="N110" i="1" s="1"/>
  <c r="N97" i="1"/>
  <c r="N98" i="1" s="1"/>
  <c r="N113" i="1"/>
  <c r="N114" i="1" s="1"/>
  <c r="N107" i="1"/>
  <c r="N108" i="1" s="1"/>
  <c r="N101" i="1"/>
  <c r="N102" i="1" s="1"/>
  <c r="N117" i="1"/>
  <c r="N118" i="1" s="1"/>
  <c r="N111" i="1"/>
  <c r="N112" i="1" s="1"/>
  <c r="N125" i="1"/>
  <c r="N126" i="1" s="1"/>
  <c r="N131" i="1"/>
  <c r="N132" i="1" s="1"/>
  <c r="N149" i="1"/>
  <c r="N150" i="1" s="1"/>
  <c r="N135" i="1"/>
  <c r="N136" i="1" s="1"/>
  <c r="N129" i="1"/>
  <c r="N130" i="1" s="1"/>
  <c r="N163" i="1"/>
  <c r="N164" i="1" s="1"/>
  <c r="N157" i="1"/>
  <c r="N158" i="1" s="1"/>
  <c r="N139" i="1"/>
  <c r="N140" i="1" s="1"/>
  <c r="N167" i="1"/>
  <c r="N168" i="1" s="1"/>
  <c r="N159" i="1"/>
  <c r="N160" i="1" s="1"/>
  <c r="N133" i="1"/>
  <c r="N134" i="1" s="1"/>
  <c r="N151" i="1"/>
  <c r="N152" i="1" s="1"/>
  <c r="N143" i="1"/>
  <c r="N144" i="1" s="1"/>
  <c r="N127" i="1"/>
  <c r="N128" i="1" s="1"/>
  <c r="N145" i="1"/>
  <c r="N146" i="1" s="1"/>
  <c r="N147" i="1"/>
  <c r="N148" i="1" s="1"/>
  <c r="N161" i="1"/>
  <c r="N162" i="1" s="1"/>
  <c r="N155" i="1"/>
  <c r="N156" i="1" s="1"/>
  <c r="N165" i="1"/>
  <c r="N166" i="1" s="1"/>
  <c r="N153" i="1"/>
  <c r="N154" i="1" s="1"/>
  <c r="N171" i="1"/>
  <c r="N172" i="1" s="1"/>
  <c r="N169" i="1"/>
  <c r="N170" i="1" s="1"/>
  <c r="N187" i="1"/>
  <c r="N188" i="1" s="1"/>
  <c r="N179" i="1"/>
  <c r="N180" i="1" s="1"/>
  <c r="N195" i="1"/>
  <c r="N196" i="1" s="1"/>
  <c r="N173" i="1"/>
  <c r="N174" i="1" s="1"/>
  <c r="N183" i="1"/>
  <c r="N184" i="1" s="1"/>
  <c r="N177" i="1"/>
  <c r="N178" i="1" s="1"/>
  <c r="N191" i="1"/>
  <c r="N192" i="1" s="1"/>
  <c r="N189" i="1"/>
  <c r="N190" i="1" s="1"/>
  <c r="N197" i="1"/>
  <c r="N201" i="1"/>
  <c r="N202" i="1" s="1"/>
  <c r="N217" i="1"/>
  <c r="N218" i="1" s="1"/>
  <c r="N205" i="1"/>
  <c r="N206" i="1" s="1"/>
  <c r="N207" i="1"/>
  <c r="N208" i="1" s="1"/>
  <c r="N199" i="1"/>
  <c r="N200" i="1" s="1"/>
  <c r="N193" i="1"/>
  <c r="N194" i="1" s="1"/>
  <c r="N211" i="1"/>
  <c r="N212" i="1" s="1"/>
  <c r="N213" i="1"/>
  <c r="N214" i="1" s="1"/>
  <c r="N203" i="1"/>
  <c r="N204" i="1" s="1"/>
  <c r="N215" i="1"/>
  <c r="N216" i="1" s="1"/>
  <c r="N237" i="1"/>
  <c r="N238" i="1" s="1"/>
  <c r="N227" i="1"/>
  <c r="N228" i="1" s="1"/>
  <c r="N231" i="1"/>
  <c r="N232" i="1" s="1"/>
  <c r="N245" i="1"/>
  <c r="N246" i="1" s="1"/>
  <c r="N225" i="1"/>
  <c r="N226" i="1" s="1"/>
  <c r="N219" i="1"/>
  <c r="N220" i="1" s="1"/>
  <c r="N233" i="1"/>
  <c r="N234" i="1" s="1"/>
  <c r="N243" i="1"/>
  <c r="N244" i="1" s="1"/>
  <c r="N247" i="1"/>
  <c r="N248" i="1" s="1"/>
  <c r="N239" i="1"/>
  <c r="N240" i="1" s="1"/>
  <c r="N253" i="1"/>
  <c r="N254" i="1" s="1"/>
  <c r="N265" i="1"/>
  <c r="N266" i="1" s="1"/>
  <c r="N241" i="1"/>
  <c r="N242" i="1" s="1"/>
  <c r="N235" i="1"/>
  <c r="N236" i="1" s="1"/>
  <c r="N251" i="1"/>
  <c r="N252" i="1" s="1"/>
  <c r="N259" i="1"/>
  <c r="N260" i="1" s="1"/>
  <c r="N255" i="1"/>
  <c r="N256" i="1" s="1"/>
  <c r="N257" i="1"/>
  <c r="N258" i="1" s="1"/>
  <c r="N263" i="1"/>
  <c r="N264" i="1" s="1"/>
  <c r="N275" i="1"/>
  <c r="N276" i="1" s="1"/>
  <c r="N287" i="1"/>
  <c r="N288" i="1" s="1"/>
  <c r="N289" i="1"/>
  <c r="N290" i="1" s="1"/>
  <c r="N273" i="1"/>
  <c r="N274" i="1" s="1"/>
  <c r="N267" i="1"/>
  <c r="N268" i="1" s="1"/>
  <c r="N261" i="1"/>
  <c r="N262" i="1" s="1"/>
  <c r="N271" i="1"/>
  <c r="N272" i="1" s="1"/>
  <c r="N281" i="1"/>
  <c r="N282" i="1" s="1"/>
  <c r="N277" i="1"/>
  <c r="N278" i="1" s="1"/>
  <c r="N285" i="1"/>
  <c r="N286" i="1" s="1"/>
  <c r="N279" i="1"/>
  <c r="N280" i="1" s="1"/>
  <c r="N283" i="1"/>
  <c r="N284" i="1" s="1"/>
  <c r="N295" i="1"/>
  <c r="N296" i="1" s="1"/>
  <c r="N291" i="1"/>
  <c r="N292" i="1" s="1"/>
  <c r="N301" i="1"/>
  <c r="N302" i="1" s="1"/>
  <c r="N299" i="1"/>
  <c r="N300" i="1" s="1"/>
  <c r="N293" i="1"/>
  <c r="N294" i="1" s="1"/>
  <c r="N303" i="1"/>
  <c r="N304" i="1" s="1"/>
  <c r="N305" i="1"/>
  <c r="N306" i="1" s="1"/>
  <c r="N297" i="1"/>
  <c r="N298" i="1" s="1"/>
  <c r="N311" i="1"/>
  <c r="N312" i="1" s="1"/>
  <c r="N319" i="1"/>
  <c r="N320" i="1" s="1"/>
  <c r="N307" i="1"/>
  <c r="N308" i="1" s="1"/>
  <c r="N313" i="1"/>
  <c r="N314" i="1" s="1"/>
  <c r="N317" i="1"/>
  <c r="N318" i="1" s="1"/>
  <c r="N331" i="1"/>
  <c r="N332" i="1" s="1"/>
  <c r="N315" i="1"/>
  <c r="N316" i="1" s="1"/>
  <c r="N321" i="1"/>
  <c r="N322" i="1" s="1"/>
  <c r="N323" i="1"/>
  <c r="N324" i="1" s="1"/>
  <c r="N329" i="1"/>
  <c r="N330" i="1" s="1"/>
  <c r="N327" i="1"/>
  <c r="N328" i="1" s="1"/>
  <c r="N333" i="1"/>
  <c r="N334" i="1" s="1"/>
  <c r="N335" i="1"/>
  <c r="N336" i="1" s="1"/>
  <c r="N325" i="1"/>
  <c r="N326" i="1" s="1"/>
  <c r="N349" i="1"/>
  <c r="N350" i="1" s="1"/>
  <c r="N337" i="1"/>
  <c r="N338" i="1" s="1"/>
  <c r="N345" i="1"/>
  <c r="N346" i="1" s="1"/>
  <c r="N353" i="1"/>
  <c r="N354" i="1" s="1"/>
  <c r="N347" i="1"/>
  <c r="N348" i="1" s="1"/>
  <c r="N339" i="1"/>
  <c r="N340" i="1" s="1"/>
  <c r="N343" i="1"/>
  <c r="N344" i="1" s="1"/>
  <c r="N369" i="1"/>
  <c r="N370" i="1" s="1"/>
  <c r="N355" i="1"/>
  <c r="N356" i="1" s="1"/>
  <c r="N351" i="1"/>
  <c r="N352" i="1" s="1"/>
  <c r="N357" i="1"/>
  <c r="N358" i="1" s="1"/>
  <c r="N363" i="1"/>
  <c r="N364" i="1" s="1"/>
  <c r="N371" i="1"/>
  <c r="N372" i="1" s="1"/>
  <c r="N361" i="1"/>
  <c r="N362" i="1" s="1"/>
  <c r="N373" i="1"/>
  <c r="N374" i="1" s="1"/>
  <c r="N375" i="1"/>
  <c r="N376" i="1" s="1"/>
  <c r="N359" i="1"/>
  <c r="N360" i="1" s="1"/>
  <c r="N365" i="1"/>
  <c r="N366" i="1" s="1"/>
  <c r="N377" i="1"/>
  <c r="N378" i="1" s="1"/>
  <c r="N367" i="1"/>
  <c r="N368" i="1" s="1"/>
  <c r="N381" i="1"/>
  <c r="N382" i="1" s="1"/>
  <c r="N379" i="1"/>
  <c r="N380" i="1" s="1"/>
  <c r="N383" i="1"/>
  <c r="N384" i="1" s="1"/>
  <c r="L392" i="1"/>
  <c r="K392" i="1"/>
  <c r="N385" i="1"/>
  <c r="N386" i="1" s="1"/>
  <c r="N387" i="1"/>
  <c r="N388" i="1" s="1"/>
  <c r="N389" i="1"/>
  <c r="N390" i="1" s="1"/>
  <c r="I392" i="1"/>
  <c r="O392" i="1"/>
  <c r="N392" i="1"/>
  <c r="H392" i="1"/>
  <c r="N198" i="1" l="1"/>
  <c r="E11" i="6"/>
  <c r="N393" i="1"/>
  <c r="Q393" i="1" l="1"/>
  <c r="C9" i="6"/>
  <c r="C11" i="6" s="1"/>
  <c r="F11" i="6" s="1"/>
  <c r="F394" i="1" l="1"/>
  <c r="C15" i="6" s="1"/>
  <c r="M394" i="1"/>
  <c r="E20" i="6" s="1"/>
  <c r="K394" i="1"/>
  <c r="E18" i="6" s="1"/>
  <c r="J394" i="1"/>
  <c r="E17" i="6" s="1"/>
  <c r="K11" i="8" s="1"/>
  <c r="G11" i="8" s="1"/>
  <c r="G394" i="1"/>
  <c r="E14" i="6" s="1"/>
  <c r="I394" i="1"/>
  <c r="E16" i="6" s="1"/>
  <c r="K10" i="8" s="1"/>
  <c r="G10" i="8" s="1"/>
  <c r="O394" i="1"/>
  <c r="E21" i="6" s="1"/>
  <c r="K8" i="8" s="1"/>
  <c r="G8" i="8" s="1"/>
  <c r="L394" i="1"/>
  <c r="E19" i="6" s="1"/>
  <c r="H394" i="1"/>
  <c r="E15" i="6" s="1"/>
  <c r="K9" i="8" s="1"/>
  <c r="G9" i="8" s="1"/>
  <c r="N6" i="1"/>
  <c r="N394" i="1" s="1"/>
  <c r="C20" i="6" s="1"/>
  <c r="C22" i="6" s="1"/>
  <c r="K12" i="8" l="1"/>
  <c r="G12" i="8" s="1"/>
  <c r="E22" i="6"/>
  <c r="F22" i="6" s="1"/>
  <c r="Q394" i="1"/>
</calcChain>
</file>

<file path=xl/sharedStrings.xml><?xml version="1.0" encoding="utf-8"?>
<sst xmlns="http://schemas.openxmlformats.org/spreadsheetml/2006/main" count="10815" uniqueCount="1742">
  <si>
    <t>第38期 原材料</t>
    <rPh sb="0" eb="1">
      <t>ダイ</t>
    </rPh>
    <rPh sb="3" eb="4">
      <t>キ</t>
    </rPh>
    <rPh sb="5" eb="8">
      <t>ゲンザイリョウ</t>
    </rPh>
    <phoneticPr fontId="5"/>
  </si>
  <si>
    <t>ｺｰﾄﾞ</t>
    <phoneticPr fontId="5"/>
  </si>
  <si>
    <t>原料名</t>
  </si>
  <si>
    <t>単位</t>
    <rPh sb="0" eb="2">
      <t>タンイ</t>
    </rPh>
    <phoneticPr fontId="5"/>
  </si>
  <si>
    <t>期首棚卸</t>
    <rPh sb="0" eb="2">
      <t>キシュ</t>
    </rPh>
    <rPh sb="2" eb="4">
      <t>タナオロシ</t>
    </rPh>
    <phoneticPr fontId="5"/>
  </si>
  <si>
    <t>当期仕入高</t>
    <rPh sb="0" eb="2">
      <t>トウキ</t>
    </rPh>
    <rPh sb="2" eb="4">
      <t>シイレ</t>
    </rPh>
    <rPh sb="4" eb="5">
      <t>タカ</t>
    </rPh>
    <phoneticPr fontId="5"/>
  </si>
  <si>
    <t>検査・分析</t>
    <rPh sb="0" eb="2">
      <t>ケンサ</t>
    </rPh>
    <rPh sb="3" eb="5">
      <t>ブンセキ</t>
    </rPh>
    <phoneticPr fontId="5"/>
  </si>
  <si>
    <t>試用</t>
    <rPh sb="0" eb="2">
      <t>シヨウ</t>
    </rPh>
    <phoneticPr fontId="5"/>
  </si>
  <si>
    <t>返品</t>
    <rPh sb="0" eb="2">
      <t>ヘンピン</t>
    </rPh>
    <phoneticPr fontId="5"/>
  </si>
  <si>
    <t>ロス分</t>
    <rPh sb="2" eb="3">
      <t>フン</t>
    </rPh>
    <phoneticPr fontId="5"/>
  </si>
  <si>
    <t>廃棄処分</t>
    <rPh sb="0" eb="4">
      <t>ハイキショブン</t>
    </rPh>
    <phoneticPr fontId="5"/>
  </si>
  <si>
    <t>在庫調整</t>
    <rPh sb="0" eb="4">
      <t>ザイコチョウセイ</t>
    </rPh>
    <phoneticPr fontId="5"/>
  </si>
  <si>
    <t>期末棚卸</t>
    <rPh sb="0" eb="2">
      <t>キマツ</t>
    </rPh>
    <rPh sb="2" eb="4">
      <t>タナオロシ</t>
    </rPh>
    <phoneticPr fontId="5"/>
  </si>
  <si>
    <t>BM</t>
  </si>
  <si>
    <t>GPA</t>
  </si>
  <si>
    <t>MPA</t>
  </si>
  <si>
    <t>XC</t>
  </si>
  <si>
    <t>ﾘﾝｺﾞ</t>
  </si>
  <si>
    <t>数量(㎏)</t>
    <rPh sb="0" eb="2">
      <t>スウリョウ</t>
    </rPh>
    <phoneticPr fontId="5"/>
  </si>
  <si>
    <t>金額(円)</t>
    <rPh sb="0" eb="2">
      <t>キンガク</t>
    </rPh>
    <rPh sb="3" eb="4">
      <t>エン</t>
    </rPh>
    <phoneticPr fontId="5"/>
  </si>
  <si>
    <t>ｶｷ</t>
  </si>
  <si>
    <t>ﾊﾞﾅﾅ</t>
  </si>
  <si>
    <t>ﾊﾟｲﾝｱｯﾌﾟﾙ</t>
  </si>
  <si>
    <t>ｱｹﾋﾞ</t>
  </si>
  <si>
    <t>ﾏﾀﾀﾋﾞ</t>
  </si>
  <si>
    <t>ｲﾁｼﾞｸ</t>
  </si>
  <si>
    <t>ｲﾁｺﾞ</t>
  </si>
  <si>
    <t>山ﾌﾞﾄﾞｳ</t>
  </si>
  <si>
    <t>ﾌﾞﾄﾞｳ</t>
  </si>
  <si>
    <t>山桃</t>
  </si>
  <si>
    <t>梅</t>
  </si>
  <si>
    <t>ﾈｰﾌﾞﾙ</t>
  </si>
  <si>
    <t>ﾊｯｻｸ</t>
  </si>
  <si>
    <t>温州みかん</t>
  </si>
  <si>
    <t>夏みかん</t>
  </si>
  <si>
    <t>伊予柑</t>
  </si>
  <si>
    <t>ｷﾝｶﾝ</t>
  </si>
  <si>
    <t>ﾕｽﾞ</t>
  </si>
  <si>
    <t>ｶﾎﾞｽ</t>
  </si>
  <si>
    <t>ｻﾞﾎﾞﾝ</t>
  </si>
  <si>
    <t>ﾎﾟﾝｶﾝ</t>
  </si>
  <si>
    <t>ﾚﾓﾝ</t>
  </si>
  <si>
    <t>ｺﾞﾎﾞｳ</t>
  </si>
  <si>
    <t>ﾆﾝｼﾞﾝ(西洋)</t>
  </si>
  <si>
    <t>ﾆﾝｼﾞﾝ(金時)</t>
  </si>
  <si>
    <t>ﾆﾝﾆｸ</t>
  </si>
  <si>
    <t>ﾚﾝｺﾝ</t>
  </si>
  <si>
    <t>ﾕﾘ根</t>
  </si>
  <si>
    <t>玄米</t>
  </si>
  <si>
    <t>もち米</t>
  </si>
  <si>
    <t>白米</t>
  </si>
  <si>
    <t>きび</t>
  </si>
  <si>
    <t>とうもろこし</t>
  </si>
  <si>
    <t>大麦</t>
  </si>
  <si>
    <t>あわ</t>
  </si>
  <si>
    <t>大豆</t>
  </si>
  <si>
    <t>黒豆</t>
  </si>
  <si>
    <t>黒ｺﾞﾏ</t>
  </si>
  <si>
    <t>白ｺﾞﾏ</t>
  </si>
  <si>
    <t>ｺﾝﾌﾞ</t>
  </si>
  <si>
    <t>ﾜｶﾒ</t>
  </si>
  <si>
    <t>ﾋｼﾞｷ</t>
  </si>
  <si>
    <t>ﾉﾘ</t>
    <phoneticPr fontId="5"/>
  </si>
  <si>
    <t>(川)ﾉﾘ(ｱｵﾉﾘ)</t>
  </si>
  <si>
    <t>ｷｭｳﾘ</t>
  </si>
  <si>
    <t>ｼｿ</t>
  </si>
  <si>
    <t>ｾﾛﾘ</t>
  </si>
  <si>
    <t>ﾋﾞﾜ</t>
    <phoneticPr fontId="5"/>
  </si>
  <si>
    <t/>
  </si>
  <si>
    <t>ｽﾀﾞﾁ</t>
    <phoneticPr fontId="5"/>
  </si>
  <si>
    <t>干し柿</t>
  </si>
  <si>
    <t>愛玉子</t>
    <phoneticPr fontId="5"/>
  </si>
  <si>
    <t>ｶﾘﾝ</t>
    <phoneticPr fontId="5"/>
  </si>
  <si>
    <t>ﾊﾟﾊﾟｲﾔ</t>
    <phoneticPr fontId="5"/>
  </si>
  <si>
    <t>ｼｮｳｶﾞ</t>
    <phoneticPr fontId="5"/>
  </si>
  <si>
    <t>桑の実</t>
    <rPh sb="0" eb="1">
      <t>クワ</t>
    </rPh>
    <rPh sb="2" eb="3">
      <t>ミ</t>
    </rPh>
    <phoneticPr fontId="5"/>
  </si>
  <si>
    <t>ｸﾙﾐ</t>
    <phoneticPr fontId="5"/>
  </si>
  <si>
    <t>アボガド</t>
    <phoneticPr fontId="5"/>
  </si>
  <si>
    <t>いりゴマ黒</t>
    <phoneticPr fontId="5"/>
  </si>
  <si>
    <t>いりゴマ白</t>
    <phoneticPr fontId="5"/>
  </si>
  <si>
    <t>ｲｿﾏﾙﾄｵﾘｺﾞ</t>
    <phoneticPr fontId="5"/>
  </si>
  <si>
    <t>白ｺﾞﾏ(ﾐｬﾝﾏｰ産)</t>
    <phoneticPr fontId="5"/>
  </si>
  <si>
    <t>黒ｺﾞﾏ(ﾐｬﾝﾏｰ産)</t>
    <phoneticPr fontId="5"/>
  </si>
  <si>
    <t>有機リンゴ</t>
    <phoneticPr fontId="5"/>
  </si>
  <si>
    <t>有機バナナ</t>
    <phoneticPr fontId="5"/>
  </si>
  <si>
    <t>有機パイナップル缶</t>
    <phoneticPr fontId="5"/>
  </si>
  <si>
    <t>有機みかん</t>
    <phoneticPr fontId="5"/>
  </si>
  <si>
    <t>有機レモン</t>
    <phoneticPr fontId="5"/>
  </si>
  <si>
    <t>有機糖蜜</t>
    <phoneticPr fontId="5"/>
  </si>
  <si>
    <t>ﾀﾏﾈｷﾞ</t>
  </si>
  <si>
    <t>ﾌﾞﾛｯｺﾘｰ</t>
  </si>
  <si>
    <t>島ﾗｯｷｮｳ</t>
  </si>
  <si>
    <t>ﾌﾞﾅｼﾒｼﾞ</t>
  </si>
  <si>
    <t>ｸｺの実</t>
  </si>
  <si>
    <t>ﾏﾝﾈﾝﾀｹ(鹿角霊芝)</t>
  </si>
  <si>
    <t>ｼｲﾀｹ子実体</t>
  </si>
  <si>
    <t>ﾏｲﾀｹ子実体</t>
  </si>
  <si>
    <t>ｱｽｺﾌｨﾗﾑ･ﾉﾄﾞｻﾑ</t>
  </si>
  <si>
    <t>ﾊﾅﾋﾞﾗﾀｹ子実体</t>
  </si>
  <si>
    <t>米胚芽発酵抽出物</t>
  </si>
  <si>
    <t>ｵﾚﾝｼﾞはちみつ</t>
  </si>
  <si>
    <t>有機玄米</t>
  </si>
  <si>
    <t>有機もち米</t>
  </si>
  <si>
    <t>有機白米</t>
  </si>
  <si>
    <t>有機大豆</t>
  </si>
  <si>
    <t>有機ﾄﾞﾗｲﾚｰｽﾞﾝ</t>
    <phoneticPr fontId="5"/>
  </si>
  <si>
    <t>有機ﾄﾞﾗｲ白ｲﾁｼﾞｸ</t>
    <phoneticPr fontId="5"/>
  </si>
  <si>
    <t>ﾍﾞﾆﾊﾞﾅ</t>
    <phoneticPr fontId="5"/>
  </si>
  <si>
    <t>ﾅｽ</t>
    <phoneticPr fontId="5"/>
  </si>
  <si>
    <t>ﾗﾃﾞｨｯｼｭ</t>
    <phoneticPr fontId="5"/>
  </si>
  <si>
    <t>ﾄﾏﾄ</t>
    <phoneticPr fontId="5"/>
  </si>
  <si>
    <t>ﾗｲﾑ</t>
    <phoneticPr fontId="5"/>
  </si>
  <si>
    <t>ﾄﾞﾗｲｱﾌﾟﾘｺｯﾄ</t>
    <phoneticPr fontId="5"/>
  </si>
  <si>
    <t>ﾄﾞﾗｲｲﾁｼﾞｸ</t>
    <phoneticPr fontId="5"/>
  </si>
  <si>
    <t>ﾄﾞﾗｲﾃﾞｰﾂ</t>
    <phoneticPr fontId="5"/>
  </si>
  <si>
    <t>ﾌﾞﾙｰﾍﾞﾘｰ</t>
    <phoneticPr fontId="5"/>
  </si>
  <si>
    <t>ﾋﾞｰﾂ</t>
    <phoneticPr fontId="5"/>
  </si>
  <si>
    <t>じゃがいも</t>
    <phoneticPr fontId="5"/>
  </si>
  <si>
    <t>さつま芋</t>
    <rPh sb="3" eb="4">
      <t>イモ</t>
    </rPh>
    <phoneticPr fontId="5"/>
  </si>
  <si>
    <t>有機黒糖</t>
    <rPh sb="0" eb="2">
      <t>ユウキ</t>
    </rPh>
    <rPh sb="2" eb="4">
      <t>コクトウ</t>
    </rPh>
    <phoneticPr fontId="5"/>
  </si>
  <si>
    <t>黒糖</t>
  </si>
  <si>
    <t>果糖</t>
  </si>
  <si>
    <t>ﾌﾞﾄﾞｳ糖</t>
  </si>
  <si>
    <t>はちみつ</t>
  </si>
  <si>
    <t>澱粉</t>
  </si>
  <si>
    <t>きなこ</t>
  </si>
  <si>
    <t>種麹</t>
  </si>
  <si>
    <t>乾燥麹</t>
    <rPh sb="0" eb="2">
      <t>カンソウ</t>
    </rPh>
    <rPh sb="2" eb="3">
      <t>コウジ</t>
    </rPh>
    <phoneticPr fontId="5"/>
  </si>
  <si>
    <t>上白糖</t>
  </si>
  <si>
    <t>有機きなこ</t>
  </si>
  <si>
    <t>大豆粉</t>
    <phoneticPr fontId="5"/>
  </si>
  <si>
    <t>黒大豆粉</t>
    <phoneticPr fontId="5"/>
  </si>
  <si>
    <t>ｼｬﾝﾋﾟﾆｵﾝｴｷｽ濃縮液</t>
  </si>
  <si>
    <t>姫ﾏﾂﾀｹｴｷｽ顆粒末</t>
  </si>
  <si>
    <t>ﾋﾞﾀﾐﾝB2</t>
  </si>
  <si>
    <t>数量(ｇ)</t>
    <rPh sb="0" eb="2">
      <t>スウリョウ</t>
    </rPh>
    <phoneticPr fontId="5"/>
  </si>
  <si>
    <t>霊芝ｴｷｽﾊﾟｳﾀﾞｰ</t>
  </si>
  <si>
    <t>ｴｿﾞｳｺｷﾞｴｷｽ</t>
    <phoneticPr fontId="5"/>
  </si>
  <si>
    <t>ﾋﾞﾀﾐﾝB1</t>
  </si>
  <si>
    <t>ｲﾍﾟｴｷｽﾊﾟｳﾀﾞｰ</t>
    <phoneticPr fontId="5"/>
  </si>
  <si>
    <t>ｽｴﾋﾛﾀｹ菌糸体</t>
  </si>
  <si>
    <t>ﾌﾞﾙｰﾍﾞﾘｰｴｷｽ</t>
  </si>
  <si>
    <t>ｲﾁｮｳ葉ｴｷｽ</t>
  </si>
  <si>
    <t>田七人参ｴｷｽ</t>
  </si>
  <si>
    <t>ﾏｶ末</t>
  </si>
  <si>
    <t>ﾒｰﾌﾟﾙｼﾛｯﾌﾟ</t>
  </si>
  <si>
    <t>ｳｺﾝｴｷｽﾊﾟｳﾀﾞｰ</t>
  </si>
  <si>
    <t>ﾒｼﾏｺﾌﾞｴｷｽﾊﾟｳﾀﾞｰ</t>
  </si>
  <si>
    <t>大豆抽出物</t>
    <rPh sb="0" eb="2">
      <t>ダイズ</t>
    </rPh>
    <rPh sb="2" eb="4">
      <t>チュウシュツ</t>
    </rPh>
    <rPh sb="4" eb="5">
      <t>ブツ</t>
    </rPh>
    <phoneticPr fontId="5"/>
  </si>
  <si>
    <t>紫ﾄｳﾓﾛｺｼｴｷｽﾊﾟｳﾀﾞｰ</t>
  </si>
  <si>
    <t>梅ｴｷｽ</t>
  </si>
  <si>
    <t>ｺｺｱ</t>
    <phoneticPr fontId="5"/>
  </si>
  <si>
    <t>ﾌﾗﾝｽ海岸松樹皮抽出物</t>
  </si>
  <si>
    <t>ｴｺｰｶﾞﾑ</t>
  </si>
  <si>
    <t>醸造酢</t>
  </si>
  <si>
    <t>数量(ℓ)</t>
    <rPh sb="0" eb="2">
      <t>スウリョウ</t>
    </rPh>
    <phoneticPr fontId="5"/>
  </si>
  <si>
    <t>糖蜜</t>
  </si>
  <si>
    <t>ｸﾏｻﾞｻｴｷｽ</t>
    <phoneticPr fontId="5"/>
  </si>
  <si>
    <t>納豆菌</t>
    <rPh sb="0" eb="2">
      <t>ナットウ</t>
    </rPh>
    <rPh sb="2" eb="3">
      <t>キン</t>
    </rPh>
    <phoneticPr fontId="5"/>
  </si>
  <si>
    <t>山人参</t>
    <rPh sb="0" eb="1">
      <t>ヤマ</t>
    </rPh>
    <phoneticPr fontId="5"/>
  </si>
  <si>
    <t>乳酸菌</t>
    <rPh sb="0" eb="3">
      <t>ニュウサンキン</t>
    </rPh>
    <phoneticPr fontId="5"/>
  </si>
  <si>
    <t>ｺｳﾗｲﾆﾝｼﾞﾝ末</t>
    <rPh sb="9" eb="10">
      <t>マツ</t>
    </rPh>
    <phoneticPr fontId="5"/>
  </si>
  <si>
    <t>ｼｮｳｶﾞ末</t>
    <rPh sb="5" eb="6">
      <t>マツ</t>
    </rPh>
    <phoneticPr fontId="5"/>
  </si>
  <si>
    <t>ﾉﾆﾋﾟｭｰﾚ</t>
    <phoneticPr fontId="5"/>
  </si>
  <si>
    <t>黒糖液A</t>
    <rPh sb="2" eb="3">
      <t>エキ</t>
    </rPh>
    <phoneticPr fontId="5"/>
  </si>
  <si>
    <t>ｵﾘｺﾞﾄｰｽ</t>
    <phoneticPr fontId="5"/>
  </si>
  <si>
    <t>ﾍﾙﾊﾞｾﾙ</t>
    <phoneticPr fontId="5"/>
  </si>
  <si>
    <t>行者ﾆﾝﾆｸ(根･葉)</t>
    <rPh sb="0" eb="1">
      <t>ギョウ</t>
    </rPh>
    <rPh sb="1" eb="2">
      <t>シャ</t>
    </rPh>
    <rPh sb="7" eb="8">
      <t>ネ</t>
    </rPh>
    <rPh sb="9" eb="10">
      <t>ハ</t>
    </rPh>
    <phoneticPr fontId="5"/>
  </si>
  <si>
    <t>ﾖﾓｷﾞ末</t>
    <rPh sb="4" eb="5">
      <t>マツ</t>
    </rPh>
    <phoneticPr fontId="5"/>
  </si>
  <si>
    <t>ﾌﾞﾙｰﾍﾞﾘｰ末</t>
    <rPh sb="8" eb="9">
      <t>マツ</t>
    </rPh>
    <phoneticPr fontId="5"/>
  </si>
  <si>
    <t>ｼｬﾝﾋﾟﾆｵﾝｴｷｽﾊﾟｳﾀﾞｰ</t>
    <phoneticPr fontId="5"/>
  </si>
  <si>
    <t>ﾉﾆﾋﾟｭｰﾚFD粉末</t>
    <rPh sb="9" eb="11">
      <t>フンマツ</t>
    </rPh>
    <phoneticPr fontId="5"/>
  </si>
  <si>
    <t>国産はちみつ</t>
    <rPh sb="0" eb="2">
      <t>コクサン</t>
    </rPh>
    <phoneticPr fontId="5"/>
  </si>
  <si>
    <t>小麦粉</t>
    <rPh sb="0" eb="3">
      <t>コムギコ</t>
    </rPh>
    <phoneticPr fontId="5"/>
  </si>
  <si>
    <t>ｱﾙｷﾞｯﾄ</t>
    <phoneticPr fontId="5"/>
  </si>
  <si>
    <t>ﾊﾅﾋﾞﾗﾀｹ粉末</t>
    <rPh sb="7" eb="9">
      <t>フンマツ</t>
    </rPh>
    <phoneticPr fontId="5"/>
  </si>
  <si>
    <t>ﾊﾞﾗ抽出物</t>
    <rPh sb="3" eb="5">
      <t>チュウシュツ</t>
    </rPh>
    <rPh sb="5" eb="6">
      <t>ブツ</t>
    </rPh>
    <phoneticPr fontId="5"/>
  </si>
  <si>
    <t>ｲｿﾏﾙﾄ900P</t>
    <phoneticPr fontId="5"/>
  </si>
  <si>
    <t>輸入はちみつ</t>
    <rPh sb="0" eb="2">
      <t>ユニュウ</t>
    </rPh>
    <phoneticPr fontId="5"/>
  </si>
  <si>
    <t>ﾉﾆﾋﾟｭｰﾚ液</t>
    <rPh sb="7" eb="8">
      <t>エキ</t>
    </rPh>
    <phoneticPr fontId="5"/>
  </si>
  <si>
    <t>冬虫夏草</t>
    <rPh sb="0" eb="1">
      <t>フユ</t>
    </rPh>
    <rPh sb="1" eb="2">
      <t>ムシ</t>
    </rPh>
    <rPh sb="2" eb="3">
      <t>ナツ</t>
    </rPh>
    <rPh sb="3" eb="4">
      <t>クサ</t>
    </rPh>
    <phoneticPr fontId="5"/>
  </si>
  <si>
    <t>ｱﾙｷﾞｯﾄﾌｧｲﾝ</t>
  </si>
  <si>
    <t>本葛</t>
  </si>
  <si>
    <t>ｼｰｸﾆﾝ</t>
    <phoneticPr fontId="5"/>
  </si>
  <si>
    <t>ｳｺﾝ</t>
  </si>
  <si>
    <t>ﾏﾇｶﾊﾆｰ</t>
  </si>
  <si>
    <t>ｱｶﾞﾘｸｽ子実体ｴｷｽ末</t>
    <rPh sb="6" eb="8">
      <t>ジッタイ</t>
    </rPh>
    <rPh sb="8" eb="11">
      <t>エキス</t>
    </rPh>
    <phoneticPr fontId="5"/>
  </si>
  <si>
    <t>乳酸菌生産残流液</t>
    <rPh sb="0" eb="3">
      <t>ニュウサンキン</t>
    </rPh>
    <rPh sb="3" eb="5">
      <t>セイサン</t>
    </rPh>
    <rPh sb="5" eb="6">
      <t>ザン</t>
    </rPh>
    <rPh sb="6" eb="7">
      <t>リュウ</t>
    </rPh>
    <rPh sb="7" eb="8">
      <t>エキ</t>
    </rPh>
    <phoneticPr fontId="5"/>
  </si>
  <si>
    <t>ｶﾞﾙｼｱ末</t>
  </si>
  <si>
    <t>ｲﾍﾟ茶</t>
  </si>
  <si>
    <t>ﾋﾞｰﾄ糖蜜</t>
    <phoneticPr fontId="5"/>
  </si>
  <si>
    <t>ｻﾝｺﾞｴｷｽﾊﾟｳﾀﾞｰ</t>
    <phoneticPr fontId="5"/>
  </si>
  <si>
    <t>ﾀｶﾗｹﾞﾝBK-20</t>
    <phoneticPr fontId="5"/>
  </si>
  <si>
    <t>貝殻焼成ｶﾙｼｳﾑ</t>
    <phoneticPr fontId="5"/>
  </si>
  <si>
    <t>柿渋</t>
    <phoneticPr fontId="5"/>
  </si>
  <si>
    <t>ｶﾊﾞﾅｱﾅﾀｹ</t>
    <phoneticPr fontId="5"/>
  </si>
  <si>
    <t>青ﾊﾟﾊﾟｲﾔの皮(生)</t>
    <rPh sb="0" eb="1">
      <t>アオ</t>
    </rPh>
    <rPh sb="8" eb="9">
      <t>カワ</t>
    </rPh>
    <rPh sb="10" eb="11">
      <t>ナマ</t>
    </rPh>
    <phoneticPr fontId="5"/>
  </si>
  <si>
    <t>ﾏｶ</t>
  </si>
  <si>
    <t>INSTANT MACA POWDER</t>
    <phoneticPr fontId="5"/>
  </si>
  <si>
    <t>ゆず種</t>
  </si>
  <si>
    <t>ﾒｲｵｰﾙ</t>
  </si>
  <si>
    <t>青ﾊﾟﾊﾟｲﾔ</t>
    <rPh sb="0" eb="1">
      <t>アオ</t>
    </rPh>
    <phoneticPr fontId="5"/>
  </si>
  <si>
    <t>コーンジャム</t>
    <phoneticPr fontId="5"/>
  </si>
  <si>
    <t>ポップコーン豆</t>
    <phoneticPr fontId="5"/>
  </si>
  <si>
    <t>サフラワー種</t>
    <phoneticPr fontId="5"/>
  </si>
  <si>
    <t>ｾﾙｹｱ20</t>
    <phoneticPr fontId="5"/>
  </si>
  <si>
    <t>桑の葉ｴｷｽﾊﾟｳﾀﾞｰ</t>
    <phoneticPr fontId="5"/>
  </si>
  <si>
    <t>ゴマ油</t>
  </si>
  <si>
    <t>アボカド油</t>
  </si>
  <si>
    <t>クルミ油</t>
  </si>
  <si>
    <t>ｲﾝｹﾞﾝ豆</t>
    <rPh sb="5" eb="6">
      <t>マメ</t>
    </rPh>
    <phoneticPr fontId="5"/>
  </si>
  <si>
    <t>小豆</t>
    <rPh sb="0" eb="2">
      <t>アズキ</t>
    </rPh>
    <phoneticPr fontId="5"/>
  </si>
  <si>
    <t>ひよこ豆</t>
    <rPh sb="3" eb="4">
      <t>マメ</t>
    </rPh>
    <phoneticPr fontId="5"/>
  </si>
  <si>
    <t>そら豆</t>
    <rPh sb="2" eb="3">
      <t>マメ</t>
    </rPh>
    <phoneticPr fontId="5"/>
  </si>
  <si>
    <t>えんどう豆</t>
    <rPh sb="4" eb="5">
      <t>マメ</t>
    </rPh>
    <phoneticPr fontId="5"/>
  </si>
  <si>
    <t>水道水</t>
    <rPh sb="0" eb="3">
      <t>スイドウスイ</t>
    </rPh>
    <phoneticPr fontId="5"/>
  </si>
  <si>
    <t>←水道水は毎回在庫調整で0にする</t>
    <rPh sb="1" eb="4">
      <t>スイドウスイ</t>
    </rPh>
    <rPh sb="5" eb="7">
      <t>マイカイ</t>
    </rPh>
    <rPh sb="7" eb="9">
      <t>ザイコ</t>
    </rPh>
    <rPh sb="9" eb="11">
      <t>チョウセイ</t>
    </rPh>
    <phoneticPr fontId="5"/>
  </si>
  <si>
    <t>合計チェック</t>
    <rPh sb="0" eb="2">
      <t>ゴウケイ</t>
    </rPh>
    <phoneticPr fontId="5"/>
  </si>
  <si>
    <t>合　　　計</t>
    <rPh sb="0" eb="1">
      <t>ゴウ</t>
    </rPh>
    <rPh sb="4" eb="5">
      <t>ケイ</t>
    </rPh>
    <phoneticPr fontId="5"/>
  </si>
  <si>
    <t>原料コード</t>
  </si>
  <si>
    <t>原料量</t>
  </si>
  <si>
    <t>単位</t>
  </si>
  <si>
    <t>仕入金額</t>
  </si>
  <si>
    <t>check</t>
    <phoneticPr fontId="5"/>
  </si>
  <si>
    <t>㎏</t>
  </si>
  <si>
    <t>みかん</t>
  </si>
  <si>
    <t>ﾆﾝｼﾞﾝ（西洋）</t>
  </si>
  <si>
    <t>ﾆﾝｼﾞﾝ（金時）</t>
  </si>
  <si>
    <t>ﾉﾘ</t>
  </si>
  <si>
    <t>ｶﾘﾝ</t>
  </si>
  <si>
    <t>ｼｮｳｶﾞ</t>
  </si>
  <si>
    <t>桑の実</t>
  </si>
  <si>
    <t>ｸﾙﾐ</t>
  </si>
  <si>
    <t>ｵﾘｺﾞ糖</t>
  </si>
  <si>
    <t>ブルーベリー</t>
  </si>
  <si>
    <t>ビーツ</t>
  </si>
  <si>
    <t>じゃがいも</t>
  </si>
  <si>
    <t>さつま芋</t>
  </si>
  <si>
    <t>有機黒糖</t>
  </si>
  <si>
    <t>kg</t>
  </si>
  <si>
    <t>納豆菌</t>
  </si>
  <si>
    <t>乳酸菌</t>
  </si>
  <si>
    <t>ﾍﾙﾊﾞｾﾙ</t>
  </si>
  <si>
    <t>ﾌﾞﾙｰﾍﾞﾘｰ末</t>
  </si>
  <si>
    <t>輸入はちみつ</t>
  </si>
  <si>
    <t>ﾉﾆﾋﾟｭｰﾚ液</t>
  </si>
  <si>
    <t>ｱｶﾞﾘｸｽ子実体ｴｷｽ末</t>
  </si>
  <si>
    <t>コーン油</t>
  </si>
  <si>
    <t>インゲン豆</t>
  </si>
  <si>
    <t>小豆</t>
  </si>
  <si>
    <t>ひよこ豆</t>
  </si>
  <si>
    <t>そら豆</t>
  </si>
  <si>
    <t>えんどう豆</t>
  </si>
  <si>
    <t>原液コード</t>
  </si>
  <si>
    <t>原液名</t>
  </si>
  <si>
    <t>工程コード</t>
  </si>
  <si>
    <t>工程名</t>
  </si>
  <si>
    <t>1-00-09</t>
  </si>
  <si>
    <t>GIN</t>
  </si>
  <si>
    <t>055</t>
  </si>
  <si>
    <t>002</t>
  </si>
  <si>
    <t>仕込工程</t>
  </si>
  <si>
    <t>製造使用分</t>
  </si>
  <si>
    <t>201</t>
  </si>
  <si>
    <t>1-41-1-01</t>
  </si>
  <si>
    <t>41Rﾘ</t>
  </si>
  <si>
    <t>001</t>
  </si>
  <si>
    <t>006</t>
  </si>
  <si>
    <t>添加･混合工程</t>
  </si>
  <si>
    <t>1-42-1-01</t>
  </si>
  <si>
    <t>42Rﾘ</t>
  </si>
  <si>
    <t>1-49-1</t>
  </si>
  <si>
    <t>49R</t>
  </si>
  <si>
    <t>008</t>
  </si>
  <si>
    <t>025</t>
  </si>
  <si>
    <t>027</t>
  </si>
  <si>
    <t>030</t>
  </si>
  <si>
    <t>039</t>
  </si>
  <si>
    <t>040</t>
  </si>
  <si>
    <t>046</t>
  </si>
  <si>
    <t>047</t>
  </si>
  <si>
    <t>048</t>
  </si>
  <si>
    <t>051</t>
  </si>
  <si>
    <t>057</t>
  </si>
  <si>
    <t>061</t>
  </si>
  <si>
    <t>202</t>
  </si>
  <si>
    <t>203</t>
  </si>
  <si>
    <t>204</t>
  </si>
  <si>
    <t>916</t>
  </si>
  <si>
    <t>917</t>
  </si>
  <si>
    <t>ベニ花油</t>
  </si>
  <si>
    <t>920</t>
  </si>
  <si>
    <t>921</t>
  </si>
  <si>
    <t>922</t>
  </si>
  <si>
    <t>1-50-1</t>
  </si>
  <si>
    <t>50R</t>
  </si>
  <si>
    <t>005</t>
  </si>
  <si>
    <t>007</t>
  </si>
  <si>
    <t>009</t>
  </si>
  <si>
    <t>010</t>
  </si>
  <si>
    <t>011</t>
  </si>
  <si>
    <t>012</t>
  </si>
  <si>
    <t>024</t>
  </si>
  <si>
    <t>026</t>
  </si>
  <si>
    <t>028</t>
  </si>
  <si>
    <t>029</t>
  </si>
  <si>
    <t>032</t>
  </si>
  <si>
    <t>033</t>
  </si>
  <si>
    <t>034</t>
  </si>
  <si>
    <t>035</t>
  </si>
  <si>
    <t>036</t>
  </si>
  <si>
    <t>037</t>
  </si>
  <si>
    <t>038</t>
  </si>
  <si>
    <t>041</t>
  </si>
  <si>
    <t>042</t>
  </si>
  <si>
    <t>043</t>
  </si>
  <si>
    <t>044</t>
  </si>
  <si>
    <t>045</t>
  </si>
  <si>
    <t>200</t>
  </si>
  <si>
    <t>205</t>
  </si>
  <si>
    <t>206</t>
  </si>
  <si>
    <t>207</t>
  </si>
  <si>
    <t>923</t>
  </si>
  <si>
    <t>924</t>
  </si>
  <si>
    <t>925</t>
  </si>
  <si>
    <t>926</t>
  </si>
  <si>
    <t>927</t>
  </si>
  <si>
    <t>1-51-1</t>
  </si>
  <si>
    <t>51R</t>
  </si>
  <si>
    <t>003</t>
  </si>
  <si>
    <t>004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</si>
  <si>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</si>
  <si>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</si>
  <si>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</si>
  <si>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</si>
  <si>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</si>
  <si>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</si>
  <si>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</si>
  <si>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</si>
  <si>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</si>
  <si>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</si>
  <si>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</si>
  <si>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031</t>
  </si>
  <si>
    <t>096</t>
  </si>
  <si>
    <t>097</t>
  </si>
  <si>
    <t>098</t>
  </si>
  <si>
    <t>099</t>
  </si>
  <si>
    <t>4-00-01</t>
  </si>
  <si>
    <t>333</t>
  </si>
  <si>
    <t>4-02-07</t>
  </si>
  <si>
    <t>BG</t>
  </si>
  <si>
    <t>4-02-14</t>
  </si>
  <si>
    <t>352</t>
  </si>
  <si>
    <t>4-04-03</t>
  </si>
  <si>
    <t>DC</t>
  </si>
  <si>
    <t>302</t>
  </si>
  <si>
    <t>327</t>
  </si>
  <si>
    <t>353</t>
  </si>
  <si>
    <t>4-06-02</t>
  </si>
  <si>
    <t>FB</t>
  </si>
  <si>
    <t>301</t>
  </si>
  <si>
    <t>312</t>
  </si>
  <si>
    <t>317</t>
  </si>
  <si>
    <t>4-07</t>
  </si>
  <si>
    <t>G</t>
  </si>
  <si>
    <t>4-15-06</t>
  </si>
  <si>
    <t>OF</t>
  </si>
  <si>
    <t>4-16-05-01</t>
  </si>
  <si>
    <t>PEA</t>
  </si>
  <si>
    <t>4-16-18</t>
  </si>
  <si>
    <t>PR</t>
  </si>
  <si>
    <t>336</t>
  </si>
  <si>
    <t>4-16-19-01</t>
  </si>
  <si>
    <t>PSA</t>
  </si>
  <si>
    <t>338</t>
  </si>
  <si>
    <t>ﾉﾆﾋﾟｭｰﾚFD粉末</t>
  </si>
  <si>
    <t>345</t>
  </si>
  <si>
    <t>346</t>
  </si>
  <si>
    <t>4-16-24-01</t>
  </si>
  <si>
    <t>PXA</t>
  </si>
  <si>
    <t>4-16-24-02</t>
  </si>
  <si>
    <t>PXM</t>
  </si>
  <si>
    <t>4-30-01</t>
  </si>
  <si>
    <t>4-52-01</t>
  </si>
  <si>
    <t>5A</t>
  </si>
  <si>
    <t>318</t>
  </si>
  <si>
    <t>4-55-03</t>
  </si>
  <si>
    <t>325</t>
  </si>
  <si>
    <t>7-10</t>
  </si>
  <si>
    <t>桑</t>
  </si>
  <si>
    <t>056</t>
  </si>
  <si>
    <t>7-11</t>
  </si>
  <si>
    <t>黒西</t>
  </si>
  <si>
    <t>工程ロス</t>
  </si>
  <si>
    <t>ロス分</t>
  </si>
  <si>
    <t>呼吸ロス</t>
  </si>
  <si>
    <t>検査･分析</t>
  </si>
  <si>
    <t>検査・分析</t>
  </si>
  <si>
    <t>053</t>
  </si>
  <si>
    <t>その他</t>
  </si>
  <si>
    <t>在庫調整</t>
  </si>
  <si>
    <t>100</t>
  </si>
  <si>
    <t>012-1</t>
  </si>
  <si>
    <t>梅（冷凍）</t>
  </si>
  <si>
    <t>088</t>
  </si>
  <si>
    <t>ベニバナ（乾燥）</t>
  </si>
  <si>
    <t>348</t>
  </si>
  <si>
    <t>052</t>
  </si>
  <si>
    <t>試用</t>
  </si>
  <si>
    <t>341</t>
  </si>
  <si>
    <t>ｱﾙｷﾞｯﾄ</t>
  </si>
  <si>
    <t>処分</t>
  </si>
  <si>
    <t>廃棄処分</t>
  </si>
  <si>
    <t>105</t>
  </si>
  <si>
    <t>058</t>
  </si>
  <si>
    <t>ｱﾎﾞｶﾄﾞ</t>
  </si>
  <si>
    <t>094</t>
  </si>
  <si>
    <t>ドライイチジク</t>
  </si>
  <si>
    <t>321</t>
  </si>
  <si>
    <t>322</t>
  </si>
  <si>
    <t>335</t>
  </si>
  <si>
    <t>ﾖﾓｷﾞ末</t>
  </si>
  <si>
    <t>返品</t>
  </si>
  <si>
    <t>原料ロット番号</t>
  </si>
  <si>
    <t>在庫数量</t>
  </si>
  <si>
    <t>受入数量</t>
  </si>
  <si>
    <t>使用数量</t>
  </si>
  <si>
    <t>賞味期限の先頭</t>
  </si>
  <si>
    <t>備考の先頭</t>
  </si>
  <si>
    <t>190726</t>
  </si>
  <si>
    <t>191219</t>
  </si>
  <si>
    <t>200127</t>
  </si>
  <si>
    <t>200203</t>
  </si>
  <si>
    <t>200207</t>
  </si>
  <si>
    <t>200213</t>
  </si>
  <si>
    <t>200522-2</t>
  </si>
  <si>
    <t>200714</t>
  </si>
  <si>
    <t>200728</t>
  </si>
  <si>
    <t>201109</t>
  </si>
  <si>
    <t>210105</t>
  </si>
  <si>
    <t>210120</t>
  </si>
  <si>
    <t>210215</t>
  </si>
  <si>
    <t>仕入先：㈲やまこう商店</t>
  </si>
  <si>
    <t>210226</t>
  </si>
  <si>
    <t>210301</t>
  </si>
  <si>
    <t>210514</t>
  </si>
  <si>
    <t>220106</t>
  </si>
  <si>
    <t>220117</t>
  </si>
  <si>
    <t>220120</t>
  </si>
  <si>
    <t>220131</t>
  </si>
  <si>
    <t>230106</t>
  </si>
  <si>
    <t>230116</t>
  </si>
  <si>
    <t>230124</t>
  </si>
  <si>
    <t>230203</t>
  </si>
  <si>
    <t>230727</t>
  </si>
  <si>
    <t>240115</t>
  </si>
  <si>
    <t>240125</t>
  </si>
  <si>
    <t>240205</t>
  </si>
  <si>
    <t>250109</t>
  </si>
  <si>
    <t>250117</t>
  </si>
  <si>
    <t>250210</t>
  </si>
  <si>
    <t>仕入先：㈱シャンティ</t>
  </si>
  <si>
    <t>201015</t>
  </si>
  <si>
    <t>201016</t>
  </si>
  <si>
    <t>無償</t>
  </si>
  <si>
    <t>210128</t>
  </si>
  <si>
    <t>211023</t>
  </si>
  <si>
    <t>221028</t>
  </si>
  <si>
    <t>231020</t>
  </si>
  <si>
    <t>240226</t>
  </si>
  <si>
    <t>241028</t>
  </si>
  <si>
    <t>200716</t>
  </si>
  <si>
    <t>200717</t>
  </si>
  <si>
    <t>無償　ﾌｨﾘﾋﾟﾝ産</t>
  </si>
  <si>
    <t>200902</t>
  </si>
  <si>
    <t>無償支給</t>
  </si>
  <si>
    <t>201111</t>
  </si>
  <si>
    <t>無償　有機</t>
  </si>
  <si>
    <t>210108</t>
  </si>
  <si>
    <t>210115</t>
  </si>
  <si>
    <t>210123</t>
  </si>
  <si>
    <t>210125</t>
  </si>
  <si>
    <t>220107</t>
  </si>
  <si>
    <t>220114</t>
  </si>
  <si>
    <t>220124</t>
  </si>
  <si>
    <t>230111</t>
  </si>
  <si>
    <t>230123</t>
  </si>
  <si>
    <t>230130</t>
  </si>
  <si>
    <t>230731</t>
  </si>
  <si>
    <t>240119</t>
  </si>
  <si>
    <t>240124</t>
  </si>
  <si>
    <t>250110</t>
  </si>
  <si>
    <t>250120</t>
  </si>
  <si>
    <t>250123</t>
  </si>
  <si>
    <t>210119</t>
  </si>
  <si>
    <t>210122</t>
  </si>
  <si>
    <t>220125</t>
  </si>
  <si>
    <t>230127</t>
  </si>
  <si>
    <t>230131</t>
  </si>
  <si>
    <t>240112</t>
  </si>
  <si>
    <t>240116</t>
  </si>
  <si>
    <t>240122</t>
  </si>
  <si>
    <t>240123</t>
  </si>
  <si>
    <t>250120-1</t>
  </si>
  <si>
    <t>250120-2</t>
  </si>
  <si>
    <t>仕入先：㈱スミフルジャパン</t>
  </si>
  <si>
    <t>200915</t>
  </si>
  <si>
    <t>200917</t>
  </si>
  <si>
    <t>200923</t>
  </si>
  <si>
    <t>10/9　冷凍保存</t>
  </si>
  <si>
    <t>210308</t>
  </si>
  <si>
    <t>210911</t>
  </si>
  <si>
    <t>210921</t>
  </si>
  <si>
    <t>返品交換分(33.7kg)、無償支給(17.3kg)</t>
  </si>
  <si>
    <t>220930</t>
  </si>
  <si>
    <t>231004</t>
  </si>
  <si>
    <t>241004</t>
  </si>
  <si>
    <t>190930</t>
  </si>
  <si>
    <t>冷凍</t>
  </si>
  <si>
    <t>201002</t>
  </si>
  <si>
    <t>210129-1</t>
  </si>
  <si>
    <t>210129-2</t>
  </si>
  <si>
    <t>211004</t>
  </si>
  <si>
    <t>211008</t>
  </si>
  <si>
    <t>221020</t>
  </si>
  <si>
    <t>231023</t>
  </si>
  <si>
    <t>冷凍保存</t>
  </si>
  <si>
    <t>220912</t>
  </si>
  <si>
    <t>230913</t>
  </si>
  <si>
    <t>230914</t>
  </si>
  <si>
    <t>240917</t>
  </si>
  <si>
    <t>240918</t>
  </si>
  <si>
    <t>201203</t>
  </si>
  <si>
    <t>210304</t>
  </si>
  <si>
    <t>210601</t>
  </si>
  <si>
    <t>220303</t>
  </si>
  <si>
    <t>230306</t>
  </si>
  <si>
    <t>230512</t>
  </si>
  <si>
    <t>230519</t>
  </si>
  <si>
    <t>240311</t>
  </si>
  <si>
    <t>240612</t>
  </si>
  <si>
    <t>250310</t>
  </si>
  <si>
    <t>201009-1</t>
  </si>
  <si>
    <t>201009-2</t>
  </si>
  <si>
    <t>211015-1</t>
  </si>
  <si>
    <t>211015-2</t>
  </si>
  <si>
    <t>221013</t>
  </si>
  <si>
    <t>221017</t>
  </si>
  <si>
    <t>231011</t>
  </si>
  <si>
    <t>231012</t>
  </si>
  <si>
    <t>241015</t>
  </si>
  <si>
    <t>241021</t>
  </si>
  <si>
    <t>200727</t>
  </si>
  <si>
    <t>ピオーネ</t>
  </si>
  <si>
    <t>200904</t>
  </si>
  <si>
    <t>201214</t>
  </si>
  <si>
    <t>210726</t>
  </si>
  <si>
    <t>210828</t>
  </si>
  <si>
    <t>220830</t>
  </si>
  <si>
    <t>230828</t>
  </si>
  <si>
    <t>240828</t>
  </si>
  <si>
    <t>190626</t>
  </si>
  <si>
    <t>190627</t>
  </si>
  <si>
    <t>190628</t>
  </si>
  <si>
    <t>200402</t>
  </si>
  <si>
    <t>200625</t>
  </si>
  <si>
    <t>201223</t>
  </si>
  <si>
    <t>20180702</t>
  </si>
  <si>
    <t>210617</t>
  </si>
  <si>
    <t>220627</t>
  </si>
  <si>
    <t>230627</t>
  </si>
  <si>
    <t>240628</t>
  </si>
  <si>
    <t>240702</t>
  </si>
  <si>
    <t>190603-1</t>
  </si>
  <si>
    <t>190603-2</t>
  </si>
  <si>
    <t>200529</t>
  </si>
  <si>
    <t>210604</t>
  </si>
  <si>
    <t>アグリバイオ技術部支給</t>
  </si>
  <si>
    <t>220614</t>
  </si>
  <si>
    <t>230609</t>
  </si>
  <si>
    <t>240607</t>
  </si>
  <si>
    <t>230509</t>
  </si>
  <si>
    <t>200522</t>
  </si>
  <si>
    <t>無償支給 冷凍</t>
  </si>
  <si>
    <t>200901</t>
  </si>
  <si>
    <t>210107</t>
  </si>
  <si>
    <t>アグリバイオ事業部支給</t>
  </si>
  <si>
    <t>210118-1</t>
  </si>
  <si>
    <t>210118-2</t>
  </si>
  <si>
    <t>田中屋支給</t>
  </si>
  <si>
    <t>ｱｸﾞﾘﾊﾞｲｵ技術部支給</t>
  </si>
  <si>
    <t>230117</t>
  </si>
  <si>
    <t>支給</t>
  </si>
  <si>
    <t>013-1</t>
  </si>
  <si>
    <t>ﾈｰﾌﾞﾙ冷凍</t>
  </si>
  <si>
    <t>220121</t>
  </si>
  <si>
    <t>220127</t>
  </si>
  <si>
    <t>014-1</t>
  </si>
  <si>
    <t>ﾊｯｻｸ冷凍</t>
  </si>
  <si>
    <t>201112</t>
  </si>
  <si>
    <t>210112</t>
  </si>
  <si>
    <t>210118</t>
  </si>
  <si>
    <t>220129</t>
  </si>
  <si>
    <t>230119</t>
  </si>
  <si>
    <t>240126</t>
  </si>
  <si>
    <t>250122</t>
  </si>
  <si>
    <t>015-1</t>
  </si>
  <si>
    <t>みかん冷凍</t>
  </si>
  <si>
    <t>無償支給 冷凍保存</t>
  </si>
  <si>
    <t>016-1</t>
  </si>
  <si>
    <t>夏みかん冷凍</t>
  </si>
  <si>
    <t>017-1</t>
  </si>
  <si>
    <t>伊予柑冷凍</t>
  </si>
  <si>
    <t>018-1</t>
  </si>
  <si>
    <t>ｷﾝｶﾝ冷凍</t>
  </si>
  <si>
    <t>019-1</t>
  </si>
  <si>
    <t>ﾕｽﾞ冷凍</t>
  </si>
  <si>
    <t>020-1</t>
  </si>
  <si>
    <t>ｶﾎﾞｽ冷凍</t>
  </si>
  <si>
    <t>021-1</t>
  </si>
  <si>
    <t>ｻﾞﾎﾞﾝ冷凍</t>
  </si>
  <si>
    <t>022-1</t>
  </si>
  <si>
    <t>ﾎﾟﾝｶﾝ冷凍</t>
  </si>
  <si>
    <t>023-1</t>
  </si>
  <si>
    <t>ﾚﾓﾝ冷凍</t>
  </si>
  <si>
    <t>201116</t>
  </si>
  <si>
    <t>211122</t>
  </si>
  <si>
    <t>221124</t>
  </si>
  <si>
    <t>231124</t>
  </si>
  <si>
    <t>240507</t>
  </si>
  <si>
    <t>241118</t>
  </si>
  <si>
    <t>201210</t>
  </si>
  <si>
    <t>201217</t>
  </si>
  <si>
    <t>210323</t>
  </si>
  <si>
    <t>210622</t>
  </si>
  <si>
    <t>211019</t>
  </si>
  <si>
    <t>仕入先：㈱創風土 　有機</t>
  </si>
  <si>
    <t>211210</t>
  </si>
  <si>
    <t>221212</t>
  </si>
  <si>
    <t>231208</t>
  </si>
  <si>
    <t>231211</t>
  </si>
  <si>
    <t>240531</t>
  </si>
  <si>
    <t>241202</t>
  </si>
  <si>
    <t>201215</t>
  </si>
  <si>
    <t>231122</t>
  </si>
  <si>
    <t>231214</t>
  </si>
  <si>
    <t>241209</t>
  </si>
  <si>
    <t>200729</t>
  </si>
  <si>
    <t>201005</t>
  </si>
  <si>
    <t>201113</t>
  </si>
  <si>
    <t>201128-1</t>
  </si>
  <si>
    <t>201128-2</t>
  </si>
  <si>
    <t>201202</t>
  </si>
  <si>
    <t>201218</t>
  </si>
  <si>
    <t>20211227</t>
  </si>
  <si>
    <t>20221218</t>
  </si>
  <si>
    <t>20231224</t>
  </si>
  <si>
    <t>20241223</t>
  </si>
  <si>
    <t>2024/12/23</t>
  </si>
  <si>
    <t>210521</t>
  </si>
  <si>
    <t>210618</t>
  </si>
  <si>
    <t>211011</t>
  </si>
  <si>
    <t>有機 仕入先：㈲瑞宝･中里町自然農法研究会</t>
  </si>
  <si>
    <t>211129</t>
  </si>
  <si>
    <t>221205</t>
  </si>
  <si>
    <t>230929</t>
  </si>
  <si>
    <t>231102</t>
  </si>
  <si>
    <t>231201</t>
  </si>
  <si>
    <t>231204</t>
  </si>
  <si>
    <t>240517</t>
  </si>
  <si>
    <t>240604</t>
  </si>
  <si>
    <t>221128</t>
  </si>
  <si>
    <t>191128</t>
  </si>
  <si>
    <t>19921</t>
  </si>
  <si>
    <t>19926</t>
  </si>
  <si>
    <t>202209</t>
  </si>
  <si>
    <t>202309</t>
  </si>
  <si>
    <t>202309-1</t>
  </si>
  <si>
    <t>202309-2</t>
  </si>
  <si>
    <t>202409</t>
  </si>
  <si>
    <t>20919</t>
  </si>
  <si>
    <t>20921</t>
  </si>
  <si>
    <t>21101</t>
  </si>
  <si>
    <t>不明</t>
  </si>
  <si>
    <t>機械ﾃｽﾄ実施分</t>
  </si>
  <si>
    <t>200123</t>
  </si>
  <si>
    <t>201128</t>
  </si>
  <si>
    <t>202304-1</t>
  </si>
  <si>
    <t>202304-2</t>
  </si>
  <si>
    <t>202404</t>
  </si>
  <si>
    <t>202504</t>
  </si>
  <si>
    <t>20414</t>
  </si>
  <si>
    <t>21421</t>
  </si>
  <si>
    <t>2204</t>
  </si>
  <si>
    <t>190621</t>
  </si>
  <si>
    <t>190622</t>
  </si>
  <si>
    <t>190623</t>
  </si>
  <si>
    <t>190723</t>
  </si>
  <si>
    <t>19621</t>
  </si>
  <si>
    <t>202206</t>
  </si>
  <si>
    <t>202306</t>
  </si>
  <si>
    <t>202406</t>
  </si>
  <si>
    <t>20415</t>
  </si>
  <si>
    <t>20622</t>
  </si>
  <si>
    <t>2095</t>
  </si>
  <si>
    <t>21130</t>
  </si>
  <si>
    <t>21424</t>
  </si>
  <si>
    <t>21627</t>
  </si>
  <si>
    <t>310411</t>
  </si>
  <si>
    <t>20200820</t>
  </si>
  <si>
    <t>JPKI210901</t>
  </si>
  <si>
    <t>JPKI220602</t>
  </si>
  <si>
    <t>JPKI230101</t>
  </si>
  <si>
    <t>JPKI230103</t>
  </si>
  <si>
    <t>JPKI240801</t>
  </si>
  <si>
    <t>仕入先：食協㈱</t>
  </si>
  <si>
    <t>190619</t>
  </si>
  <si>
    <t>200615</t>
  </si>
  <si>
    <t>210616</t>
  </si>
  <si>
    <t>220620</t>
  </si>
  <si>
    <t>230621</t>
  </si>
  <si>
    <t>240620</t>
  </si>
  <si>
    <t>20210912AF</t>
  </si>
  <si>
    <t>20220629ABD</t>
  </si>
  <si>
    <t>20220930BB</t>
  </si>
  <si>
    <t>2022/09/30</t>
  </si>
  <si>
    <t>20230902BB</t>
  </si>
  <si>
    <t>2023/09/02</t>
  </si>
  <si>
    <t>20240831BB</t>
  </si>
  <si>
    <t>2024/08/31</t>
  </si>
  <si>
    <t>20250914BB</t>
  </si>
  <si>
    <t>2025/09/14</t>
  </si>
  <si>
    <t>20201008</t>
  </si>
  <si>
    <t>JPAW210801</t>
  </si>
  <si>
    <t>JPAW220601</t>
  </si>
  <si>
    <t>JPAW230901</t>
  </si>
  <si>
    <t>180605</t>
  </si>
  <si>
    <t>180817</t>
  </si>
  <si>
    <t>190716</t>
  </si>
  <si>
    <t>20218</t>
  </si>
  <si>
    <t>21617</t>
  </si>
  <si>
    <t>22525</t>
  </si>
  <si>
    <t>23523</t>
  </si>
  <si>
    <t>23530</t>
  </si>
  <si>
    <t>24524</t>
  </si>
  <si>
    <t>180522</t>
  </si>
  <si>
    <t>190612</t>
  </si>
  <si>
    <t>190625</t>
  </si>
  <si>
    <t>200204</t>
  </si>
  <si>
    <t>200626</t>
  </si>
  <si>
    <t>210625</t>
  </si>
  <si>
    <t>21409</t>
  </si>
  <si>
    <t>22311</t>
  </si>
  <si>
    <t>23525</t>
  </si>
  <si>
    <t>24131</t>
  </si>
  <si>
    <t>21310</t>
  </si>
  <si>
    <t>有機</t>
  </si>
  <si>
    <t>21315</t>
  </si>
  <si>
    <t>21316</t>
  </si>
  <si>
    <t>2139</t>
  </si>
  <si>
    <t>22314</t>
  </si>
  <si>
    <t>2239</t>
  </si>
  <si>
    <t>23316</t>
  </si>
  <si>
    <t>2023/03/16</t>
  </si>
  <si>
    <t>23322</t>
  </si>
  <si>
    <t>2023/03/22</t>
  </si>
  <si>
    <t>24314</t>
  </si>
  <si>
    <t>2024/03/14</t>
  </si>
  <si>
    <t>2434</t>
  </si>
  <si>
    <t>2024/03/04</t>
  </si>
  <si>
    <t>25310</t>
  </si>
  <si>
    <t>2025/03/10</t>
  </si>
  <si>
    <t>25311</t>
  </si>
  <si>
    <t>2025/03/11</t>
  </si>
  <si>
    <t>25312</t>
  </si>
  <si>
    <t>2025/03/12</t>
  </si>
  <si>
    <t>2542</t>
  </si>
  <si>
    <t>2025/04/02</t>
  </si>
  <si>
    <t>WBS210415A</t>
  </si>
  <si>
    <t>WBS211014A</t>
  </si>
  <si>
    <t>21314</t>
  </si>
  <si>
    <t>21323</t>
  </si>
  <si>
    <t>21324</t>
  </si>
  <si>
    <t>22317</t>
  </si>
  <si>
    <t>2237</t>
  </si>
  <si>
    <t>23312</t>
  </si>
  <si>
    <t>2023/03/12</t>
  </si>
  <si>
    <t>23313</t>
  </si>
  <si>
    <t>2023/03/13</t>
  </si>
  <si>
    <t>24311</t>
  </si>
  <si>
    <t>2024/03/11</t>
  </si>
  <si>
    <t>24313</t>
  </si>
  <si>
    <t>2024/03/13</t>
  </si>
  <si>
    <t>24425</t>
  </si>
  <si>
    <t>2024/04/25</t>
  </si>
  <si>
    <t>2532</t>
  </si>
  <si>
    <t>2025/03/02</t>
  </si>
  <si>
    <t>25325</t>
  </si>
  <si>
    <t>2025/03/25</t>
  </si>
  <si>
    <t>2539</t>
  </si>
  <si>
    <t>2025/03/09</t>
  </si>
  <si>
    <t>WWS210413A</t>
  </si>
  <si>
    <t>WWS211015A</t>
  </si>
  <si>
    <t>WWS230427A</t>
  </si>
  <si>
    <t>201014</t>
  </si>
  <si>
    <t>20201108</t>
  </si>
  <si>
    <t>211022</t>
  </si>
  <si>
    <t>2022/10/21</t>
  </si>
  <si>
    <t>221021</t>
  </si>
  <si>
    <t>2024/10/06</t>
  </si>
  <si>
    <t>240316</t>
  </si>
  <si>
    <t>2024/03/16</t>
  </si>
  <si>
    <t>240325</t>
  </si>
  <si>
    <t>2025/03/24</t>
  </si>
  <si>
    <t>250405</t>
  </si>
  <si>
    <t>2025/04/05</t>
  </si>
  <si>
    <t>20201020</t>
  </si>
  <si>
    <t>2022930</t>
  </si>
  <si>
    <t>2023930</t>
  </si>
  <si>
    <t>2023/09/30</t>
  </si>
  <si>
    <t>2024106</t>
  </si>
  <si>
    <t>2025109</t>
  </si>
  <si>
    <t>2025/10/09</t>
  </si>
  <si>
    <t>20261025</t>
  </si>
  <si>
    <t>2026/10/25</t>
  </si>
  <si>
    <t>202011</t>
  </si>
  <si>
    <t>20221004</t>
  </si>
  <si>
    <t>20221006</t>
  </si>
  <si>
    <t>20221008</t>
  </si>
  <si>
    <t>20221011</t>
  </si>
  <si>
    <t>20230815</t>
  </si>
  <si>
    <t>20230816</t>
  </si>
  <si>
    <t>20230817</t>
  </si>
  <si>
    <t>20230818</t>
  </si>
  <si>
    <t>20230819</t>
  </si>
  <si>
    <t>20231104</t>
  </si>
  <si>
    <t>2023/11/04</t>
  </si>
  <si>
    <t>20240819</t>
  </si>
  <si>
    <t>2024/08/19</t>
  </si>
  <si>
    <t>20240825</t>
  </si>
  <si>
    <t>2024/08/25</t>
  </si>
  <si>
    <t>20240901</t>
  </si>
  <si>
    <t>2024/09/01</t>
  </si>
  <si>
    <t>20240908</t>
  </si>
  <si>
    <t>2024/09/08</t>
  </si>
  <si>
    <t>20240915</t>
  </si>
  <si>
    <t>2024/09/15</t>
  </si>
  <si>
    <t>20240921</t>
  </si>
  <si>
    <t>2024/09/21</t>
  </si>
  <si>
    <t>20240929</t>
  </si>
  <si>
    <t>2024/09/29</t>
  </si>
  <si>
    <t>20250906</t>
  </si>
  <si>
    <t>2025/09/06</t>
  </si>
  <si>
    <t>20250907</t>
  </si>
  <si>
    <t>2025/09/07</t>
  </si>
  <si>
    <t>20250910</t>
  </si>
  <si>
    <t>2025/09/10</t>
  </si>
  <si>
    <t>20250911</t>
  </si>
  <si>
    <t>2025/09/11</t>
  </si>
  <si>
    <t>20260916</t>
  </si>
  <si>
    <t>2026/09/16</t>
  </si>
  <si>
    <t>20260919</t>
  </si>
  <si>
    <t>2026/09/19</t>
  </si>
  <si>
    <t>20260924</t>
  </si>
  <si>
    <t>2026/09/24</t>
  </si>
  <si>
    <t>20261001</t>
  </si>
  <si>
    <t>2026/10/01</t>
  </si>
  <si>
    <t>2026314</t>
  </si>
  <si>
    <t>2026/03/14</t>
  </si>
  <si>
    <t>221027</t>
  </si>
  <si>
    <t>2024/10/31</t>
  </si>
  <si>
    <t>仕入先：㈱北村商店　</t>
  </si>
  <si>
    <t>231018</t>
  </si>
  <si>
    <t>2025/10/31</t>
  </si>
  <si>
    <t>仕入先：㈱北村商店</t>
  </si>
  <si>
    <t>241024</t>
  </si>
  <si>
    <t>OWONNS</t>
  </si>
  <si>
    <t>20201015</t>
  </si>
  <si>
    <t>2021/10/13</t>
  </si>
  <si>
    <t>2023419</t>
  </si>
  <si>
    <t>2023/04/19</t>
  </si>
  <si>
    <t>2024/10/22</t>
  </si>
  <si>
    <t>2025/04/21</t>
  </si>
  <si>
    <t>2024816</t>
  </si>
  <si>
    <t>2024/08/16</t>
  </si>
  <si>
    <t>20201014</t>
  </si>
  <si>
    <t>20210415</t>
  </si>
  <si>
    <t>20211007</t>
  </si>
  <si>
    <t>20220421</t>
  </si>
  <si>
    <t>2022/04/21</t>
  </si>
  <si>
    <t>20221007</t>
  </si>
  <si>
    <t>2023/04/05</t>
  </si>
  <si>
    <t>20230420</t>
  </si>
  <si>
    <t>2023/04/20</t>
  </si>
  <si>
    <t>20240418</t>
  </si>
  <si>
    <t>2024/04/18</t>
  </si>
  <si>
    <t>20240424</t>
  </si>
  <si>
    <t>2024/04/24</t>
  </si>
  <si>
    <t>20250424</t>
  </si>
  <si>
    <t>2025/04/24</t>
  </si>
  <si>
    <t>190606</t>
  </si>
  <si>
    <t>190611</t>
  </si>
  <si>
    <t>200606</t>
  </si>
  <si>
    <t>200609</t>
  </si>
  <si>
    <t>210607</t>
  </si>
  <si>
    <t>210719</t>
  </si>
  <si>
    <t>210802</t>
  </si>
  <si>
    <t>230623</t>
  </si>
  <si>
    <t>240621</t>
  </si>
  <si>
    <t>240820</t>
  </si>
  <si>
    <t>200605</t>
  </si>
  <si>
    <t>210608</t>
  </si>
  <si>
    <t>230626</t>
  </si>
  <si>
    <t>200107</t>
  </si>
  <si>
    <t>200114</t>
  </si>
  <si>
    <t>201219</t>
  </si>
  <si>
    <t>201222</t>
  </si>
  <si>
    <t>仕入先：㈱丸憲</t>
  </si>
  <si>
    <t>211221</t>
  </si>
  <si>
    <t>211222</t>
  </si>
  <si>
    <t>221219</t>
  </si>
  <si>
    <t>221223</t>
  </si>
  <si>
    <t>231218</t>
  </si>
  <si>
    <t>231222-1</t>
  </si>
  <si>
    <t>231222-2</t>
  </si>
  <si>
    <t>231225</t>
  </si>
  <si>
    <t>2024/02/28</t>
  </si>
  <si>
    <t>240111</t>
  </si>
  <si>
    <t>240221</t>
  </si>
  <si>
    <t>241221</t>
  </si>
  <si>
    <t>241224-1</t>
  </si>
  <si>
    <t>241224-2</t>
  </si>
  <si>
    <t>250203</t>
  </si>
  <si>
    <t>愛玉子</t>
  </si>
  <si>
    <t>180110</t>
  </si>
  <si>
    <t>191125</t>
  </si>
  <si>
    <t>201030</t>
  </si>
  <si>
    <t>231101</t>
  </si>
  <si>
    <t>仕入先：因島青果㈱</t>
  </si>
  <si>
    <t>054</t>
  </si>
  <si>
    <t>ﾊﾟﾊﾟｲﾔ</t>
  </si>
  <si>
    <t>181219</t>
  </si>
  <si>
    <t>20181219</t>
  </si>
  <si>
    <t>210216</t>
  </si>
  <si>
    <t>210319</t>
  </si>
  <si>
    <t>220601</t>
  </si>
  <si>
    <t>220715</t>
  </si>
  <si>
    <t>220805</t>
  </si>
  <si>
    <t>220819</t>
  </si>
  <si>
    <t>230614</t>
  </si>
  <si>
    <t>240624</t>
  </si>
  <si>
    <t>20210615</t>
  </si>
  <si>
    <t>211130</t>
  </si>
  <si>
    <t>220111</t>
  </si>
  <si>
    <t>221117</t>
  </si>
  <si>
    <t>231128</t>
  </si>
  <si>
    <t>241128</t>
  </si>
  <si>
    <t>190620</t>
  </si>
  <si>
    <t>190709</t>
  </si>
  <si>
    <t>200218</t>
  </si>
  <si>
    <t>200620</t>
  </si>
  <si>
    <t>201208</t>
  </si>
  <si>
    <t>20201217</t>
  </si>
  <si>
    <t>20210714</t>
  </si>
  <si>
    <t>仕入先：ANAﾌｰｽﾞ㈱</t>
  </si>
  <si>
    <t>20251023</t>
  </si>
  <si>
    <t>2025/10/23</t>
  </si>
  <si>
    <t>20251024</t>
  </si>
  <si>
    <t>2025/10/24</t>
  </si>
  <si>
    <t>211203</t>
  </si>
  <si>
    <t>(15kg)返却予定、返品金額￥82,500-を差し引いたもの</t>
  </si>
  <si>
    <t>211209</t>
  </si>
  <si>
    <t>219080047</t>
  </si>
  <si>
    <t>2023/03/03</t>
  </si>
  <si>
    <t>仕入先：ｱﾙﾌｧﾌｰﾄﾞｽﾀｯﾌ㈱ 有機</t>
  </si>
  <si>
    <t>220801</t>
  </si>
  <si>
    <t>241002</t>
  </si>
  <si>
    <t>2025/08/01</t>
  </si>
  <si>
    <t>141224</t>
  </si>
  <si>
    <t>058-1</t>
  </si>
  <si>
    <t>アボカド（生）</t>
  </si>
  <si>
    <t>2021228</t>
  </si>
  <si>
    <t>20220203</t>
  </si>
  <si>
    <t>20220711</t>
  </si>
  <si>
    <t>2022/07/11</t>
  </si>
  <si>
    <t>20240706</t>
  </si>
  <si>
    <t>2024/07/06</t>
  </si>
  <si>
    <t>20250102</t>
  </si>
  <si>
    <t>2025/01/02</t>
  </si>
  <si>
    <t>20250806</t>
  </si>
  <si>
    <t>2025/08/06</t>
  </si>
  <si>
    <t>064</t>
  </si>
  <si>
    <t>有機ﾘﾝｺﾞ</t>
  </si>
  <si>
    <t>200522-1</t>
  </si>
  <si>
    <t>065</t>
  </si>
  <si>
    <t>有機ﾊﾞﾅﾅ</t>
  </si>
  <si>
    <t>066</t>
  </si>
  <si>
    <t>有機ﾊﾟｲﾝｱｯﾌﾟﾙ（ｽﾗｲｽ）</t>
  </si>
  <si>
    <t>PAR-0047</t>
  </si>
  <si>
    <t>仕入れ先　アリサン</t>
  </si>
  <si>
    <t>PAR-0050</t>
  </si>
  <si>
    <t>2022/05/06</t>
  </si>
  <si>
    <t>仕入先 アリサン</t>
  </si>
  <si>
    <t>067</t>
  </si>
  <si>
    <t>有機みかん</t>
  </si>
  <si>
    <t>200612</t>
  </si>
  <si>
    <t>068</t>
  </si>
  <si>
    <t>有機ﾚﾓﾝ</t>
  </si>
  <si>
    <t>069</t>
  </si>
  <si>
    <t>かぼちゃ</t>
  </si>
  <si>
    <t>仕入先：㈱琉堂</t>
  </si>
  <si>
    <t>070</t>
  </si>
  <si>
    <t>たまねぎ</t>
  </si>
  <si>
    <t>071</t>
  </si>
  <si>
    <t>ブロッコリー</t>
  </si>
  <si>
    <t>201110</t>
  </si>
  <si>
    <t>072</t>
  </si>
  <si>
    <t>島らっきょう</t>
  </si>
  <si>
    <t>210413</t>
  </si>
  <si>
    <t>仕入先：㈱三倉食品</t>
  </si>
  <si>
    <t>073</t>
  </si>
  <si>
    <t>ブナシメジ</t>
  </si>
  <si>
    <t>074</t>
  </si>
  <si>
    <t>クコの実</t>
  </si>
  <si>
    <t>20221231</t>
  </si>
  <si>
    <t>2022/12/31</t>
  </si>
  <si>
    <t>国際営業手配</t>
  </si>
  <si>
    <t>075</t>
  </si>
  <si>
    <t>マンネンタケ（鹿角霊芝）</t>
  </si>
  <si>
    <t>B0033</t>
  </si>
  <si>
    <t>㈱JTS　研究開発室より</t>
  </si>
  <si>
    <t>076</t>
  </si>
  <si>
    <t>シイタケ子実体</t>
  </si>
  <si>
    <t>190219</t>
  </si>
  <si>
    <t>チハヤ㈱　研究開発室より</t>
  </si>
  <si>
    <t>210316</t>
  </si>
  <si>
    <t>仕入先：チハヤ㈱</t>
  </si>
  <si>
    <t>077</t>
  </si>
  <si>
    <t>マイタケ子実体</t>
  </si>
  <si>
    <t>200414</t>
  </si>
  <si>
    <t>210302</t>
  </si>
  <si>
    <t>2024/03/02</t>
  </si>
  <si>
    <t>078</t>
  </si>
  <si>
    <t>アスコフィラム・ノドサム</t>
  </si>
  <si>
    <t>20006</t>
  </si>
  <si>
    <t>林兼産業㈱　研究開発室より</t>
  </si>
  <si>
    <t>20007</t>
  </si>
  <si>
    <t>21008</t>
  </si>
  <si>
    <t>仕入先：林兼産業㈱</t>
  </si>
  <si>
    <t>21009</t>
  </si>
  <si>
    <t>21010</t>
  </si>
  <si>
    <t>079</t>
  </si>
  <si>
    <t>ハナビラタケ子実体</t>
  </si>
  <si>
    <t>200707</t>
  </si>
  <si>
    <t>2023/07/07</t>
  </si>
  <si>
    <t>080</t>
  </si>
  <si>
    <t>S-125</t>
  </si>
  <si>
    <t>2023/03/24</t>
  </si>
  <si>
    <t>仕入先：イワキ㈱</t>
  </si>
  <si>
    <t>T-020</t>
  </si>
  <si>
    <t>イワキ㈱　研究開発室より</t>
  </si>
  <si>
    <t>081</t>
  </si>
  <si>
    <t>210214</t>
  </si>
  <si>
    <t>220510</t>
  </si>
  <si>
    <t>2022/05/10</t>
  </si>
  <si>
    <t>082</t>
  </si>
  <si>
    <t>21128</t>
  </si>
  <si>
    <t>石川県加賀百万石ほんだ農場</t>
  </si>
  <si>
    <t>224</t>
  </si>
  <si>
    <t>仕入先：㈲ほんだ</t>
  </si>
  <si>
    <t>083</t>
  </si>
  <si>
    <t>084</t>
  </si>
  <si>
    <t>085</t>
  </si>
  <si>
    <t>201228</t>
  </si>
  <si>
    <t>086</t>
  </si>
  <si>
    <t>有機ﾄﾞﾗｲﾚｰｽﾞﾝ</t>
  </si>
  <si>
    <t>219080055</t>
  </si>
  <si>
    <t>仕入先：ｱﾙﾌｧﾌｰﾄﾞｽﾀｯﾌ㈱</t>
  </si>
  <si>
    <t>087</t>
  </si>
  <si>
    <t>有機ﾄﾞﾗｲ白ｲﾁｼﾞｸ</t>
  </si>
  <si>
    <t>219080029</t>
  </si>
  <si>
    <t>089</t>
  </si>
  <si>
    <t>ナス</t>
  </si>
  <si>
    <t>090</t>
  </si>
  <si>
    <t>ラディッシュ</t>
  </si>
  <si>
    <t>091</t>
  </si>
  <si>
    <t>トマト</t>
  </si>
  <si>
    <t>092</t>
  </si>
  <si>
    <t>ライム</t>
  </si>
  <si>
    <t>093</t>
  </si>
  <si>
    <t>オーガニックドライアプリコット</t>
  </si>
  <si>
    <t>20240316</t>
  </si>
  <si>
    <t>202494</t>
  </si>
  <si>
    <t>2024/09/04</t>
  </si>
  <si>
    <t>095</t>
  </si>
  <si>
    <t>ドライデーツデグレットノア種</t>
  </si>
  <si>
    <t>202457</t>
  </si>
  <si>
    <t>2024/05/07</t>
  </si>
  <si>
    <t>02/2019</t>
  </si>
  <si>
    <t>09/2020</t>
  </si>
  <si>
    <t>10/2020</t>
  </si>
  <si>
    <t>10/2022</t>
  </si>
  <si>
    <t>15/2021</t>
  </si>
  <si>
    <t>2027/08/21</t>
  </si>
  <si>
    <t>22/2018</t>
  </si>
  <si>
    <t>22/2022</t>
  </si>
  <si>
    <t>22-2018</t>
  </si>
  <si>
    <t>17070</t>
  </si>
  <si>
    <t>181227B</t>
  </si>
  <si>
    <t>181227C</t>
  </si>
  <si>
    <t>181227D</t>
  </si>
  <si>
    <t>181228A</t>
  </si>
  <si>
    <t>191224A</t>
  </si>
  <si>
    <t>191224B</t>
  </si>
  <si>
    <t>191228A</t>
  </si>
  <si>
    <t>191228D</t>
  </si>
  <si>
    <t>191229B</t>
  </si>
  <si>
    <t>201221B</t>
  </si>
  <si>
    <t>201221C</t>
  </si>
  <si>
    <t>201221D</t>
  </si>
  <si>
    <t>201222A</t>
  </si>
  <si>
    <t>201227C</t>
  </si>
  <si>
    <t>2018215</t>
  </si>
  <si>
    <t>20210115A</t>
  </si>
  <si>
    <t>20210115B</t>
  </si>
  <si>
    <t>20210424A</t>
  </si>
  <si>
    <t>20210424B</t>
  </si>
  <si>
    <t>20210624A</t>
  </si>
  <si>
    <t>20210624B</t>
  </si>
  <si>
    <t>22108A</t>
  </si>
  <si>
    <t>22108B</t>
  </si>
  <si>
    <t>22113D</t>
  </si>
  <si>
    <t>22114A</t>
  </si>
  <si>
    <t>22114B</t>
  </si>
  <si>
    <t>22114C</t>
  </si>
  <si>
    <t>221210</t>
  </si>
  <si>
    <t>221210A</t>
  </si>
  <si>
    <t>221210B</t>
  </si>
  <si>
    <t>221210C</t>
  </si>
  <si>
    <t>221210D</t>
  </si>
  <si>
    <t>221211</t>
  </si>
  <si>
    <t>2304</t>
  </si>
  <si>
    <t>231217</t>
  </si>
  <si>
    <t>231222</t>
  </si>
  <si>
    <t>241215</t>
  </si>
  <si>
    <t>241223</t>
  </si>
  <si>
    <t>920E21M2</t>
  </si>
  <si>
    <t>920L17+M2</t>
  </si>
  <si>
    <t>袋破れの為1袋(30kg)1/15返却済、返品金額\11,970-を差し引いたもの</t>
  </si>
  <si>
    <t>920L18+M2</t>
  </si>
  <si>
    <t>920L21+M2</t>
  </si>
  <si>
    <t>袋破れの為、2袋(60kg)返却予定、返品金額￥23,940-を差し引いたもの</t>
  </si>
  <si>
    <t>920L21+M2-1</t>
  </si>
  <si>
    <t>920L22+M2</t>
  </si>
  <si>
    <t>921B19+M2</t>
  </si>
  <si>
    <t>921G20+M2</t>
  </si>
  <si>
    <t>921L16+M2</t>
  </si>
  <si>
    <t>921L17+M2</t>
  </si>
  <si>
    <t>921L18+M2</t>
  </si>
  <si>
    <t>921L20+M2</t>
  </si>
  <si>
    <t>921L21+M2</t>
  </si>
  <si>
    <t>922B21+M2</t>
  </si>
  <si>
    <t>922B22+M2</t>
  </si>
  <si>
    <t>922E23+M2</t>
  </si>
  <si>
    <t>922G22+M2</t>
  </si>
  <si>
    <t>922Ｌ16+Ｍ2</t>
  </si>
  <si>
    <t>922Ｌ17+M2</t>
  </si>
  <si>
    <t>922Ｌ21+Ｍ2-1</t>
  </si>
  <si>
    <t>小浜</t>
  </si>
  <si>
    <t>922Ｌ21+Ｍ2-2</t>
  </si>
  <si>
    <t>伊江</t>
  </si>
  <si>
    <t>923A20+M2</t>
  </si>
  <si>
    <t>923C23+M2</t>
  </si>
  <si>
    <t>923Ｌ15+Ｍ2</t>
  </si>
  <si>
    <t>923Ｌ16+Ｍ2</t>
  </si>
  <si>
    <t>923L18+M2</t>
  </si>
  <si>
    <t>923L19+M2</t>
  </si>
  <si>
    <t>923L20+M2</t>
  </si>
  <si>
    <t>924B20+M2</t>
  </si>
  <si>
    <t>924C21+M2</t>
  </si>
  <si>
    <t>924L17+M2</t>
  </si>
  <si>
    <t>924L20+M2</t>
  </si>
  <si>
    <t>925B20+M2</t>
  </si>
  <si>
    <t>929C22M2</t>
  </si>
  <si>
    <t>929E21M2</t>
  </si>
  <si>
    <t>FR1808052</t>
  </si>
  <si>
    <t>FR1908022</t>
  </si>
  <si>
    <t>FR1908032</t>
  </si>
  <si>
    <t>FR1908042</t>
  </si>
  <si>
    <t>FR1913012</t>
  </si>
  <si>
    <t>FR1913022</t>
  </si>
  <si>
    <t>FR1936012NGMO</t>
  </si>
  <si>
    <t>FR1937072</t>
  </si>
  <si>
    <t>FR1937072NGMO</t>
  </si>
  <si>
    <t>FR1950012NGMO</t>
  </si>
  <si>
    <t>FR2013022NGMO</t>
  </si>
  <si>
    <t>FR2031062NGMO</t>
  </si>
  <si>
    <t>FR2129052NGMO</t>
  </si>
  <si>
    <t>FR2321022NGMO</t>
  </si>
  <si>
    <t>FRS2351511NGMO</t>
  </si>
  <si>
    <t>FRS2408402NGMO</t>
  </si>
  <si>
    <t>20180922</t>
  </si>
  <si>
    <t>20190327</t>
  </si>
  <si>
    <t>20190405</t>
  </si>
  <si>
    <t>20190716</t>
  </si>
  <si>
    <t>20190717</t>
  </si>
  <si>
    <t>20190729</t>
  </si>
  <si>
    <t>20190731</t>
  </si>
  <si>
    <t>20200214</t>
  </si>
  <si>
    <t>20200219</t>
  </si>
  <si>
    <t>20200515</t>
  </si>
  <si>
    <t>20201102</t>
  </si>
  <si>
    <t>20210406</t>
  </si>
  <si>
    <t>20220625</t>
  </si>
  <si>
    <t>2024/06/24</t>
  </si>
  <si>
    <t>20230511</t>
  </si>
  <si>
    <t>2025/05/10</t>
  </si>
  <si>
    <t>20240110</t>
  </si>
  <si>
    <t>2026/01/09</t>
  </si>
  <si>
    <t>20241017</t>
  </si>
  <si>
    <t>2026/10/16</t>
  </si>
  <si>
    <t>20260109</t>
  </si>
  <si>
    <t>180918</t>
  </si>
  <si>
    <t>190712</t>
  </si>
  <si>
    <t>190801</t>
  </si>
  <si>
    <t>200516</t>
  </si>
  <si>
    <t>20190801</t>
  </si>
  <si>
    <t>20220616</t>
  </si>
  <si>
    <t>20230721</t>
  </si>
  <si>
    <t>2023/07/21</t>
  </si>
  <si>
    <t>20240725</t>
  </si>
  <si>
    <t>2024/07/25</t>
  </si>
  <si>
    <t>20250713</t>
  </si>
  <si>
    <t>2025/07/13</t>
  </si>
  <si>
    <t>20260607</t>
  </si>
  <si>
    <t>2026/06/07</t>
  </si>
  <si>
    <t>20260705</t>
  </si>
  <si>
    <t>2026/07/05</t>
  </si>
  <si>
    <t>210709</t>
  </si>
  <si>
    <t>220727</t>
  </si>
  <si>
    <t>2024/07/27</t>
  </si>
  <si>
    <t>230630</t>
  </si>
  <si>
    <t>2025/06/30</t>
  </si>
  <si>
    <t>240617</t>
  </si>
  <si>
    <t>2026/06/17</t>
  </si>
  <si>
    <t>19118</t>
  </si>
  <si>
    <t>201024</t>
  </si>
  <si>
    <t>211001</t>
  </si>
  <si>
    <t>21112</t>
  </si>
  <si>
    <t>220913</t>
  </si>
  <si>
    <t>221018</t>
  </si>
  <si>
    <t>221105</t>
  </si>
  <si>
    <t>230725</t>
  </si>
  <si>
    <t>231026</t>
  </si>
  <si>
    <t>+NS55</t>
  </si>
  <si>
    <t>191024</t>
  </si>
  <si>
    <t>191025</t>
  </si>
  <si>
    <t>191026</t>
  </si>
  <si>
    <t>200124</t>
  </si>
  <si>
    <t>20241101</t>
  </si>
  <si>
    <t>2024/11/01</t>
  </si>
  <si>
    <t>20922</t>
  </si>
  <si>
    <t>20930</t>
  </si>
  <si>
    <t>211021</t>
  </si>
  <si>
    <t>2116</t>
  </si>
  <si>
    <t>21514</t>
  </si>
  <si>
    <t>21517</t>
  </si>
  <si>
    <t>221103</t>
  </si>
  <si>
    <t>2022/11/03</t>
  </si>
  <si>
    <t>2023/10/20</t>
  </si>
  <si>
    <t>231022</t>
  </si>
  <si>
    <t>2023/10/22</t>
  </si>
  <si>
    <t>231119</t>
  </si>
  <si>
    <t>2023/11/19</t>
  </si>
  <si>
    <t>2321</t>
  </si>
  <si>
    <t>2023/02/01</t>
  </si>
  <si>
    <t>2322</t>
  </si>
  <si>
    <t>2023/02/02</t>
  </si>
  <si>
    <t>2399</t>
  </si>
  <si>
    <t>2023/09/09</t>
  </si>
  <si>
    <t>241017</t>
  </si>
  <si>
    <t>2024/10/17</t>
  </si>
  <si>
    <t>24120</t>
  </si>
  <si>
    <t>2024/01/20</t>
  </si>
  <si>
    <t>2451</t>
  </si>
  <si>
    <t>2024/05/01</t>
  </si>
  <si>
    <t>24730</t>
  </si>
  <si>
    <t>2024/07/30</t>
  </si>
  <si>
    <t>25116</t>
  </si>
  <si>
    <t>2025/01/16</t>
  </si>
  <si>
    <t>NO5</t>
  </si>
  <si>
    <t>2023/05/11</t>
  </si>
  <si>
    <t>NO6</t>
  </si>
  <si>
    <t>15000234</t>
  </si>
  <si>
    <t>15001048</t>
  </si>
  <si>
    <t>2023/09/10</t>
  </si>
  <si>
    <t>15001955</t>
  </si>
  <si>
    <t>15002130</t>
  </si>
  <si>
    <t>15002375</t>
  </si>
  <si>
    <t>15002489</t>
  </si>
  <si>
    <t>15002510</t>
  </si>
  <si>
    <t>2024/10/26</t>
  </si>
  <si>
    <t>15002517</t>
  </si>
  <si>
    <t>15002581</t>
  </si>
  <si>
    <t>2025/10/25</t>
  </si>
  <si>
    <t>15002599</t>
  </si>
  <si>
    <t>15002660</t>
  </si>
  <si>
    <t>15002753</t>
  </si>
  <si>
    <t>2022/10/27</t>
  </si>
  <si>
    <t>209</t>
  </si>
  <si>
    <t>2006071S</t>
  </si>
  <si>
    <t>2006072S</t>
  </si>
  <si>
    <t>2306201S</t>
  </si>
  <si>
    <t>210</t>
  </si>
  <si>
    <t>21507A</t>
  </si>
  <si>
    <t>21920B</t>
  </si>
  <si>
    <t>211</t>
  </si>
  <si>
    <t>大豆粉</t>
  </si>
  <si>
    <t>202401</t>
  </si>
  <si>
    <t>2024/01/31</t>
  </si>
  <si>
    <t>212</t>
  </si>
  <si>
    <t>黒大豆粉</t>
  </si>
  <si>
    <t>RM0D06</t>
  </si>
  <si>
    <t>RM2J27</t>
  </si>
  <si>
    <t>2025/10/26</t>
  </si>
  <si>
    <t>RM3E23</t>
  </si>
  <si>
    <t>2026/05/22</t>
  </si>
  <si>
    <t>RM3J19</t>
  </si>
  <si>
    <t>2026/10/18</t>
  </si>
  <si>
    <t>RM4K07</t>
  </si>
  <si>
    <t>2027/11/06</t>
  </si>
  <si>
    <t>RM4K25</t>
  </si>
  <si>
    <t>2027/11/24</t>
  </si>
  <si>
    <t>RM5B18</t>
  </si>
  <si>
    <t>2028/02/17</t>
  </si>
  <si>
    <t>RM9A25</t>
  </si>
  <si>
    <t>001-200622</t>
  </si>
  <si>
    <t>001-201002</t>
  </si>
  <si>
    <t>001-201102</t>
  </si>
  <si>
    <t>001-201210</t>
  </si>
  <si>
    <t>001-2110</t>
  </si>
  <si>
    <t>001-2211</t>
  </si>
  <si>
    <t>2024/09/07</t>
  </si>
  <si>
    <t>001-2305</t>
  </si>
  <si>
    <t>2025/03/06</t>
  </si>
  <si>
    <t>001-2311</t>
  </si>
  <si>
    <t>2025/09/04</t>
  </si>
  <si>
    <t>002-191119</t>
  </si>
  <si>
    <t>002-200622</t>
  </si>
  <si>
    <t>002-201002</t>
  </si>
  <si>
    <t>002-201102</t>
  </si>
  <si>
    <t>002-201210</t>
  </si>
  <si>
    <t>002-2110</t>
  </si>
  <si>
    <t>002-2211</t>
  </si>
  <si>
    <t>002-2305</t>
  </si>
  <si>
    <t>002-2311</t>
  </si>
  <si>
    <t>003-2110</t>
  </si>
  <si>
    <t>003-2211</t>
  </si>
  <si>
    <t>004-2110</t>
  </si>
  <si>
    <t>2023/07/16</t>
  </si>
  <si>
    <t>01-2406</t>
  </si>
  <si>
    <t>2026/03/31</t>
  </si>
  <si>
    <t>02-2406</t>
  </si>
  <si>
    <t>190108</t>
  </si>
  <si>
    <t>190614</t>
  </si>
  <si>
    <t>303</t>
  </si>
  <si>
    <t>200530</t>
  </si>
  <si>
    <t>g</t>
  </si>
  <si>
    <t>OJ2104</t>
  </si>
  <si>
    <t>2022/04/20</t>
  </si>
  <si>
    <t>305</t>
  </si>
  <si>
    <t>ｴｿﾞｳｺｷﾞｴｷｽ</t>
  </si>
  <si>
    <t>1738009</t>
  </si>
  <si>
    <t>306</t>
  </si>
  <si>
    <t>OJ1402</t>
  </si>
  <si>
    <t>OK0579</t>
  </si>
  <si>
    <t>2022/05/04</t>
  </si>
  <si>
    <t>ﾁｱﾐﾝ塩酸塩</t>
  </si>
  <si>
    <t>003-MS100</t>
  </si>
  <si>
    <t>230341</t>
  </si>
  <si>
    <t>2025/02/28</t>
  </si>
  <si>
    <t>240923</t>
  </si>
  <si>
    <t>2026/08/31</t>
  </si>
  <si>
    <t>HS11080</t>
  </si>
  <si>
    <t>313</t>
  </si>
  <si>
    <t>21050P</t>
  </si>
  <si>
    <t>2023/02/19</t>
  </si>
  <si>
    <t>316</t>
  </si>
  <si>
    <t>大豆抽出物</t>
  </si>
  <si>
    <t>751211201</t>
  </si>
  <si>
    <t>2024/11/30</t>
  </si>
  <si>
    <t>751230601</t>
  </si>
  <si>
    <t>2026/05/31</t>
  </si>
  <si>
    <t>779190702</t>
  </si>
  <si>
    <t>779190801</t>
  </si>
  <si>
    <t>779200201</t>
  </si>
  <si>
    <t>779200601</t>
  </si>
  <si>
    <t>2023/05/31</t>
  </si>
  <si>
    <t>181204-01</t>
  </si>
  <si>
    <t>190708-01</t>
  </si>
  <si>
    <t>200414-01</t>
  </si>
  <si>
    <t>210107-01</t>
  </si>
  <si>
    <t>230512-01</t>
  </si>
  <si>
    <t>2024/05/11</t>
  </si>
  <si>
    <t>230615-01</t>
  </si>
  <si>
    <t>2024/06/14</t>
  </si>
  <si>
    <t>代品</t>
  </si>
  <si>
    <t>240430-01</t>
  </si>
  <si>
    <t>2025/04/29</t>
  </si>
  <si>
    <t>250225-01</t>
  </si>
  <si>
    <t>2026/02/24</t>
  </si>
  <si>
    <t>19051001</t>
  </si>
  <si>
    <t>19060401</t>
  </si>
  <si>
    <t>20020701</t>
  </si>
  <si>
    <t>22031101</t>
  </si>
  <si>
    <t>2024/03/10</t>
  </si>
  <si>
    <t>22100701</t>
  </si>
  <si>
    <t>23011001</t>
  </si>
  <si>
    <t>2025/01/09</t>
  </si>
  <si>
    <t>319</t>
  </si>
  <si>
    <t>ｺｺｱ</t>
  </si>
  <si>
    <t>101848301</t>
  </si>
  <si>
    <t>102038301</t>
  </si>
  <si>
    <t>191009</t>
  </si>
  <si>
    <t>210625-3</t>
  </si>
  <si>
    <t>2022/12/24</t>
  </si>
  <si>
    <t>230621-1</t>
  </si>
  <si>
    <t>2024/12/20</t>
  </si>
  <si>
    <t>20191002</t>
  </si>
  <si>
    <t>20201003</t>
  </si>
  <si>
    <t>2020517</t>
  </si>
  <si>
    <t>20211020</t>
  </si>
  <si>
    <t>2021902</t>
  </si>
  <si>
    <t>20221228</t>
  </si>
  <si>
    <t>2022/12/28</t>
  </si>
  <si>
    <t>2022216</t>
  </si>
  <si>
    <t>2022817</t>
  </si>
  <si>
    <t>2022/08/17</t>
  </si>
  <si>
    <t>2023804</t>
  </si>
  <si>
    <t>2023/08/04</t>
  </si>
  <si>
    <t>2024720</t>
  </si>
  <si>
    <t>2024/07/20</t>
  </si>
  <si>
    <t>2025322</t>
  </si>
  <si>
    <t>2025/03/22</t>
  </si>
  <si>
    <t>323</t>
  </si>
  <si>
    <t>1611</t>
  </si>
  <si>
    <t>191112</t>
  </si>
  <si>
    <t>200422</t>
  </si>
  <si>
    <t>201224</t>
  </si>
  <si>
    <t>210729</t>
  </si>
  <si>
    <t>210730</t>
  </si>
  <si>
    <t>210825B</t>
  </si>
  <si>
    <t>正友興業㈱/精糖蜜</t>
  </si>
  <si>
    <t>211124</t>
  </si>
  <si>
    <t>220806A</t>
  </si>
  <si>
    <t>仕入先：正友興業㈱</t>
  </si>
  <si>
    <t>221208A</t>
  </si>
  <si>
    <t>2022/12/08</t>
  </si>
  <si>
    <t>0701</t>
  </si>
  <si>
    <t>1201</t>
  </si>
  <si>
    <t>3501</t>
  </si>
  <si>
    <t>仕入先：㈱帝人目黒研究所</t>
  </si>
  <si>
    <t>3701</t>
  </si>
  <si>
    <t>2025/12/31</t>
  </si>
  <si>
    <t>3901</t>
  </si>
  <si>
    <t>2026/02/28</t>
  </si>
  <si>
    <t>3Y01</t>
  </si>
  <si>
    <t>4501</t>
  </si>
  <si>
    <t>2026/10/31</t>
  </si>
  <si>
    <t>9002</t>
  </si>
  <si>
    <t>9101</t>
  </si>
  <si>
    <t>9301</t>
  </si>
  <si>
    <t>9501</t>
  </si>
  <si>
    <t>18F181</t>
  </si>
  <si>
    <t>18K112</t>
  </si>
  <si>
    <t>19F058</t>
  </si>
  <si>
    <t>20F013</t>
  </si>
  <si>
    <t>20F065</t>
  </si>
  <si>
    <t>20F080</t>
  </si>
  <si>
    <t>20F093</t>
  </si>
  <si>
    <t>21F084</t>
  </si>
  <si>
    <t>2023/05/01</t>
  </si>
  <si>
    <t>22F083</t>
  </si>
  <si>
    <t>2024/07/31</t>
  </si>
  <si>
    <t>23Ｆ013</t>
  </si>
  <si>
    <t>23Ｆ094</t>
  </si>
  <si>
    <t>2025/07/31</t>
  </si>
  <si>
    <t>24F014</t>
  </si>
  <si>
    <t>24F040</t>
  </si>
  <si>
    <t>328</t>
  </si>
  <si>
    <t>ｺｳﾗｲﾆﾝｼﾞﾝ末</t>
  </si>
  <si>
    <t>202105</t>
  </si>
  <si>
    <t>0000004384</t>
  </si>
  <si>
    <t>2024/06/20</t>
  </si>
  <si>
    <t>支給　仕入先：住友ﾌｧｰﾏﾌｰﾄﾞ＆ｹﾐｶﾙ㈱</t>
  </si>
  <si>
    <t>0000004522</t>
  </si>
  <si>
    <t>2024/07/09</t>
  </si>
  <si>
    <t>0000010331</t>
  </si>
  <si>
    <t>2024/12/10</t>
  </si>
  <si>
    <t>0000014948</t>
  </si>
  <si>
    <t>2025/05/23</t>
  </si>
  <si>
    <t>0000021196</t>
  </si>
  <si>
    <t>2026/01/16</t>
  </si>
  <si>
    <t>0000024484</t>
  </si>
  <si>
    <t>2026/05/05</t>
  </si>
  <si>
    <t>31811832</t>
  </si>
  <si>
    <t>31902149</t>
  </si>
  <si>
    <t>31907564</t>
  </si>
  <si>
    <t>32001094</t>
  </si>
  <si>
    <t>32007706</t>
  </si>
  <si>
    <t>32009856</t>
  </si>
  <si>
    <t>32011027</t>
  </si>
  <si>
    <t>32106567</t>
  </si>
  <si>
    <t>2023/06/14</t>
  </si>
  <si>
    <t>32112259</t>
  </si>
  <si>
    <t>2023/12/16</t>
  </si>
  <si>
    <t>32204291</t>
  </si>
  <si>
    <t>2024/04/04</t>
  </si>
  <si>
    <t>180115AS</t>
  </si>
  <si>
    <t>200703AS</t>
  </si>
  <si>
    <t>2023/06/30</t>
  </si>
  <si>
    <t>210616AS</t>
  </si>
  <si>
    <t>2024/05/31</t>
  </si>
  <si>
    <t>190529</t>
  </si>
  <si>
    <t>200214</t>
  </si>
  <si>
    <t>211117</t>
  </si>
  <si>
    <t>2023/04/01</t>
  </si>
  <si>
    <t>240522</t>
  </si>
  <si>
    <t>2025/01/22</t>
  </si>
  <si>
    <t>337</t>
  </si>
  <si>
    <t>ｼｬﾝﾋﾟﾆｵﾝｴｷｽﾊﾟｳﾀﾞｰ</t>
  </si>
  <si>
    <t>230221</t>
  </si>
  <si>
    <t>2026/02/20</t>
  </si>
  <si>
    <t>231215</t>
  </si>
  <si>
    <t>2026/12/14</t>
  </si>
  <si>
    <t>181013</t>
  </si>
  <si>
    <t>181016</t>
  </si>
  <si>
    <t>181022</t>
  </si>
  <si>
    <t>18106</t>
  </si>
  <si>
    <t>200204-1</t>
  </si>
  <si>
    <t>200204-2</t>
  </si>
  <si>
    <t>200210</t>
  </si>
  <si>
    <t>210316-1</t>
  </si>
  <si>
    <t>210316-2</t>
  </si>
  <si>
    <t>210322</t>
  </si>
  <si>
    <t>240326-1</t>
  </si>
  <si>
    <t>2025/09/30</t>
  </si>
  <si>
    <t>240326-2</t>
  </si>
  <si>
    <t>160331</t>
  </si>
  <si>
    <t>190705</t>
  </si>
  <si>
    <t>F-20160916</t>
  </si>
  <si>
    <t>00116</t>
  </si>
  <si>
    <t>00727</t>
  </si>
  <si>
    <t>01020</t>
  </si>
  <si>
    <t>10407</t>
  </si>
  <si>
    <t>10611</t>
  </si>
  <si>
    <t>11102</t>
  </si>
  <si>
    <t>2022/11/01</t>
  </si>
  <si>
    <t>20224</t>
  </si>
  <si>
    <t>2023/02/23</t>
  </si>
  <si>
    <t>20404</t>
  </si>
  <si>
    <t>2023/04/03</t>
  </si>
  <si>
    <t>20405</t>
  </si>
  <si>
    <t>2023/04/04</t>
  </si>
  <si>
    <t>20711</t>
  </si>
  <si>
    <t>2023/07/10</t>
  </si>
  <si>
    <t>210915</t>
  </si>
  <si>
    <t>ｸﾘｰﾐｰはちみつ</t>
  </si>
  <si>
    <t>31109</t>
  </si>
  <si>
    <t>2024/11/08</t>
  </si>
  <si>
    <t>40422</t>
  </si>
  <si>
    <t>41004</t>
  </si>
  <si>
    <t>2025/10/03</t>
  </si>
  <si>
    <t>41211</t>
  </si>
  <si>
    <t>2025/12/10</t>
  </si>
  <si>
    <t>90306</t>
  </si>
  <si>
    <t>90605</t>
  </si>
  <si>
    <t>90724</t>
  </si>
  <si>
    <t>91001</t>
  </si>
  <si>
    <t>91119</t>
  </si>
  <si>
    <t>16336</t>
  </si>
  <si>
    <t>19141</t>
  </si>
  <si>
    <t>2022/05/21</t>
  </si>
  <si>
    <t>21223</t>
  </si>
  <si>
    <t>2023/08/11</t>
  </si>
  <si>
    <t>ニューエイジ社支給</t>
  </si>
  <si>
    <t>22214</t>
  </si>
  <si>
    <t>2024/08/02</t>
  </si>
  <si>
    <t>仕入先：ﾊﾟｰﾅｰｺ・ﾜｰﾙﾄﾞﾜｲﾄﾞｲﾝｸ　支給</t>
  </si>
  <si>
    <t>23173</t>
  </si>
  <si>
    <t>2025/06/22</t>
  </si>
  <si>
    <t>仕入先：ﾊﾟｰﾄﾅｰｺ･ﾜｰﾙﾄﾞﾜｲﾄﾞｲﾝｸ支給</t>
  </si>
  <si>
    <t>347</t>
  </si>
  <si>
    <t>冬虫夏草</t>
  </si>
  <si>
    <t>F20160603</t>
  </si>
  <si>
    <t>19016</t>
  </si>
  <si>
    <t>20018</t>
  </si>
  <si>
    <t>2022420</t>
  </si>
  <si>
    <t>202262</t>
  </si>
  <si>
    <t>2022/06/02</t>
  </si>
  <si>
    <t>21053</t>
  </si>
  <si>
    <t>2022/04/03</t>
  </si>
  <si>
    <t>23025</t>
  </si>
  <si>
    <t>2024/04/21</t>
  </si>
  <si>
    <t>24010</t>
  </si>
  <si>
    <t>2025/03/05</t>
  </si>
  <si>
    <t>351</t>
  </si>
  <si>
    <t>200817</t>
  </si>
  <si>
    <t>20EG-411</t>
  </si>
  <si>
    <t>仕入先：㈱ﾕﾆﾏｯﾄﾘｹﾝ</t>
  </si>
  <si>
    <t>21EG-563-3</t>
  </si>
  <si>
    <t>21EG-592</t>
  </si>
  <si>
    <t>2026/09/01</t>
  </si>
  <si>
    <t>22EG-634</t>
  </si>
  <si>
    <t>2027/02/21</t>
  </si>
  <si>
    <t>24EG-877</t>
  </si>
  <si>
    <t>2029/02/13</t>
  </si>
  <si>
    <t>仕入先：㈱ユニマットリケン</t>
  </si>
  <si>
    <t>24EG-955</t>
  </si>
  <si>
    <t>2029/08/07</t>
  </si>
  <si>
    <t>24EG-996</t>
  </si>
  <si>
    <t>2029/10/07</t>
  </si>
  <si>
    <t>231227</t>
  </si>
  <si>
    <t>2026/12/27</t>
  </si>
  <si>
    <t>仕入先：㈱チハヤ</t>
  </si>
  <si>
    <t>910</t>
  </si>
  <si>
    <t>913</t>
  </si>
  <si>
    <t>180824</t>
  </si>
  <si>
    <t>190724</t>
  </si>
  <si>
    <t>191023</t>
  </si>
  <si>
    <t>200313</t>
  </si>
  <si>
    <t>200916</t>
  </si>
  <si>
    <t>210527</t>
  </si>
  <si>
    <t>7/6資材購入分から振替</t>
  </si>
  <si>
    <t>210914</t>
  </si>
  <si>
    <t>220302</t>
  </si>
  <si>
    <t>230510</t>
  </si>
  <si>
    <t>220710</t>
  </si>
  <si>
    <t>2022/07/10</t>
  </si>
  <si>
    <t>250904</t>
  </si>
  <si>
    <t>270128</t>
  </si>
  <si>
    <t>2027/01/28</t>
  </si>
  <si>
    <t>220707</t>
  </si>
  <si>
    <t>2022/07/07</t>
  </si>
  <si>
    <t>23716</t>
  </si>
  <si>
    <t>仕入先：㈱創健社　有機</t>
  </si>
  <si>
    <t>250209</t>
  </si>
  <si>
    <t>2025/02/09</t>
  </si>
  <si>
    <t>20250425</t>
  </si>
  <si>
    <t>2025/04/26</t>
  </si>
  <si>
    <t>20260417</t>
  </si>
  <si>
    <t>2026/04/17</t>
  </si>
  <si>
    <t>20261004</t>
  </si>
  <si>
    <t>2026/10/04</t>
  </si>
  <si>
    <t>230218</t>
  </si>
  <si>
    <t>2023/02/18</t>
  </si>
  <si>
    <t>202171</t>
  </si>
  <si>
    <t>2022/10/19</t>
  </si>
  <si>
    <t>20221019</t>
  </si>
  <si>
    <t>2024912</t>
  </si>
  <si>
    <t>2024/09/12</t>
  </si>
  <si>
    <t>2025726</t>
  </si>
  <si>
    <t>2025/07/26</t>
  </si>
  <si>
    <t>6C18IEK121130</t>
  </si>
  <si>
    <t>仕入先：㈲創研　　有機</t>
  </si>
  <si>
    <t>2021826</t>
  </si>
  <si>
    <t>2022811</t>
  </si>
  <si>
    <t>2022/08/11</t>
  </si>
  <si>
    <t>2024105</t>
  </si>
  <si>
    <t>2024/10/05</t>
  </si>
  <si>
    <t>2025827</t>
  </si>
  <si>
    <t>2025/08/27</t>
  </si>
  <si>
    <t>250620</t>
  </si>
  <si>
    <t>2025/06/20</t>
  </si>
  <si>
    <t>2023CROP</t>
  </si>
  <si>
    <t>H-24-300869</t>
  </si>
  <si>
    <t>240712</t>
  </si>
  <si>
    <t>999</t>
  </si>
  <si>
    <t>水道水</t>
  </si>
  <si>
    <t>ℓ</t>
  </si>
  <si>
    <t>当期投入高</t>
    <rPh sb="0" eb="4">
      <t>トウキトウニュウ</t>
    </rPh>
    <rPh sb="4" eb="5">
      <t>タカ</t>
    </rPh>
    <phoneticPr fontId="5"/>
  </si>
  <si>
    <t>その他調整</t>
    <rPh sb="2" eb="3">
      <t>タ</t>
    </rPh>
    <rPh sb="3" eb="5">
      <t>チョウセイ</t>
    </rPh>
    <phoneticPr fontId="5"/>
  </si>
  <si>
    <t>数量ベース</t>
    <rPh sb="0" eb="2">
      <t>スウリョウ</t>
    </rPh>
    <phoneticPr fontId="4"/>
  </si>
  <si>
    <t>期首</t>
    <rPh sb="0" eb="2">
      <t>キシュ</t>
    </rPh>
    <phoneticPr fontId="4"/>
  </si>
  <si>
    <t>試験研究費</t>
    <rPh sb="0" eb="5">
      <t>シケンケンキュウヒ</t>
    </rPh>
    <phoneticPr fontId="4"/>
  </si>
  <si>
    <t>在庫調整</t>
    <rPh sb="0" eb="4">
      <t>ザイコチョウセイ</t>
    </rPh>
    <phoneticPr fontId="4"/>
  </si>
  <si>
    <t>販促費</t>
    <rPh sb="0" eb="3">
      <t>ハンソクヒ</t>
    </rPh>
    <phoneticPr fontId="4"/>
  </si>
  <si>
    <t>期末在庫</t>
    <rPh sb="0" eb="4">
      <t>キマツザイコ</t>
    </rPh>
    <phoneticPr fontId="4"/>
  </si>
  <si>
    <t>金額ベース</t>
    <rPh sb="0" eb="2">
      <t>キンガク</t>
    </rPh>
    <phoneticPr fontId="4"/>
  </si>
  <si>
    <t>期首（AC）</t>
    <rPh sb="0" eb="2">
      <t>キシュ</t>
    </rPh>
    <phoneticPr fontId="4"/>
  </si>
  <si>
    <t>当期仕入</t>
    <rPh sb="0" eb="4">
      <t>トウキシイレ</t>
    </rPh>
    <phoneticPr fontId="4"/>
  </si>
  <si>
    <t>当期投入</t>
    <rPh sb="0" eb="4">
      <t>トウキトウニュウ</t>
    </rPh>
    <phoneticPr fontId="4"/>
  </si>
  <si>
    <t>返品</t>
    <rPh sb="0" eb="2">
      <t>ヘンピン</t>
    </rPh>
    <phoneticPr fontId="4"/>
  </si>
  <si>
    <t>検査分析</t>
    <rPh sb="0" eb="2">
      <t>ケンサ</t>
    </rPh>
    <rPh sb="2" eb="4">
      <t>ブンセキ</t>
    </rPh>
    <phoneticPr fontId="4"/>
  </si>
  <si>
    <t>試用</t>
    <rPh sb="0" eb="2">
      <t>シヨウ</t>
    </rPh>
    <phoneticPr fontId="4"/>
  </si>
  <si>
    <t>ロス分</t>
    <rPh sb="2" eb="3">
      <t>ブン</t>
    </rPh>
    <phoneticPr fontId="4"/>
  </si>
  <si>
    <t>廃棄処分</t>
    <rPh sb="0" eb="4">
      <t>ハイキショブン</t>
    </rPh>
    <phoneticPr fontId="4"/>
  </si>
  <si>
    <t>その他調整</t>
    <rPh sb="2" eb="3">
      <t>タ</t>
    </rPh>
    <rPh sb="3" eb="5">
      <t>チョウセイ</t>
    </rPh>
    <phoneticPr fontId="4"/>
  </si>
  <si>
    <t>当期投入（仕掛品へ）</t>
    <rPh sb="0" eb="4">
      <t>トウキトウニュウ</t>
    </rPh>
    <rPh sb="5" eb="8">
      <t>シカカリヒン</t>
    </rPh>
    <phoneticPr fontId="4"/>
  </si>
  <si>
    <t>SC単価</t>
    <rPh sb="2" eb="4">
      <t>タンカ</t>
    </rPh>
    <phoneticPr fontId="4"/>
  </si>
  <si>
    <t>（マイナス＝貸方）</t>
    <rPh sb="6" eb="8">
      <t>カシカタ</t>
    </rPh>
    <phoneticPr fontId="5"/>
  </si>
  <si>
    <t>↓38期1.2原材料受入より</t>
    <rPh sb="3" eb="4">
      <t>キ</t>
    </rPh>
    <rPh sb="7" eb="10">
      <t>ゲンザイリョウ</t>
    </rPh>
    <rPh sb="10" eb="12">
      <t>ウケイレ</t>
    </rPh>
    <phoneticPr fontId="4"/>
  </si>
  <si>
    <t>38期実際</t>
    <rPh sb="2" eb="3">
      <t>キ</t>
    </rPh>
    <rPh sb="3" eb="5">
      <t>ジッサイ</t>
    </rPh>
    <phoneticPr fontId="4"/>
  </si>
  <si>
    <t>39期標準</t>
    <rPh sb="2" eb="3">
      <t>キ</t>
    </rPh>
    <rPh sb="3" eb="5">
      <t>ヒョウジュン</t>
    </rPh>
    <phoneticPr fontId="4"/>
  </si>
  <si>
    <t>仕入単価(\/kg)</t>
    <rPh sb="0" eb="2">
      <t>シイレ</t>
    </rPh>
    <rPh sb="2" eb="4">
      <t>タンカ</t>
    </rPh>
    <phoneticPr fontId="4"/>
  </si>
  <si>
    <t>単価(\/kg)</t>
    <rPh sb="0" eb="2">
      <t>タンカ</t>
    </rPh>
    <phoneticPr fontId="4"/>
  </si>
  <si>
    <t>ﾋﾞﾜ</t>
  </si>
  <si>
    <t>他勘定振替</t>
    <rPh sb="0" eb="3">
      <t>タカンジョウ</t>
    </rPh>
    <rPh sb="3" eb="5">
      <t>フリカエ</t>
    </rPh>
    <phoneticPr fontId="4"/>
  </si>
  <si>
    <t>雑損（ロス）</t>
    <rPh sb="0" eb="2">
      <t>ザッソン</t>
    </rPh>
    <phoneticPr fontId="4"/>
  </si>
  <si>
    <t>雑損（廃棄）</t>
    <rPh sb="0" eb="2">
      <t>ザッソン</t>
    </rPh>
    <rPh sb="3" eb="5">
      <t>ハイキ</t>
    </rPh>
    <phoneticPr fontId="4"/>
  </si>
  <si>
    <t>雑損（在庫調整）</t>
    <rPh sb="0" eb="2">
      <t>ザツソン</t>
    </rPh>
    <rPh sb="3" eb="7">
      <t>ザイコチョウセイ</t>
    </rPh>
    <phoneticPr fontId="4"/>
  </si>
  <si>
    <t>ｽﾀﾞﾁ</t>
  </si>
  <si>
    <t>アボガド</t>
  </si>
  <si>
    <t>いりゴマ黒</t>
  </si>
  <si>
    <t>いりゴマ白</t>
  </si>
  <si>
    <t>借方</t>
    <rPh sb="0" eb="2">
      <t>カリカタ</t>
    </rPh>
    <phoneticPr fontId="4"/>
  </si>
  <si>
    <t>貸方</t>
    <rPh sb="0" eb="2">
      <t>カシカタ</t>
    </rPh>
    <phoneticPr fontId="4"/>
  </si>
  <si>
    <t>科目番号</t>
    <rPh sb="0" eb="4">
      <t>カモクバンゴウ</t>
    </rPh>
    <phoneticPr fontId="4"/>
  </si>
  <si>
    <t>科目</t>
    <rPh sb="0" eb="2">
      <t>カモク</t>
    </rPh>
    <phoneticPr fontId="4"/>
  </si>
  <si>
    <t>補助科目</t>
    <rPh sb="0" eb="4">
      <t>ホジョカモク</t>
    </rPh>
    <phoneticPr fontId="4"/>
  </si>
  <si>
    <t>金額</t>
    <rPh sb="0" eb="2">
      <t>キンガク</t>
    </rPh>
    <phoneticPr fontId="4"/>
  </si>
  <si>
    <t>摘要</t>
    <rPh sb="0" eb="2">
      <t>テキヨウ</t>
    </rPh>
    <phoneticPr fontId="4"/>
  </si>
  <si>
    <t>期首材料棚卸高</t>
    <rPh sb="0" eb="4">
      <t>キシュザイリョウ</t>
    </rPh>
    <rPh sb="4" eb="7">
      <t>タナオロシダカ</t>
    </rPh>
    <phoneticPr fontId="4"/>
  </si>
  <si>
    <t>原材料</t>
    <rPh sb="0" eb="3">
      <t>ゲンザイリョウ</t>
    </rPh>
    <phoneticPr fontId="4"/>
  </si>
  <si>
    <t>期首原料振替　原料（製造部）</t>
    <rPh sb="0" eb="4">
      <t>キシュゲンリョウ</t>
    </rPh>
    <rPh sb="4" eb="6">
      <t>フリカエ</t>
    </rPh>
    <rPh sb="7" eb="9">
      <t>ゲンリョウ</t>
    </rPh>
    <rPh sb="10" eb="13">
      <t>セイゾウブ</t>
    </rPh>
    <phoneticPr fontId="4"/>
  </si>
  <si>
    <t>期首原料振替　支給原液分</t>
    <rPh sb="0" eb="4">
      <t>キシュゲンリョウ</t>
    </rPh>
    <rPh sb="4" eb="6">
      <t>フリカエ</t>
    </rPh>
    <rPh sb="7" eb="9">
      <t>シキュウ</t>
    </rPh>
    <rPh sb="9" eb="11">
      <t>ゲンエキ</t>
    </rPh>
    <rPh sb="11" eb="12">
      <t>ブン</t>
    </rPh>
    <phoneticPr fontId="4"/>
  </si>
  <si>
    <t>期首原料振替　産品部玄米在庫</t>
    <rPh sb="0" eb="4">
      <t>キシュゲンリョウ</t>
    </rPh>
    <rPh sb="4" eb="6">
      <t>フリカエ</t>
    </rPh>
    <rPh sb="7" eb="10">
      <t>サンピンブ</t>
    </rPh>
    <rPh sb="10" eb="14">
      <t>ゲンマイザイコ</t>
    </rPh>
    <phoneticPr fontId="4"/>
  </si>
  <si>
    <t>期末材料棚卸高</t>
    <rPh sb="0" eb="7">
      <t>キマツザイリョウタナオロシダカ</t>
    </rPh>
    <phoneticPr fontId="4"/>
  </si>
  <si>
    <t>販売促進費</t>
    <rPh sb="0" eb="5">
      <t>ハンバイソクシンヒ</t>
    </rPh>
    <phoneticPr fontId="4"/>
  </si>
  <si>
    <t>他勘定振替</t>
    <rPh sb="0" eb="5">
      <t>タカンジョウフリカエ</t>
    </rPh>
    <phoneticPr fontId="4"/>
  </si>
  <si>
    <t>雑損失</t>
    <rPh sb="0" eb="3">
      <t>ザツソンシツ</t>
    </rPh>
    <phoneticPr fontId="4"/>
  </si>
  <si>
    <t>期末原料振替　原料（製造部）</t>
    <rPh sb="0" eb="4">
      <t>キマツゲンリョウ</t>
    </rPh>
    <rPh sb="4" eb="6">
      <t>フリカエ</t>
    </rPh>
    <rPh sb="7" eb="9">
      <t>ゲンリョウ</t>
    </rPh>
    <rPh sb="10" eb="13">
      <t>セイゾウブ</t>
    </rPh>
    <phoneticPr fontId="4"/>
  </si>
  <si>
    <t>期末原料振替　検査分析</t>
    <rPh sb="0" eb="4">
      <t>キマツゲンリョウ</t>
    </rPh>
    <rPh sb="4" eb="6">
      <t>フリカエ</t>
    </rPh>
    <rPh sb="7" eb="9">
      <t>ケンサ</t>
    </rPh>
    <rPh sb="9" eb="11">
      <t>ブンセキ</t>
    </rPh>
    <phoneticPr fontId="4"/>
  </si>
  <si>
    <t>期末原料振替　試用</t>
    <rPh sb="0" eb="4">
      <t>キマツゲンリョウ</t>
    </rPh>
    <rPh sb="4" eb="6">
      <t>フリカエ</t>
    </rPh>
    <rPh sb="7" eb="9">
      <t>シヨウ</t>
    </rPh>
    <phoneticPr fontId="4"/>
  </si>
  <si>
    <t>期末原料振替　ロス廃棄在庫調整</t>
    <rPh sb="0" eb="4">
      <t>キマツゲンリョウ</t>
    </rPh>
    <rPh sb="4" eb="6">
      <t>フリカエ</t>
    </rPh>
    <rPh sb="9" eb="11">
      <t>ハイキ</t>
    </rPh>
    <rPh sb="11" eb="15">
      <t>ザイコチョウセイ</t>
    </rPh>
    <phoneticPr fontId="4"/>
  </si>
  <si>
    <t>期末原料振替　原料返品</t>
    <rPh sb="0" eb="4">
      <t>キマツゲンリョウ</t>
    </rPh>
    <rPh sb="4" eb="6">
      <t>フリカエ</t>
    </rPh>
    <rPh sb="7" eb="9">
      <t>ゲンリョウ</t>
    </rPh>
    <rPh sb="9" eb="11">
      <t>ヘンピン</t>
    </rPh>
    <phoneticPr fontId="4"/>
  </si>
  <si>
    <t>期末原料振替　支給原液分</t>
    <rPh sb="0" eb="2">
      <t>キマツ</t>
    </rPh>
    <rPh sb="2" eb="4">
      <t>ゲンリョウ</t>
    </rPh>
    <rPh sb="4" eb="6">
      <t>フリカエ</t>
    </rPh>
    <rPh sb="7" eb="9">
      <t>シキュウ</t>
    </rPh>
    <rPh sb="9" eb="11">
      <t>ゲンエキ</t>
    </rPh>
    <rPh sb="11" eb="12">
      <t>ブン</t>
    </rPh>
    <phoneticPr fontId="4"/>
  </si>
  <si>
    <t>期末原料振替　産品部玄米在庫</t>
    <rPh sb="0" eb="2">
      <t>キマツ</t>
    </rPh>
    <rPh sb="2" eb="4">
      <t>ゲンリョウ</t>
    </rPh>
    <rPh sb="4" eb="6">
      <t>フリカエ</t>
    </rPh>
    <rPh sb="7" eb="10">
      <t>サンピンブ</t>
    </rPh>
    <rPh sb="10" eb="14">
      <t>ゲンマイザイコ</t>
    </rPh>
    <phoneticPr fontId="4"/>
  </si>
  <si>
    <t>＃4</t>
    <phoneticPr fontId="4"/>
  </si>
  <si>
    <t>原価計算仕訳</t>
    <rPh sb="0" eb="4">
      <t>ゲンカケイサン</t>
    </rPh>
    <rPh sb="4" eb="6">
      <t>シワケ</t>
    </rPh>
    <phoneticPr fontId="4"/>
  </si>
  <si>
    <t>○○期末玄米在庫シートから（玄米シート作成担当要確認）</t>
    <rPh sb="2" eb="4">
      <t>キマツ</t>
    </rPh>
    <rPh sb="4" eb="8">
      <t>ゲンマイザイコ</t>
    </rPh>
    <rPh sb="14" eb="16">
      <t>ゲンマイ</t>
    </rPh>
    <rPh sb="19" eb="23">
      <t>サクセイタントウ</t>
    </rPh>
    <rPh sb="23" eb="26">
      <t>ヨウカクニン</t>
    </rPh>
    <phoneticPr fontId="1"/>
  </si>
  <si>
    <t>従来山田原価計算3外注加工費にて集計していたが、外注加工費NEWでは集計されなくなった。青山さんにて外注先の期末数量を集計するので、それを基にSC単価をかけて期末外注先現役在庫を集計することとした。</t>
    <rPh sb="0" eb="2">
      <t>ジュウライ</t>
    </rPh>
    <rPh sb="2" eb="8">
      <t>ヤマダゲンカケイサン</t>
    </rPh>
    <rPh sb="9" eb="14">
      <t>ガイチュウカコウヒ</t>
    </rPh>
    <rPh sb="16" eb="18">
      <t>シュウケイ</t>
    </rPh>
    <rPh sb="24" eb="29">
      <t>ガイチュウカコウヒ</t>
    </rPh>
    <rPh sb="34" eb="36">
      <t>シュウケイ</t>
    </rPh>
    <rPh sb="44" eb="46">
      <t>アオヤマ</t>
    </rPh>
    <rPh sb="50" eb="53">
      <t>ガイチュウサキ</t>
    </rPh>
    <rPh sb="54" eb="56">
      <t>キマツ</t>
    </rPh>
    <rPh sb="56" eb="58">
      <t>スウリョウ</t>
    </rPh>
    <rPh sb="59" eb="61">
      <t>シュウケイ</t>
    </rPh>
    <rPh sb="69" eb="70">
      <t>モト</t>
    </rPh>
    <rPh sb="73" eb="75">
      <t>タンカ</t>
    </rPh>
    <rPh sb="79" eb="81">
      <t>キマツ</t>
    </rPh>
    <rPh sb="81" eb="84">
      <t>ガイチュウサキ</t>
    </rPh>
    <rPh sb="84" eb="88">
      <t>ゲンエキザイコ</t>
    </rPh>
    <rPh sb="89" eb="91">
      <t>シュウケイ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</si>
</sst>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;\-&quot;¥&quot;#,##0"/>
    <numFmt numFmtId="177" formatCode="#,##0.0;[Red]\-#,##0.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u/>
      <sz val="18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</borders>
  <cellStyleXfs count="9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8" fillId="0" borderId="0"/>
    <xf numFmtId="0" fontId="2" fillId="0" borderId="0"/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38" fontId="2" fillId="0" borderId="0" xfId="1" applyFont="1" applyAlignment="1">
      <alignment vertical="center"/>
    </xf>
    <xf numFmtId="0" fontId="2" fillId="0" borderId="0" xfId="2" applyAlignment="1">
      <alignment vertical="center"/>
    </xf>
    <xf numFmtId="0" fontId="2" fillId="0" borderId="0" xfId="2" applyAlignment="1">
      <alignment horizontal="center" vertical="center"/>
    </xf>
    <xf numFmtId="0" fontId="2" fillId="3" borderId="13" xfId="2" applyFill="1" applyBorder="1" applyAlignment="1">
      <alignment horizontal="center" vertical="center" wrapText="1"/>
    </xf>
    <xf numFmtId="38" fontId="2" fillId="4" borderId="14" xfId="1" applyFont="1" applyFill="1" applyBorder="1" applyAlignment="1">
      <alignment vertical="center"/>
    </xf>
    <xf numFmtId="38" fontId="2" fillId="4" borderId="15" xfId="1" applyFont="1" applyFill="1" applyBorder="1" applyAlignment="1" applyProtection="1">
      <alignment vertical="center"/>
      <protection locked="0"/>
    </xf>
    <xf numFmtId="38" fontId="2" fillId="4" borderId="12" xfId="1" applyFont="1" applyFill="1" applyBorder="1" applyAlignment="1">
      <alignment vertical="center"/>
    </xf>
    <xf numFmtId="40" fontId="2" fillId="4" borderId="12" xfId="1" applyNumberFormat="1" applyFont="1" applyFill="1" applyBorder="1" applyAlignment="1">
      <alignment vertical="center"/>
    </xf>
    <xf numFmtId="0" fontId="2" fillId="0" borderId="16" xfId="2" applyBorder="1" applyAlignment="1">
      <alignment horizontal="center" vertical="center" wrapText="1"/>
    </xf>
    <xf numFmtId="38" fontId="2" fillId="0" borderId="17" xfId="1" applyFont="1" applyBorder="1" applyAlignment="1">
      <alignment vertical="center"/>
    </xf>
    <xf numFmtId="38" fontId="6" fillId="0" borderId="5" xfId="1" applyFont="1" applyBorder="1" applyAlignment="1">
      <alignment vertical="center"/>
    </xf>
    <xf numFmtId="0" fontId="2" fillId="3" borderId="16" xfId="2" applyFill="1" applyBorder="1" applyAlignment="1">
      <alignment horizontal="center" vertical="center" wrapText="1"/>
    </xf>
    <xf numFmtId="38" fontId="2" fillId="4" borderId="17" xfId="1" applyFont="1" applyFill="1" applyBorder="1" applyAlignment="1">
      <alignment vertical="center"/>
    </xf>
    <xf numFmtId="38" fontId="2" fillId="4" borderId="18" xfId="1" applyFont="1" applyFill="1" applyBorder="1" applyAlignment="1">
      <alignment vertical="center"/>
    </xf>
    <xf numFmtId="0" fontId="7" fillId="3" borderId="16" xfId="2" applyFont="1" applyFill="1" applyBorder="1" applyAlignment="1">
      <alignment horizontal="center" vertical="center" wrapText="1"/>
    </xf>
    <xf numFmtId="38" fontId="2" fillId="0" borderId="16" xfId="2" applyNumberFormat="1" applyBorder="1" applyAlignment="1">
      <alignment horizontal="center" vertical="center" wrapText="1"/>
    </xf>
    <xf numFmtId="38" fontId="2" fillId="0" borderId="0" xfId="2" applyNumberFormat="1" applyAlignment="1">
      <alignment vertical="center"/>
    </xf>
    <xf numFmtId="38" fontId="2" fillId="4" borderId="5" xfId="1" applyFont="1" applyFill="1" applyBorder="1" applyAlignment="1" applyProtection="1">
      <alignment vertical="center"/>
      <protection locked="0"/>
    </xf>
    <xf numFmtId="40" fontId="2" fillId="4" borderId="6" xfId="1" applyNumberFormat="1" applyFont="1" applyFill="1" applyBorder="1" applyAlignment="1">
      <alignment vertical="center"/>
    </xf>
    <xf numFmtId="0" fontId="2" fillId="0" borderId="19" xfId="2" applyBorder="1" applyAlignment="1">
      <alignment horizontal="center" vertical="center" wrapText="1"/>
    </xf>
    <xf numFmtId="38" fontId="2" fillId="0" borderId="20" xfId="1" applyFont="1" applyBorder="1" applyAlignment="1">
      <alignment vertical="center"/>
    </xf>
    <xf numFmtId="38" fontId="6" fillId="0" borderId="10" xfId="1" applyFont="1" applyBorder="1" applyAlignment="1">
      <alignment vertical="center"/>
    </xf>
    <xf numFmtId="38" fontId="2" fillId="3" borderId="13" xfId="1" applyFont="1" applyFill="1" applyBorder="1" applyAlignment="1">
      <alignment horizontal="center" vertical="center" wrapText="1"/>
    </xf>
    <xf numFmtId="38" fontId="2" fillId="4" borderId="15" xfId="1" applyFont="1" applyFill="1" applyBorder="1" applyAlignment="1">
      <alignment vertical="center"/>
    </xf>
    <xf numFmtId="38" fontId="2" fillId="5" borderId="0" xfId="1" applyFont="1" applyFill="1" applyAlignment="1">
      <alignment horizontal="right" vertical="center"/>
    </xf>
    <xf numFmtId="38" fontId="2" fillId="0" borderId="16" xfId="1" applyFont="1" applyFill="1" applyBorder="1" applyAlignment="1">
      <alignment horizontal="center" vertical="center" wrapText="1"/>
    </xf>
    <xf numFmtId="38" fontId="2" fillId="0" borderId="17" xfId="1" applyFont="1" applyFill="1" applyBorder="1" applyAlignment="1">
      <alignment vertical="center"/>
    </xf>
    <xf numFmtId="38" fontId="2" fillId="0" borderId="5" xfId="1" applyFont="1" applyFill="1" applyBorder="1" applyAlignment="1">
      <alignment vertical="center"/>
    </xf>
    <xf numFmtId="38" fontId="2" fillId="0" borderId="6" xfId="1" applyFont="1" applyFill="1" applyBorder="1" applyAlignment="1">
      <alignment vertical="center"/>
    </xf>
    <xf numFmtId="0" fontId="2" fillId="6" borderId="21" xfId="3" applyFill="1" applyBorder="1" applyAlignment="1">
      <alignment horizontal="center"/>
    </xf>
    <xf numFmtId="0" fontId="9" fillId="0" borderId="0" xfId="4" applyFont="1"/>
    <xf numFmtId="0" fontId="8" fillId="0" borderId="0" xfId="4"/>
    <xf numFmtId="0" fontId="2" fillId="0" borderId="22" xfId="3" applyBorder="1" applyAlignment="1">
      <alignment wrapText="1"/>
    </xf>
    <xf numFmtId="0" fontId="2" fillId="0" borderId="22" xfId="3" applyBorder="1" applyAlignment="1">
      <alignment horizontal="right" wrapText="1"/>
    </xf>
    <xf numFmtId="176" fontId="2" fillId="0" borderId="22" xfId="3" applyNumberFormat="1" applyBorder="1" applyAlignment="1">
      <alignment horizontal="right" wrapText="1"/>
    </xf>
    <xf numFmtId="38" fontId="0" fillId="0" borderId="0" xfId="1" applyFont="1">
      <alignment vertical="center"/>
    </xf>
    <xf numFmtId="0" fontId="2" fillId="0" borderId="22" xfId="5" applyBorder="1" applyAlignment="1">
      <alignment wrapText="1"/>
    </xf>
    <xf numFmtId="0" fontId="2" fillId="0" borderId="22" xfId="5" applyBorder="1" applyAlignment="1">
      <alignment horizontal="right" wrapText="1"/>
    </xf>
    <xf numFmtId="0" fontId="2" fillId="2" borderId="22" xfId="5" applyFill="1" applyBorder="1" applyAlignment="1">
      <alignment wrapText="1"/>
    </xf>
    <xf numFmtId="40" fontId="0" fillId="0" borderId="0" xfId="1" applyNumberFormat="1" applyFont="1">
      <alignment vertical="center"/>
    </xf>
    <xf numFmtId="0" fontId="2" fillId="7" borderId="21" xfId="3" applyFill="1" applyBorder="1" applyAlignment="1">
      <alignment horizontal="center"/>
    </xf>
    <xf numFmtId="4" fontId="2" fillId="0" borderId="22" xfId="3" applyNumberFormat="1" applyBorder="1" applyAlignment="1">
      <alignment horizontal="right" wrapText="1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38" fontId="2" fillId="0" borderId="2" xfId="1" applyFont="1" applyFill="1" applyBorder="1" applyAlignment="1">
      <alignment vertical="center"/>
    </xf>
    <xf numFmtId="38" fontId="10" fillId="0" borderId="1" xfId="1" applyFont="1" applyBorder="1">
      <alignment vertical="center"/>
    </xf>
    <xf numFmtId="38" fontId="10" fillId="0" borderId="0" xfId="1" applyFont="1">
      <alignment vertical="center"/>
    </xf>
    <xf numFmtId="38" fontId="10" fillId="0" borderId="3" xfId="1" applyFont="1" applyBorder="1">
      <alignment vertical="center"/>
    </xf>
    <xf numFmtId="38" fontId="10" fillId="0" borderId="23" xfId="1" applyFont="1" applyBorder="1">
      <alignment vertical="center"/>
    </xf>
    <xf numFmtId="38" fontId="10" fillId="0" borderId="13" xfId="1" applyFont="1" applyBorder="1">
      <alignment vertical="center"/>
    </xf>
    <xf numFmtId="38" fontId="10" fillId="0" borderId="0" xfId="1" applyFont="1" applyFill="1">
      <alignment vertical="center"/>
    </xf>
    <xf numFmtId="38" fontId="10" fillId="0" borderId="23" xfId="1" applyFont="1" applyFill="1" applyBorder="1">
      <alignment vertical="center"/>
    </xf>
    <xf numFmtId="38" fontId="10" fillId="0" borderId="0" xfId="1" applyFont="1" applyFill="1" applyAlignment="1">
      <alignment horizontal="right" vertical="center"/>
    </xf>
    <xf numFmtId="38" fontId="2" fillId="0" borderId="13" xfId="1" applyFont="1" applyFill="1" applyBorder="1" applyAlignment="1">
      <alignment horizontal="center" vertical="center"/>
    </xf>
    <xf numFmtId="38" fontId="2" fillId="0" borderId="16" xfId="1" applyFont="1" applyFill="1" applyBorder="1" applyAlignment="1">
      <alignment horizontal="center" vertical="center"/>
    </xf>
    <xf numFmtId="38" fontId="6" fillId="0" borderId="12" xfId="1" applyFont="1" applyFill="1" applyBorder="1" applyAlignment="1">
      <alignment horizontal="center" vertical="center" shrinkToFit="1"/>
    </xf>
    <xf numFmtId="38" fontId="0" fillId="0" borderId="0" xfId="6" applyFont="1">
      <alignment vertical="center"/>
    </xf>
    <xf numFmtId="38" fontId="1" fillId="0" borderId="0" xfId="7" applyNumberFormat="1">
      <alignment vertical="center"/>
    </xf>
    <xf numFmtId="0" fontId="1" fillId="0" borderId="0" xfId="7">
      <alignment vertical="center"/>
    </xf>
    <xf numFmtId="0" fontId="2" fillId="0" borderId="6" xfId="2" applyBorder="1" applyAlignment="1">
      <alignment vertical="center" wrapText="1"/>
    </xf>
    <xf numFmtId="0" fontId="2" fillId="0" borderId="2" xfId="2" applyBorder="1" applyAlignment="1">
      <alignment vertical="center" wrapText="1"/>
    </xf>
    <xf numFmtId="38" fontId="1" fillId="0" borderId="0" xfId="8" applyFont="1">
      <alignment vertical="center"/>
    </xf>
    <xf numFmtId="177" fontId="0" fillId="0" borderId="0" xfId="6" applyNumberFormat="1" applyFont="1">
      <alignment vertical="center"/>
    </xf>
    <xf numFmtId="177" fontId="0" fillId="0" borderId="0" xfId="6" applyNumberFormat="1" applyFont="1" applyAlignment="1">
      <alignment horizontal="center" vertical="center"/>
    </xf>
    <xf numFmtId="0" fontId="1" fillId="2" borderId="0" xfId="7" applyFill="1" applyAlignment="1">
      <alignment horizontal="center" vertical="center"/>
    </xf>
    <xf numFmtId="0" fontId="11" fillId="0" borderId="0" xfId="0" applyFont="1">
      <alignment vertical="center"/>
    </xf>
    <xf numFmtId="38" fontId="11" fillId="0" borderId="0" xfId="1" applyFont="1">
      <alignment vertical="center"/>
    </xf>
    <xf numFmtId="38" fontId="11" fillId="2" borderId="0" xfId="1" applyFont="1" applyFill="1">
      <alignment vertical="center"/>
    </xf>
    <xf numFmtId="0" fontId="11" fillId="0" borderId="23" xfId="0" applyFont="1" applyBorder="1">
      <alignment vertical="center"/>
    </xf>
    <xf numFmtId="38" fontId="11" fillId="0" borderId="0" xfId="1" applyFont="1" applyBorder="1">
      <alignment vertical="center"/>
    </xf>
    <xf numFmtId="0" fontId="11" fillId="0" borderId="0" xfId="0" applyFont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38" fontId="11" fillId="0" borderId="1" xfId="1" applyFont="1" applyBorder="1" applyAlignment="1">
      <alignment horizontal="center" vertical="center" shrinkToFit="1"/>
    </xf>
    <xf numFmtId="0" fontId="11" fillId="0" borderId="13" xfId="0" applyFont="1" applyBorder="1" applyAlignment="1">
      <alignment horizontal="center" vertical="center" shrinkToFit="1"/>
    </xf>
    <xf numFmtId="38" fontId="11" fillId="0" borderId="0" xfId="1" applyFont="1" applyFill="1">
      <alignment vertical="center"/>
    </xf>
    <xf numFmtId="38" fontId="11" fillId="2" borderId="0" xfId="8" applyFont="1" applyFill="1" applyAlignment="1">
      <alignment vertical="center" wrapText="1"/>
    </xf>
    <xf numFmtId="0" fontId="11" fillId="0" borderId="0" xfId="0" applyFont="1" applyAlignment="1">
      <alignment horizontal="center" vertical="center"/>
    </xf>
    <xf numFmtId="38" fontId="2" fillId="0" borderId="12" xfId="1" applyFont="1" applyBorder="1" applyAlignment="1">
      <alignment horizontal="right" vertical="center" wrapText="1"/>
    </xf>
    <xf numFmtId="38" fontId="2" fillId="0" borderId="6" xfId="1" applyFont="1" applyBorder="1" applyAlignment="1">
      <alignment horizontal="right" vertical="center" wrapText="1"/>
    </xf>
    <xf numFmtId="0" fontId="2" fillId="0" borderId="6" xfId="2" applyBorder="1" applyAlignment="1">
      <alignment horizontal="center" vertical="center" wrapText="1"/>
    </xf>
    <xf numFmtId="0" fontId="2" fillId="0" borderId="11" xfId="2" applyBorder="1" applyAlignment="1">
      <alignment horizontal="center" vertical="center" wrapText="1"/>
    </xf>
    <xf numFmtId="38" fontId="2" fillId="0" borderId="2" xfId="1" applyFont="1" applyFill="1" applyBorder="1" applyAlignment="1">
      <alignment horizontal="center" vertical="center"/>
    </xf>
    <xf numFmtId="38" fontId="2" fillId="0" borderId="7" xfId="1" applyFont="1" applyFill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2" fillId="0" borderId="7" xfId="2" applyBorder="1" applyAlignment="1">
      <alignment horizontal="center" vertical="center"/>
    </xf>
    <xf numFmtId="0" fontId="2" fillId="0" borderId="12" xfId="2" applyBorder="1" applyAlignment="1">
      <alignment horizontal="center" vertical="center" wrapText="1"/>
    </xf>
    <xf numFmtId="0" fontId="2" fillId="0" borderId="3" xfId="2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38" fontId="2" fillId="0" borderId="4" xfId="1" applyFont="1" applyFill="1" applyBorder="1" applyAlignment="1">
      <alignment horizontal="center" vertical="center"/>
    </xf>
    <xf numFmtId="38" fontId="2" fillId="0" borderId="9" xfId="1" applyFont="1" applyFill="1" applyBorder="1" applyAlignment="1">
      <alignment horizontal="center" vertical="center"/>
    </xf>
    <xf numFmtId="38" fontId="2" fillId="0" borderId="12" xfId="1" applyFont="1" applyBorder="1" applyAlignment="1">
      <alignment horizontal="center" vertical="center" wrapText="1"/>
    </xf>
    <xf numFmtId="38" fontId="2" fillId="0" borderId="6" xfId="1" applyFont="1" applyBorder="1" applyAlignment="1">
      <alignment horizontal="center" vertical="center" wrapText="1"/>
    </xf>
    <xf numFmtId="0" fontId="2" fillId="0" borderId="6" xfId="2" quotePrefix="1" applyBorder="1" applyAlignment="1">
      <alignment horizontal="center" vertical="center" wrapText="1"/>
    </xf>
    <xf numFmtId="49" fontId="2" fillId="0" borderId="6" xfId="2" applyNumberFormat="1" applyBorder="1" applyAlignment="1">
      <alignment horizontal="center" vertical="center" wrapText="1"/>
    </xf>
    <xf numFmtId="0" fontId="2" fillId="0" borderId="2" xfId="2" applyBorder="1" applyAlignment="1">
      <alignment horizontal="center" vertical="center" wrapText="1"/>
    </xf>
    <xf numFmtId="49" fontId="2" fillId="0" borderId="6" xfId="2" quotePrefix="1" applyNumberFormat="1" applyBorder="1" applyAlignment="1">
      <alignment horizontal="center" vertical="center" wrapText="1"/>
    </xf>
    <xf numFmtId="49" fontId="2" fillId="0" borderId="2" xfId="2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6" xfId="2" applyFill="1" applyBorder="1" applyAlignment="1">
      <alignment horizontal="center" vertical="center" wrapText="1"/>
    </xf>
    <xf numFmtId="49" fontId="2" fillId="2" borderId="6" xfId="2" applyNumberFormat="1" applyFill="1" applyBorder="1" applyAlignment="1">
      <alignment horizontal="center" vertical="center" wrapText="1"/>
    </xf>
    <xf numFmtId="38" fontId="2" fillId="0" borderId="12" xfId="1" applyFont="1" applyFill="1" applyBorder="1" applyAlignment="1">
      <alignment horizontal="center" vertical="center"/>
    </xf>
    <xf numFmtId="38" fontId="2" fillId="0" borderId="6" xfId="1" applyFont="1" applyFill="1" applyBorder="1" applyAlignment="1">
      <alignment horizontal="center" vertical="center"/>
    </xf>
  </cellXfs>
  <cellStyles count="95">
    <cellStyle name="パーセント 2" xfId="65" xr:uid="{F824BC2B-A07C-4578-8F39-FA237314207F}"/>
    <cellStyle name="パーセント 3" xfId="10" xr:uid="{E7CAA6F7-3F1D-4A1C-815B-BF5DC426CB07}"/>
    <cellStyle name="桁区切り" xfId="1" builtinId="6"/>
    <cellStyle name="桁区切り 10" xfId="41" xr:uid="{031D89F2-0243-4E32-9948-AE5A872F1B15}"/>
    <cellStyle name="桁区切り 10 2" xfId="74" xr:uid="{AA9C3680-0FB5-4549-9052-D9F9EF09655F}"/>
    <cellStyle name="桁区切り 11" xfId="43" xr:uid="{BB2457BC-B10F-445A-AF11-8A895ABD0630}"/>
    <cellStyle name="桁区切り 11 2" xfId="76" xr:uid="{9EBB7483-6B19-4F84-8424-BFD8E7D4F031}"/>
    <cellStyle name="桁区切り 12" xfId="8" xr:uid="{00000000-0005-0000-0000-000001000000}"/>
    <cellStyle name="桁区切り 12 2" xfId="82" xr:uid="{1D95383B-088A-4D1C-841D-4468FBFF02A4}"/>
    <cellStyle name="桁区切り 12 3" xfId="49" xr:uid="{F83DB173-858E-479B-A079-C7FE68DBB189}"/>
    <cellStyle name="桁区切り 13" xfId="53" xr:uid="{8D14EE9F-CF28-4451-82CF-6272F171AACC}"/>
    <cellStyle name="桁区切り 14" xfId="51" xr:uid="{235A1C78-521B-4A50-B433-C35BD60DD07A}"/>
    <cellStyle name="桁区切り 15" xfId="85" xr:uid="{23999FD8-2BD7-4F16-B065-382EC5F2E38E}"/>
    <cellStyle name="桁区切り 15 2" xfId="89" xr:uid="{AC5D008B-66BE-4CA2-A709-908C655AC108}"/>
    <cellStyle name="桁区切り 16" xfId="6" xr:uid="{00000000-0005-0000-0000-000002000000}"/>
    <cellStyle name="桁区切り 17" xfId="94" xr:uid="{5143B9BB-E95F-450F-8B55-A38B91367E6D}"/>
    <cellStyle name="桁区切り 2" xfId="12" xr:uid="{6B5053B0-8C5C-48A6-887D-0C670E874DF9}"/>
    <cellStyle name="桁区切り 2 2" xfId="16" xr:uid="{B85D0185-D784-4C2C-9BB0-765A9C6429B7}"/>
    <cellStyle name="桁区切り 3" xfId="20" xr:uid="{29D897EA-7E73-46E7-BB2D-932D2676EF22}"/>
    <cellStyle name="桁区切り 3 2" xfId="55" xr:uid="{48743401-C372-48BA-B9DC-E8692B8D9ED2}"/>
    <cellStyle name="桁区切り 3 3" xfId="22" xr:uid="{C053BB40-58C7-4642-9877-3841E798DFA4}"/>
    <cellStyle name="桁区切り 3 4" xfId="92" xr:uid="{063C7FE7-5EC9-4570-9950-5ED0CAC1E3E8}"/>
    <cellStyle name="桁区切り 4" xfId="23" xr:uid="{3EFA3BE5-74DF-4325-A5B3-E26BAF3847C8}"/>
    <cellStyle name="桁区切り 5" xfId="25" xr:uid="{FBD450F8-3A10-44AA-BD1C-6B0A8AE65C21}"/>
    <cellStyle name="桁区切り 5 2" xfId="57" xr:uid="{B10AF8D8-680B-4B5C-AECD-273A4ED46521}"/>
    <cellStyle name="桁区切り 6" xfId="30" xr:uid="{6634F15F-D3D2-4D62-9DB7-EB3AF4BB4310}"/>
    <cellStyle name="桁区切り 6 2" xfId="62" xr:uid="{4FDF2E57-0329-40E9-A45A-54690B9CDC79}"/>
    <cellStyle name="桁区切り 7" xfId="32" xr:uid="{A8F82AD0-DF69-4036-90C0-EB3AC27CD431}"/>
    <cellStyle name="桁区切り 7 2" xfId="64" xr:uid="{5CAC1A4D-912E-49D0-BD89-1F4597233671}"/>
    <cellStyle name="桁区切り 8" xfId="34" xr:uid="{90D71274-B4CB-46E6-826A-9CEE739518A1}"/>
    <cellStyle name="桁区切り 8 2" xfId="67" xr:uid="{65C2609D-569E-4D17-A70F-53774B9E463B}"/>
    <cellStyle name="桁区切り 9" xfId="37" xr:uid="{64AE9F79-DA7E-4148-9866-4E510AA0D0C0}"/>
    <cellStyle name="桁区切り 9 2" xfId="70" xr:uid="{113CEA0C-891D-454B-9A08-466E41333D71}"/>
    <cellStyle name="標準" xfId="0" builtinId="0"/>
    <cellStyle name="標準 10" xfId="31" xr:uid="{98808DE5-21E8-44B4-B281-93A8952CA583}"/>
    <cellStyle name="標準 10 2" xfId="63" xr:uid="{4EFF73A5-0A5E-4BBE-B401-5602E5043279}"/>
    <cellStyle name="標準 10 3" xfId="86" xr:uid="{DF21B760-0FF9-4EAE-97F3-2EB9985BC889}"/>
    <cellStyle name="標準 10 3 2" xfId="87" xr:uid="{A24EAF4F-410C-4ED9-B036-8207AE16348A}"/>
    <cellStyle name="標準 10 3 3" xfId="88" xr:uid="{F08929E7-9E77-4236-BF01-293C61E742BC}"/>
    <cellStyle name="標準 11" xfId="33" xr:uid="{33689F88-13C9-4F2F-88CF-F88E1B34E188}"/>
    <cellStyle name="標準 11 2" xfId="66" xr:uid="{2943AFF4-9E90-43EE-BDDE-6E418FDF2D02}"/>
    <cellStyle name="標準 12" xfId="35" xr:uid="{D216E625-41F8-44DD-93F7-47254D0BA777}"/>
    <cellStyle name="標準 12 2" xfId="68" xr:uid="{307399F4-9884-44F4-A076-2652C9321BDF}"/>
    <cellStyle name="標準 13" xfId="36" xr:uid="{49A90E82-14EF-4C0A-BBE2-1B2A1FEDD3ED}"/>
    <cellStyle name="標準 13 2" xfId="69" xr:uid="{79741D1E-9C21-46FE-B0B5-1388004A9CFF}"/>
    <cellStyle name="標準 14" xfId="38" xr:uid="{B7DC1CE3-CDF3-4A9F-88E8-356B3D59B336}"/>
    <cellStyle name="標準 14 2" xfId="71" xr:uid="{C437D672-4BD5-40EE-9D14-9887717D8DF3}"/>
    <cellStyle name="標準 15" xfId="39" xr:uid="{7056ED62-A16B-43FB-B585-BF4A971A0AFC}"/>
    <cellStyle name="標準 15 2" xfId="72" xr:uid="{FA149495-1C87-43F6-9771-FDC5B5A2FDB2}"/>
    <cellStyle name="標準 16" xfId="40" xr:uid="{CC9329D7-5F73-4299-B179-E57CF2B2BB60}"/>
    <cellStyle name="標準 16 2" xfId="73" xr:uid="{958879A3-A107-451F-A959-1DFA16ECE3F9}"/>
    <cellStyle name="標準 17" xfId="42" xr:uid="{DCABBD55-DDA2-47C2-8981-ACAEE80BA4DF}"/>
    <cellStyle name="標準 17 2" xfId="75" xr:uid="{AB04207E-DF76-4862-A08E-AD0ACECE3EC9}"/>
    <cellStyle name="標準 18" xfId="44" xr:uid="{DEBCC742-295F-434E-BCED-F7B495E2C414}"/>
    <cellStyle name="標準 18 2" xfId="77" xr:uid="{0ED671C6-3690-4688-8827-9FCF9D9BE6D5}"/>
    <cellStyle name="標準 19" xfId="46" xr:uid="{5A8F4BB7-AB8D-48EE-A6E7-CE0859A94EE4}"/>
    <cellStyle name="標準 19 2" xfId="79" xr:uid="{AF2A959A-65C7-48B9-B82D-90F2A9ED195D}"/>
    <cellStyle name="標準 2" xfId="15" xr:uid="{88DB2B77-9341-46B7-A16F-738E1BA48896}"/>
    <cellStyle name="標準 20" xfId="13" xr:uid="{5B056E03-F35A-49CD-9943-4EEC1427DBCF}"/>
    <cellStyle name="標準 20 2" xfId="78" xr:uid="{9CC7AAC0-738B-467E-A219-CB7CFE7DA92B}"/>
    <cellStyle name="標準 20 3" xfId="45" xr:uid="{5F6463C0-FA8E-405D-A16F-900F497A8DBB}"/>
    <cellStyle name="標準 21" xfId="47" xr:uid="{59A95728-27D1-4C55-85D6-37BEB3AF4244}"/>
    <cellStyle name="標準 21 2" xfId="80" xr:uid="{610362B5-269B-410B-AB3B-9087857D3163}"/>
    <cellStyle name="標準 22" xfId="14" xr:uid="{9532851C-09E9-4DFB-B113-DD8E9135685B}"/>
    <cellStyle name="標準 22 2" xfId="18" xr:uid="{669DC316-0972-4C00-AD92-0B71789595B1}"/>
    <cellStyle name="標準 22 2 2" xfId="81" xr:uid="{1370A264-11D0-4A82-8898-9454ECB89F38}"/>
    <cellStyle name="標準 22 3" xfId="48" xr:uid="{CEACF407-C566-4B31-90AD-B5941607994C}"/>
    <cellStyle name="標準 23" xfId="52" xr:uid="{021298F5-25AC-4A56-A40C-EF3CD6B35DCE}"/>
    <cellStyle name="標準 24" xfId="50" xr:uid="{3D83FC36-A8FB-4997-987C-DA863C40500F}"/>
    <cellStyle name="標準 25" xfId="83" xr:uid="{291358BA-76E1-40A6-953A-64456FC95855}"/>
    <cellStyle name="標準 26" xfId="84" xr:uid="{7E9AE351-FAFA-461E-BFC5-A597030A0C3F}"/>
    <cellStyle name="標準 26 2" xfId="90" xr:uid="{EFD717D3-15C2-4F05-9453-2CA13F4E9BE7}"/>
    <cellStyle name="標準 27" xfId="7" xr:uid="{00000000-0005-0000-0000-000004000000}"/>
    <cellStyle name="標準 28" xfId="93" xr:uid="{3930B401-04AC-4736-81EA-B6AA3850C09A}"/>
    <cellStyle name="標準 29" xfId="9" xr:uid="{2BCCFD2B-982B-41FB-9DC8-2AA8E24061CB}"/>
    <cellStyle name="標準 3" xfId="4" xr:uid="{00000000-0005-0000-0000-000005000000}"/>
    <cellStyle name="標準 3 2" xfId="17" xr:uid="{46333AA5-F3D6-4CC7-B4A7-5E429159CCD0}"/>
    <cellStyle name="標準 4" xfId="19" xr:uid="{8AC8A729-A588-49CD-A1DC-9C8123C9A3DD}"/>
    <cellStyle name="標準 4 2" xfId="54" xr:uid="{2169060A-E507-40BA-9886-8121941DF20E}"/>
    <cellStyle name="標準 4 3" xfId="21" xr:uid="{AA76F4A5-0ABD-457D-836A-D70EDC8EB030}"/>
    <cellStyle name="標準 4 4" xfId="91" xr:uid="{EFB615EF-0915-499E-84E9-BA9C70A4A574}"/>
    <cellStyle name="標準 5" xfId="24" xr:uid="{1D337E5E-FEBC-4BE7-9B45-BF0ADB968E50}"/>
    <cellStyle name="標準 5 2" xfId="56" xr:uid="{D37F6211-C881-448B-8172-0E4D4D2756D5}"/>
    <cellStyle name="標準 6" xfId="26" xr:uid="{E16FB899-A360-4762-B85C-7673A0DB5EEC}"/>
    <cellStyle name="標準 6 2" xfId="58" xr:uid="{09E88BF1-8CF5-4773-A36F-713ABDB290AD}"/>
    <cellStyle name="標準 7" xfId="27" xr:uid="{6ECCB9FB-08A3-4CD3-AE66-F0AE213E8414}"/>
    <cellStyle name="標準 7 2" xfId="59" xr:uid="{101ED787-21EE-4A81-97B1-51AC806BB4C6}"/>
    <cellStyle name="標準 8" xfId="28" xr:uid="{FA1F605F-18C9-47A2-90D2-9C5F0B0373AC}"/>
    <cellStyle name="標準 8 2" xfId="60" xr:uid="{A5EA733C-7AC4-438E-AB3D-ACD41E039695}"/>
    <cellStyle name="標準 9" xfId="11" xr:uid="{E8734A46-A811-495E-8A66-FA3393476E12}"/>
    <cellStyle name="標準 9 2" xfId="61" xr:uid="{3B93D167-3189-4805-B570-270ED88880ED}"/>
    <cellStyle name="標準 9 3" xfId="29" xr:uid="{3EEAB3E9-67B2-4355-A3D4-014B906A3B52}"/>
    <cellStyle name="標準_元データ_1" xfId="3" xr:uid="{00000000-0005-0000-0000-000006000000}"/>
    <cellStyle name="標準_元データ_2" xfId="5" xr:uid="{00000000-0005-0000-0000-000007000000}"/>
    <cellStyle name="標準_原料台帳ﾃｰﾌﾞﾙ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4</xdr:row>
      <xdr:rowOff>104775</xdr:rowOff>
    </xdr:from>
    <xdr:to>
      <xdr:col>18</xdr:col>
      <xdr:colOff>361949</xdr:colOff>
      <xdr:row>17</xdr:row>
      <xdr:rowOff>66675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C68ABEC-8EFA-4499-8B0F-5F0C9EAF4904}"/>
            </a:ext>
          </a:extLst>
        </xdr:cNvPr>
        <xdr:cNvSpPr txBox="1"/>
      </xdr:nvSpPr>
      <xdr:spPr>
        <a:xfrm>
          <a:off x="7432674" y="765175"/>
          <a:ext cx="5724525" cy="2108200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製造原価①手順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１、当期の原料入荷データを張り付ける（原料が増え行数が足りない場合は行を追加する）</a:t>
          </a:r>
          <a:endParaRPr kumimoji="1" lang="en-US" altLang="ja-JP" sz="1100"/>
        </a:p>
        <a:p>
          <a:r>
            <a:rPr kumimoji="1" lang="ja-JP" altLang="en-US" sz="1100"/>
            <a:t>２、原材料シートのコード列（</a:t>
          </a:r>
          <a:r>
            <a:rPr kumimoji="1" lang="en-US" altLang="ja-JP" sz="1100"/>
            <a:t>A</a:t>
          </a:r>
          <a:r>
            <a:rPr kumimoji="1" lang="ja-JP" altLang="en-US" sz="1100"/>
            <a:t>列）をコピーし、</a:t>
          </a:r>
          <a:r>
            <a:rPr kumimoji="1" lang="en-US" altLang="ja-JP" sz="1100"/>
            <a:t>H</a:t>
          </a:r>
          <a:r>
            <a:rPr kumimoji="1" lang="ja-JP" altLang="en-US" sz="1100"/>
            <a:t>列に張り付ける。</a:t>
          </a:r>
          <a:endParaRPr kumimoji="1" lang="en-US" altLang="ja-JP" sz="1100"/>
        </a:p>
        <a:p>
          <a:r>
            <a:rPr kumimoji="1" lang="ja-JP" altLang="en-US" sz="1100"/>
            <a:t>３、当期新たに増えた原料は</a:t>
          </a:r>
          <a:r>
            <a:rPr kumimoji="1" lang="en-US" altLang="ja-JP" sz="1100"/>
            <a:t>F</a:t>
          </a:r>
          <a:r>
            <a:rPr kumimoji="1" lang="ja-JP" altLang="en-US" sz="1100"/>
            <a:t>列のチェックで、エラー表示となる。</a:t>
          </a:r>
          <a:endParaRPr kumimoji="1" lang="en-US" altLang="ja-JP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エラー表示がなければここで作業完了。あれば４以降へ進む。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r>
            <a:rPr kumimoji="1" lang="ja-JP" altLang="en-US" sz="1100"/>
            <a:t>４、原材料シートに新規原料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の行</a:t>
          </a:r>
          <a:r>
            <a:rPr kumimoji="1" lang="ja-JP" altLang="en-US" sz="1100"/>
            <a:t>を追加する。</a:t>
          </a:r>
          <a:endParaRPr kumimoji="1" lang="en-US" altLang="ja-JP" sz="1100"/>
        </a:p>
        <a:p>
          <a:r>
            <a:rPr kumimoji="1" lang="ja-JP" altLang="en-US" sz="1100"/>
            <a:t>５、もう一度２の作業を実施し、</a:t>
          </a:r>
          <a:r>
            <a:rPr kumimoji="1" lang="en-US" altLang="ja-JP" sz="1100"/>
            <a:t>F</a:t>
          </a:r>
          <a:r>
            <a:rPr kumimoji="1" lang="ja-JP" altLang="en-US" sz="1100"/>
            <a:t>列にエラー表示がなくなり、原材料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シートの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製造原価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①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ⅠⅡ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チェックが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となっていることを確認して作業完了</a:t>
          </a:r>
          <a:endParaRPr lang="ja-JP" altLang="ja-JP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482599</xdr:colOff>
      <xdr:row>2</xdr:row>
      <xdr:rowOff>9525</xdr:rowOff>
    </xdr:from>
    <xdr:to>
      <xdr:col>18</xdr:col>
      <xdr:colOff>403224</xdr:colOff>
      <xdr:row>36</xdr:row>
      <xdr:rowOff>25400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65D0EFB-530F-49AC-BA52-68D5BC5B59EC}"/>
            </a:ext>
          </a:extLst>
        </xdr:cNvPr>
        <xdr:cNvSpPr txBox="1"/>
      </xdr:nvSpPr>
      <xdr:spPr>
        <a:xfrm>
          <a:off x="7111999" y="339725"/>
          <a:ext cx="6143625" cy="5629275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製造原価②</a:t>
          </a:r>
          <a:r>
            <a:rPr kumimoji="1" lang="en-US" altLang="ja-JP" sz="1100"/>
            <a:t>-2</a:t>
          </a:r>
          <a:r>
            <a:rPr kumimoji="1" lang="ja-JP" altLang="en-US" sz="1100"/>
            <a:t>手順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ピボット作成作業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１、当期の製造原価②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原料出荷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の仕込工程と添加・混合工程の部分でピボットをかける。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在庫調整分は元データから削除する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２、ピボットは、行に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原料コード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原料名、原液名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の順とし、値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原料量とする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３、ピボット上で右クリック⇒ピボットテーブルオプション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⇒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表示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⇒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従来のピボットテーブルレイアウトを使用するをクリックして、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原料コード、原料名、原液名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を同じ行に表示させる。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４、原料コードの各集計を非表示にするために、どこかの集計セルの上で右クリック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⇒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原料コード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の小計のチェックをはずす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５、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原料名の各集計を非表示にするために、どこかの集計セルの上で右クリック⇒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原料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の小計のチェックをはずす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ピボット加工作業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６、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上記で作成したピボット全体を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別の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シートに値貼り付けする</a:t>
          </a:r>
          <a:endParaRPr lang="ja-JP" altLang="ja-JP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７、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1-3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行目を削除して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行目に原料コード、原料名、原液名、集計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つのタイトル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が並ぶようにする。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８、原料コード列と原料名列（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列と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とする）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を選択⇒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Ctrl+G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⇒セル選択⇒空白セル⇒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⇒これで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列と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列の空白セルのみが選択される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９、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その状態で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何か文字を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入力をすると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に入力されるが、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その状態のまま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（一つ上のセルを参照する式）と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入力⇒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Ctrl+Enter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⇒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これ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で選択されているすべてのセルに一つ上のセルを参照する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式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が入力される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１０、９の関数を値にするために、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列と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をコピーしそのまま値貼り付けを行う。</a:t>
          </a:r>
          <a:endParaRPr lang="ja-JP" altLang="ja-JP">
            <a:effectLst/>
          </a:endParaRPr>
        </a:p>
        <a:p>
          <a:endParaRPr lang="en-US" altLang="ja-JP">
            <a:effectLst/>
          </a:endParaRPr>
        </a:p>
        <a:p>
          <a:r>
            <a:rPr lang="ja-JP" altLang="en-US">
              <a:effectLst/>
            </a:rPr>
            <a:t>数値飛ばし作業</a:t>
          </a:r>
          <a:endParaRPr lang="ja-JP" altLang="ja-JP">
            <a:effectLst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１１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、上記で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別シートで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作成した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表のタイトル行から総計より前の行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をこのシートに値貼り付けする</a:t>
          </a:r>
          <a:endParaRPr lang="ja-JP" altLang="ja-JP">
            <a:effectLst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１２、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sumif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関数が原材料シートに設定されているため、自動で数値が原材料シート（当期投入高）に飛ぶが、当期投入高に含まれていない原液の場合は、新規原液を追加しておく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１３、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原材料シート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製造原価②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チェックが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となっていることを確認して作業完了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aka\&#12505;&#12473;&#12488;&#12497;&#12540;&#12488;&#12490;&#12540;&#12474;%20Dropbox\&#33618;&#24029;&#24685;&#19968;&#37070;\BP\MH\&#21407;&#20385;&#35336;&#31639;2026\&#8251;&#23665;&#30000;&#20462;&#27491;_&#31532;38&#26399;&#21407;&#20385;&#35336;&#31639;v8(&#26368;&#32066;))_260225.xlsb" TargetMode="External"/><Relationship Id="rId1" Type="http://schemas.openxmlformats.org/officeDocument/2006/relationships/externalLinkPath" Target="&#8251;&#23665;&#30000;&#20462;&#27491;_&#31532;38&#26399;&#21407;&#20385;&#35336;&#31639;v8(&#26368;&#32066;))_2602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検証"/>
      <sheetName val="0.総括表"/>
      <sheetName val="1.1原材料"/>
      <sheetName val="1.2①原材料受入"/>
      <sheetName val="1.3②原材料使用"/>
      <sheetName val="1.4原材料(その他)"/>
      <sheetName val="1.5原材料在庫"/>
      <sheetName val="2.仕掛品(製造部)"/>
      <sheetName val="2.1④異種原液"/>
      <sheetName val="2.2⑤純増減→前工程費"/>
      <sheetName val="2.3研究費"/>
      <sheetName val="2.4販促費"/>
      <sheetName val="2.5廃棄処分"/>
      <sheetName val="2.6完成品"/>
      <sheetName val="2.7製造部生産分"/>
      <sheetName val="2.8SC戻り"/>
      <sheetName val="2.9原液在庫"/>
      <sheetName val="2.10原液別作業時間"/>
      <sheetName val="3.外注加工費"/>
      <sheetName val="3.1外注加工費_OLD"/>
      <sheetName val="3.2支給分在庫"/>
      <sheetName val="4.仕掛品(製品課)"/>
      <sheetName val="4.1製品別資材価格"/>
      <sheetName val="4.2半製品"/>
      <sheetName val="4.3期末全在庫"/>
      <sheetName val="4.4製品課実績"/>
      <sheetName val="4.5製造部(製品化作業)"/>
      <sheetName val="4.6製造課（完成品）①"/>
      <sheetName val="4.7ｾｯﾄ商品"/>
      <sheetName val="5.製品"/>
      <sheetName val="5.1DM販促"/>
      <sheetName val="未使用"/>
      <sheetName val="5.2無償商品(統合)"/>
      <sheetName val="5.3SP"/>
      <sheetName val="5.4A品B品売上数量金額"/>
    </sheetNames>
    <sheetDataSet>
      <sheetData sheetId="0"/>
      <sheetData sheetId="1"/>
      <sheetData sheetId="2"/>
      <sheetData sheetId="3"/>
      <sheetData sheetId="4">
        <row r="1">
          <cell r="A1" t="str">
            <v>原料コード</v>
          </cell>
          <cell r="B1" t="str">
            <v>原料名</v>
          </cell>
          <cell r="C1" t="str">
            <v>原料量</v>
          </cell>
          <cell r="D1" t="str">
            <v>単位</v>
          </cell>
          <cell r="E1" t="str">
            <v>仕入金額</v>
          </cell>
        </row>
        <row r="2">
          <cell r="A2">
            <v>1</v>
          </cell>
          <cell r="B2" t="str">
            <v>ﾘﾝｺﾞ</v>
          </cell>
          <cell r="C2">
            <v>8226.7999999999993</v>
          </cell>
          <cell r="D2" t="str">
            <v>㎏</v>
          </cell>
          <cell r="E2">
            <v>2642000</v>
          </cell>
        </row>
        <row r="3">
          <cell r="A3">
            <v>2</v>
          </cell>
          <cell r="B3" t="str">
            <v>ｶｷ</v>
          </cell>
          <cell r="C3">
            <v>224.1</v>
          </cell>
          <cell r="D3" t="str">
            <v>㎏</v>
          </cell>
          <cell r="E3">
            <v>114400</v>
          </cell>
        </row>
        <row r="4">
          <cell r="A4">
            <v>3</v>
          </cell>
          <cell r="B4" t="str">
            <v>ﾊﾞﾅﾅ</v>
          </cell>
          <cell r="C4">
            <v>3119.2</v>
          </cell>
          <cell r="D4" t="str">
            <v>㎏</v>
          </cell>
          <cell r="E4">
            <v>875970</v>
          </cell>
        </row>
        <row r="5">
          <cell r="A5">
            <v>4</v>
          </cell>
          <cell r="B5" t="str">
            <v>ﾊﾟｲﾝｱｯﾌﾟﾙ</v>
          </cell>
          <cell r="C5">
            <v>3141.5</v>
          </cell>
          <cell r="D5" t="str">
            <v>㎏</v>
          </cell>
          <cell r="E5">
            <v>1106300</v>
          </cell>
        </row>
        <row r="6">
          <cell r="A6">
            <v>5</v>
          </cell>
          <cell r="B6" t="str">
            <v>ｱｹﾋﾞ</v>
          </cell>
          <cell r="C6">
            <v>230.4</v>
          </cell>
          <cell r="D6" t="str">
            <v>㎏</v>
          </cell>
          <cell r="E6">
            <v>495000</v>
          </cell>
        </row>
        <row r="7">
          <cell r="A7">
            <v>7</v>
          </cell>
          <cell r="B7" t="str">
            <v>ｲﾁｼﾞｸ</v>
          </cell>
          <cell r="C7">
            <v>228.1</v>
          </cell>
          <cell r="D7" t="str">
            <v>㎏</v>
          </cell>
          <cell r="E7">
            <v>277200</v>
          </cell>
        </row>
        <row r="8">
          <cell r="A8">
            <v>8</v>
          </cell>
          <cell r="B8" t="str">
            <v>ｲﾁｺﾞ</v>
          </cell>
          <cell r="C8">
            <v>27.9</v>
          </cell>
          <cell r="D8" t="str">
            <v>㎏</v>
          </cell>
          <cell r="E8">
            <v>62750</v>
          </cell>
        </row>
        <row r="9">
          <cell r="A9">
            <v>9</v>
          </cell>
          <cell r="B9" t="str">
            <v>山ﾌﾞﾄﾞｳ</v>
          </cell>
          <cell r="C9">
            <v>248.4</v>
          </cell>
          <cell r="D9" t="str">
            <v>㎏</v>
          </cell>
          <cell r="E9">
            <v>274890</v>
          </cell>
        </row>
        <row r="10">
          <cell r="A10">
            <v>10</v>
          </cell>
          <cell r="B10" t="str">
            <v>ﾌﾞﾄﾞｳ</v>
          </cell>
          <cell r="C10">
            <v>1162.5</v>
          </cell>
          <cell r="D10" t="str">
            <v>㎏</v>
          </cell>
          <cell r="E10">
            <v>1265000</v>
          </cell>
        </row>
        <row r="11">
          <cell r="A11">
            <v>11</v>
          </cell>
          <cell r="B11" t="str">
            <v>山桃</v>
          </cell>
          <cell r="C11">
            <v>141.6</v>
          </cell>
          <cell r="D11" t="str">
            <v>㎏</v>
          </cell>
          <cell r="E11">
            <v>539000</v>
          </cell>
        </row>
        <row r="12">
          <cell r="A12">
            <v>12</v>
          </cell>
          <cell r="B12" t="str">
            <v>梅</v>
          </cell>
          <cell r="C12">
            <v>16.600000000000001</v>
          </cell>
          <cell r="D12" t="str">
            <v>㎏</v>
          </cell>
          <cell r="E12">
            <v>0</v>
          </cell>
        </row>
        <row r="13">
          <cell r="A13">
            <v>13</v>
          </cell>
          <cell r="B13" t="str">
            <v>ﾈｰﾌﾞﾙ</v>
          </cell>
          <cell r="C13">
            <v>673.4</v>
          </cell>
          <cell r="D13" t="str">
            <v>㎏</v>
          </cell>
          <cell r="E13">
            <v>0</v>
          </cell>
        </row>
        <row r="14">
          <cell r="A14">
            <v>14</v>
          </cell>
          <cell r="B14" t="str">
            <v>ﾊｯｻｸ</v>
          </cell>
          <cell r="C14">
            <v>1510.5</v>
          </cell>
          <cell r="D14" t="str">
            <v>㎏</v>
          </cell>
          <cell r="E14">
            <v>0</v>
          </cell>
        </row>
        <row r="15">
          <cell r="A15">
            <v>15</v>
          </cell>
          <cell r="B15" t="str">
            <v>みかん</v>
          </cell>
          <cell r="C15">
            <v>3933.3</v>
          </cell>
          <cell r="D15" t="str">
            <v>㎏</v>
          </cell>
          <cell r="E15">
            <v>0</v>
          </cell>
        </row>
        <row r="16">
          <cell r="A16">
            <v>16</v>
          </cell>
          <cell r="B16" t="str">
            <v>夏みかん</v>
          </cell>
          <cell r="C16">
            <v>111.80000000000001</v>
          </cell>
          <cell r="D16" t="str">
            <v>㎏</v>
          </cell>
          <cell r="E16">
            <v>0</v>
          </cell>
        </row>
        <row r="17">
          <cell r="A17">
            <v>17</v>
          </cell>
          <cell r="B17" t="str">
            <v>伊予柑</v>
          </cell>
          <cell r="C17">
            <v>222</v>
          </cell>
          <cell r="D17" t="str">
            <v>㎏</v>
          </cell>
          <cell r="E17">
            <v>0</v>
          </cell>
        </row>
        <row r="18">
          <cell r="A18">
            <v>18</v>
          </cell>
          <cell r="B18" t="str">
            <v>ｷﾝｶﾝ</v>
          </cell>
          <cell r="C18">
            <v>25.1</v>
          </cell>
          <cell r="D18" t="str">
            <v>㎏</v>
          </cell>
          <cell r="E18">
            <v>0</v>
          </cell>
        </row>
        <row r="19">
          <cell r="A19">
            <v>19</v>
          </cell>
          <cell r="B19" t="str">
            <v>ﾕｽﾞ</v>
          </cell>
          <cell r="C19">
            <v>30</v>
          </cell>
          <cell r="D19" t="str">
            <v>㎏</v>
          </cell>
          <cell r="E19">
            <v>0</v>
          </cell>
        </row>
        <row r="20">
          <cell r="A20">
            <v>20</v>
          </cell>
          <cell r="B20" t="str">
            <v>ｶﾎﾞｽ</v>
          </cell>
          <cell r="C20">
            <v>30.6</v>
          </cell>
          <cell r="D20" t="str">
            <v>㎏</v>
          </cell>
          <cell r="E20">
            <v>0</v>
          </cell>
        </row>
        <row r="21">
          <cell r="A21">
            <v>21</v>
          </cell>
          <cell r="B21" t="str">
            <v>ｻﾞﾎﾞﾝ</v>
          </cell>
          <cell r="C21">
            <v>31.1</v>
          </cell>
          <cell r="D21" t="str">
            <v>㎏</v>
          </cell>
          <cell r="E21">
            <v>0</v>
          </cell>
        </row>
        <row r="22">
          <cell r="A22">
            <v>22</v>
          </cell>
          <cell r="B22" t="str">
            <v>ﾎﾟﾝｶﾝ</v>
          </cell>
          <cell r="C22">
            <v>30.6</v>
          </cell>
          <cell r="D22" t="str">
            <v>㎏</v>
          </cell>
          <cell r="E22">
            <v>0</v>
          </cell>
        </row>
        <row r="23">
          <cell r="A23">
            <v>23</v>
          </cell>
          <cell r="B23" t="str">
            <v>ﾚﾓﾝ</v>
          </cell>
          <cell r="C23">
            <v>224</v>
          </cell>
          <cell r="D23" t="str">
            <v>㎏</v>
          </cell>
          <cell r="E23">
            <v>0</v>
          </cell>
        </row>
        <row r="24">
          <cell r="A24">
            <v>24</v>
          </cell>
          <cell r="B24" t="str">
            <v>ｺﾞﾎﾞｳ</v>
          </cell>
          <cell r="C24">
            <v>31.3</v>
          </cell>
          <cell r="D24" t="str">
            <v>㎏</v>
          </cell>
          <cell r="E24">
            <v>13440</v>
          </cell>
        </row>
        <row r="25">
          <cell r="A25">
            <v>25</v>
          </cell>
          <cell r="B25" t="str">
            <v>ﾆﾝｼﾞﾝ（西洋）</v>
          </cell>
          <cell r="C25">
            <v>1150.5999999999999</v>
          </cell>
          <cell r="D25" t="str">
            <v>㎏</v>
          </cell>
          <cell r="E25">
            <v>5720</v>
          </cell>
        </row>
        <row r="26">
          <cell r="A26">
            <v>26</v>
          </cell>
          <cell r="B26" t="str">
            <v>ﾆﾝｼﾞﾝ（金時）</v>
          </cell>
          <cell r="C26">
            <v>862.5</v>
          </cell>
          <cell r="D26" t="str">
            <v>㎏</v>
          </cell>
          <cell r="E26">
            <v>211582</v>
          </cell>
        </row>
        <row r="27">
          <cell r="A27">
            <v>27</v>
          </cell>
          <cell r="B27" t="str">
            <v>ﾆﾝﾆｸ</v>
          </cell>
          <cell r="C27">
            <v>536.1</v>
          </cell>
          <cell r="D27" t="str">
            <v>㎏</v>
          </cell>
          <cell r="E27">
            <v>1639700</v>
          </cell>
        </row>
        <row r="28">
          <cell r="A28">
            <v>28</v>
          </cell>
          <cell r="B28" t="str">
            <v>ﾚﾝｺﾝ</v>
          </cell>
          <cell r="C28">
            <v>31.9</v>
          </cell>
          <cell r="D28" t="str">
            <v>㎏</v>
          </cell>
          <cell r="E28">
            <v>19600</v>
          </cell>
        </row>
        <row r="29">
          <cell r="A29">
            <v>29</v>
          </cell>
          <cell r="B29" t="str">
            <v>ﾕﾘ根</v>
          </cell>
          <cell r="C29">
            <v>36.4</v>
          </cell>
          <cell r="D29" t="str">
            <v>㎏</v>
          </cell>
          <cell r="E29">
            <v>66500</v>
          </cell>
        </row>
        <row r="30">
          <cell r="A30">
            <v>30</v>
          </cell>
          <cell r="B30" t="str">
            <v>玄米</v>
          </cell>
          <cell r="C30">
            <v>2430</v>
          </cell>
          <cell r="D30" t="str">
            <v>㎏</v>
          </cell>
          <cell r="E30">
            <v>1115370</v>
          </cell>
        </row>
        <row r="31">
          <cell r="A31">
            <v>31</v>
          </cell>
          <cell r="B31" t="str">
            <v>もち米</v>
          </cell>
          <cell r="C31">
            <v>1530</v>
          </cell>
          <cell r="D31" t="str">
            <v>㎏</v>
          </cell>
          <cell r="E31">
            <v>976140</v>
          </cell>
        </row>
        <row r="32">
          <cell r="A32">
            <v>32</v>
          </cell>
          <cell r="B32" t="str">
            <v>白米</v>
          </cell>
          <cell r="C32">
            <v>3090</v>
          </cell>
          <cell r="D32" t="str">
            <v>㎏</v>
          </cell>
          <cell r="E32">
            <v>1418310</v>
          </cell>
        </row>
        <row r="33">
          <cell r="A33">
            <v>33</v>
          </cell>
          <cell r="B33" t="str">
            <v>きび</v>
          </cell>
          <cell r="C33">
            <v>20</v>
          </cell>
          <cell r="D33" t="str">
            <v>㎏</v>
          </cell>
          <cell r="E33">
            <v>40800</v>
          </cell>
        </row>
        <row r="34">
          <cell r="A34">
            <v>34</v>
          </cell>
          <cell r="B34" t="str">
            <v>とうもろこし</v>
          </cell>
          <cell r="C34">
            <v>42.8</v>
          </cell>
          <cell r="D34" t="str">
            <v>㎏</v>
          </cell>
          <cell r="E34">
            <v>0</v>
          </cell>
        </row>
        <row r="35">
          <cell r="A35">
            <v>35</v>
          </cell>
          <cell r="B35" t="str">
            <v>大麦</v>
          </cell>
          <cell r="C35">
            <v>40</v>
          </cell>
          <cell r="D35" t="str">
            <v>㎏</v>
          </cell>
          <cell r="E35">
            <v>11600</v>
          </cell>
        </row>
        <row r="36">
          <cell r="A36">
            <v>36</v>
          </cell>
          <cell r="B36" t="str">
            <v>あわ</v>
          </cell>
          <cell r="C36">
            <v>20</v>
          </cell>
          <cell r="D36" t="str">
            <v>㎏</v>
          </cell>
          <cell r="E36">
            <v>43200</v>
          </cell>
        </row>
        <row r="37">
          <cell r="A37">
            <v>37</v>
          </cell>
          <cell r="B37" t="str">
            <v>大豆</v>
          </cell>
          <cell r="C37">
            <v>630</v>
          </cell>
          <cell r="D37" t="str">
            <v>㎏</v>
          </cell>
          <cell r="E37">
            <v>157500</v>
          </cell>
        </row>
        <row r="38">
          <cell r="A38">
            <v>38</v>
          </cell>
          <cell r="B38" t="str">
            <v>黒豆</v>
          </cell>
          <cell r="C38">
            <v>960</v>
          </cell>
          <cell r="D38" t="str">
            <v>㎏</v>
          </cell>
          <cell r="E38">
            <v>384000</v>
          </cell>
        </row>
        <row r="39">
          <cell r="A39">
            <v>39</v>
          </cell>
          <cell r="B39" t="str">
            <v>黒ｺﾞﾏ</v>
          </cell>
          <cell r="C39">
            <v>1575</v>
          </cell>
          <cell r="D39" t="str">
            <v>㎏</v>
          </cell>
          <cell r="E39">
            <v>1629600</v>
          </cell>
        </row>
        <row r="40">
          <cell r="A40">
            <v>40</v>
          </cell>
          <cell r="B40" t="str">
            <v>白ｺﾞﾏ</v>
          </cell>
          <cell r="C40">
            <v>1575</v>
          </cell>
          <cell r="D40" t="str">
            <v>㎏</v>
          </cell>
          <cell r="E40">
            <v>1555350</v>
          </cell>
        </row>
        <row r="41">
          <cell r="A41">
            <v>41</v>
          </cell>
          <cell r="B41" t="str">
            <v>ｺﾝﾌﾞ</v>
          </cell>
          <cell r="C41">
            <v>20</v>
          </cell>
          <cell r="D41" t="str">
            <v>㎏</v>
          </cell>
          <cell r="E41">
            <v>74000</v>
          </cell>
        </row>
        <row r="42">
          <cell r="A42">
            <v>42</v>
          </cell>
          <cell r="B42" t="str">
            <v>ﾜｶﾒ</v>
          </cell>
          <cell r="C42">
            <v>110</v>
          </cell>
          <cell r="D42" t="str">
            <v>㎏</v>
          </cell>
          <cell r="E42">
            <v>462000</v>
          </cell>
        </row>
        <row r="43">
          <cell r="A43">
            <v>43</v>
          </cell>
          <cell r="B43" t="str">
            <v>ﾋｼﾞｷ</v>
          </cell>
          <cell r="C43">
            <v>1266</v>
          </cell>
          <cell r="D43" t="str">
            <v>㎏</v>
          </cell>
          <cell r="E43">
            <v>5228100</v>
          </cell>
        </row>
        <row r="44">
          <cell r="A44">
            <v>44</v>
          </cell>
          <cell r="B44" t="str">
            <v>ﾉﾘ</v>
          </cell>
          <cell r="C44">
            <v>23</v>
          </cell>
          <cell r="D44" t="str">
            <v>㎏</v>
          </cell>
          <cell r="E44">
            <v>194235</v>
          </cell>
        </row>
        <row r="45">
          <cell r="A45">
            <v>45</v>
          </cell>
          <cell r="B45" t="str">
            <v>(川)ﾉﾘ(ｱｵﾉﾘ)</v>
          </cell>
          <cell r="C45">
            <v>13</v>
          </cell>
          <cell r="D45" t="str">
            <v>㎏</v>
          </cell>
          <cell r="E45">
            <v>276900</v>
          </cell>
        </row>
        <row r="46">
          <cell r="A46">
            <v>46</v>
          </cell>
          <cell r="B46" t="str">
            <v>ｷｭｳﾘ</v>
          </cell>
          <cell r="C46">
            <v>46.4</v>
          </cell>
          <cell r="D46" t="str">
            <v>㎏</v>
          </cell>
          <cell r="E46">
            <v>22950</v>
          </cell>
        </row>
        <row r="47">
          <cell r="A47">
            <v>47</v>
          </cell>
          <cell r="B47" t="str">
            <v>ｼｿ</v>
          </cell>
          <cell r="C47">
            <v>10.5</v>
          </cell>
          <cell r="D47" t="str">
            <v>㎏</v>
          </cell>
          <cell r="E47">
            <v>17500</v>
          </cell>
        </row>
        <row r="48">
          <cell r="A48">
            <v>48</v>
          </cell>
          <cell r="B48" t="str">
            <v>ｾﾛﾘ</v>
          </cell>
          <cell r="C48">
            <v>49.4</v>
          </cell>
          <cell r="D48" t="str">
            <v>㎏</v>
          </cell>
          <cell r="E48">
            <v>38850</v>
          </cell>
        </row>
        <row r="49">
          <cell r="A49">
            <v>51</v>
          </cell>
          <cell r="B49" t="str">
            <v>干し柿</v>
          </cell>
          <cell r="C49">
            <v>4358.54</v>
          </cell>
          <cell r="D49" t="str">
            <v>㎏</v>
          </cell>
          <cell r="E49">
            <v>11884400</v>
          </cell>
        </row>
        <row r="50">
          <cell r="A50">
            <v>53</v>
          </cell>
          <cell r="B50" t="str">
            <v>ｶﾘﾝ</v>
          </cell>
          <cell r="C50">
            <v>9.6999999999999993</v>
          </cell>
          <cell r="D50" t="str">
            <v>㎏</v>
          </cell>
          <cell r="E50">
            <v>3840</v>
          </cell>
        </row>
        <row r="51">
          <cell r="A51">
            <v>55</v>
          </cell>
          <cell r="B51" t="str">
            <v>ｼｮｳｶﾞ</v>
          </cell>
          <cell r="C51">
            <v>1295.2</v>
          </cell>
          <cell r="D51" t="str">
            <v>㎏</v>
          </cell>
          <cell r="E51">
            <v>666667</v>
          </cell>
        </row>
        <row r="52">
          <cell r="A52">
            <v>56</v>
          </cell>
          <cell r="B52" t="str">
            <v>桑の実</v>
          </cell>
          <cell r="C52">
            <v>910</v>
          </cell>
          <cell r="D52" t="str">
            <v>㎏</v>
          </cell>
          <cell r="E52">
            <v>3458000</v>
          </cell>
        </row>
        <row r="53">
          <cell r="A53">
            <v>57</v>
          </cell>
          <cell r="B53" t="str">
            <v>ｸﾙﾐ</v>
          </cell>
          <cell r="C53">
            <v>297.90000000000003</v>
          </cell>
          <cell r="D53" t="str">
            <v>㎏</v>
          </cell>
          <cell r="E53">
            <v>653746</v>
          </cell>
        </row>
        <row r="54">
          <cell r="A54">
            <v>61</v>
          </cell>
          <cell r="B54" t="str">
            <v>ｵﾘｺﾞ糖</v>
          </cell>
          <cell r="C54">
            <v>150</v>
          </cell>
          <cell r="D54" t="str">
            <v>㎏</v>
          </cell>
          <cell r="E54">
            <v>37600</v>
          </cell>
        </row>
        <row r="55">
          <cell r="A55">
            <v>96</v>
          </cell>
          <cell r="B55" t="str">
            <v>ブルーベリー</v>
          </cell>
          <cell r="C55">
            <v>27.4</v>
          </cell>
          <cell r="D55" t="str">
            <v>㎏</v>
          </cell>
          <cell r="E55">
            <v>97500</v>
          </cell>
        </row>
        <row r="56">
          <cell r="A56">
            <v>97</v>
          </cell>
          <cell r="B56" t="str">
            <v>ビーツ</v>
          </cell>
          <cell r="C56">
            <v>26.1</v>
          </cell>
          <cell r="D56" t="str">
            <v>㎏</v>
          </cell>
          <cell r="E56">
            <v>91000</v>
          </cell>
        </row>
        <row r="57">
          <cell r="A57">
            <v>98</v>
          </cell>
          <cell r="B57" t="str">
            <v>じゃがいも</v>
          </cell>
          <cell r="C57">
            <v>16.3</v>
          </cell>
          <cell r="D57" t="str">
            <v>㎏</v>
          </cell>
          <cell r="E57">
            <v>5320</v>
          </cell>
        </row>
        <row r="58">
          <cell r="A58">
            <v>99</v>
          </cell>
          <cell r="B58" t="str">
            <v>さつま芋</v>
          </cell>
          <cell r="C58">
            <v>15.3</v>
          </cell>
          <cell r="D58" t="str">
            <v>㎏</v>
          </cell>
          <cell r="E58">
            <v>10500</v>
          </cell>
        </row>
        <row r="59">
          <cell r="A59">
            <v>200</v>
          </cell>
          <cell r="B59" t="str">
            <v>有機黒糖</v>
          </cell>
          <cell r="C59">
            <v>15</v>
          </cell>
          <cell r="D59" t="str">
            <v>kg</v>
          </cell>
          <cell r="E59">
            <v>8625</v>
          </cell>
        </row>
        <row r="60">
          <cell r="A60">
            <v>201</v>
          </cell>
          <cell r="B60" t="str">
            <v>黒糖</v>
          </cell>
          <cell r="C60">
            <v>50245</v>
          </cell>
          <cell r="D60" t="str">
            <v>㎏</v>
          </cell>
          <cell r="E60">
            <v>18029195</v>
          </cell>
        </row>
        <row r="61">
          <cell r="A61">
            <v>202</v>
          </cell>
          <cell r="B61" t="str">
            <v>果糖</v>
          </cell>
          <cell r="C61">
            <v>6040</v>
          </cell>
          <cell r="D61" t="str">
            <v>㎏</v>
          </cell>
          <cell r="E61">
            <v>2407520</v>
          </cell>
        </row>
        <row r="62">
          <cell r="A62">
            <v>203</v>
          </cell>
          <cell r="B62" t="str">
            <v>ﾌﾞﾄﾞｳ糖</v>
          </cell>
          <cell r="C62">
            <v>6020</v>
          </cell>
          <cell r="D62" t="str">
            <v>㎏</v>
          </cell>
          <cell r="E62">
            <v>1343960</v>
          </cell>
        </row>
        <row r="63">
          <cell r="A63">
            <v>204</v>
          </cell>
          <cell r="B63" t="str">
            <v>はちみつ</v>
          </cell>
          <cell r="C63">
            <v>1176</v>
          </cell>
          <cell r="D63" t="str">
            <v>㎏</v>
          </cell>
          <cell r="E63">
            <v>2340000</v>
          </cell>
        </row>
        <row r="64">
          <cell r="A64">
            <v>205</v>
          </cell>
          <cell r="B64" t="str">
            <v>澱粉</v>
          </cell>
          <cell r="C64">
            <v>25</v>
          </cell>
          <cell r="D64" t="str">
            <v>㎏</v>
          </cell>
          <cell r="E64">
            <v>6855</v>
          </cell>
        </row>
        <row r="65">
          <cell r="A65">
            <v>206</v>
          </cell>
          <cell r="B65" t="str">
            <v>きなこ</v>
          </cell>
          <cell r="C65">
            <v>1802</v>
          </cell>
          <cell r="D65" t="str">
            <v>㎏</v>
          </cell>
          <cell r="E65">
            <v>1106394</v>
          </cell>
        </row>
        <row r="66">
          <cell r="A66">
            <v>207</v>
          </cell>
          <cell r="B66" t="str">
            <v>種麹</v>
          </cell>
          <cell r="C66">
            <v>4</v>
          </cell>
          <cell r="D66" t="str">
            <v>㎏</v>
          </cell>
          <cell r="E66">
            <v>36800</v>
          </cell>
        </row>
        <row r="67">
          <cell r="A67">
            <v>301</v>
          </cell>
          <cell r="B67" t="str">
            <v>ｼｬﾝﾋﾟﾆｵﾝｴｷｽ濃縮液</v>
          </cell>
          <cell r="C67">
            <v>53</v>
          </cell>
          <cell r="D67" t="str">
            <v>㎏</v>
          </cell>
          <cell r="E67">
            <v>2120000</v>
          </cell>
        </row>
        <row r="68">
          <cell r="A68">
            <v>302</v>
          </cell>
          <cell r="B68" t="str">
            <v>姫ﾏﾂﾀｹｴｷｽ顆粒末</v>
          </cell>
          <cell r="C68">
            <v>10</v>
          </cell>
          <cell r="D68" t="str">
            <v>㎏</v>
          </cell>
          <cell r="E68">
            <v>500000</v>
          </cell>
        </row>
        <row r="69">
          <cell r="A69">
            <v>312</v>
          </cell>
          <cell r="B69" t="str">
            <v>ﾏｶ末</v>
          </cell>
          <cell r="C69">
            <v>20</v>
          </cell>
          <cell r="D69" t="str">
            <v>㎏</v>
          </cell>
          <cell r="E69">
            <v>76000</v>
          </cell>
        </row>
        <row r="70">
          <cell r="A70">
            <v>317</v>
          </cell>
          <cell r="B70" t="str">
            <v>紫ﾄｳﾓﾛｺｼｴｷｽﾊﾟｳﾀﾞｰ</v>
          </cell>
          <cell r="C70">
            <v>2.5</v>
          </cell>
          <cell r="D70" t="str">
            <v>㎏</v>
          </cell>
          <cell r="E70">
            <v>57500</v>
          </cell>
        </row>
        <row r="71">
          <cell r="A71">
            <v>325</v>
          </cell>
          <cell r="B71" t="str">
            <v>納豆菌</v>
          </cell>
          <cell r="C71">
            <v>115</v>
          </cell>
          <cell r="D71" t="str">
            <v>㎏</v>
          </cell>
          <cell r="E71">
            <v>5750000</v>
          </cell>
        </row>
        <row r="72">
          <cell r="A72">
            <v>327</v>
          </cell>
          <cell r="B72" t="str">
            <v>乳酸菌</v>
          </cell>
          <cell r="C72">
            <v>7</v>
          </cell>
          <cell r="D72" t="str">
            <v>㎏</v>
          </cell>
          <cell r="E72">
            <v>840000</v>
          </cell>
        </row>
        <row r="73">
          <cell r="A73">
            <v>333</v>
          </cell>
          <cell r="B73" t="str">
            <v>ﾍﾙﾊﾞｾﾙ</v>
          </cell>
          <cell r="C73">
            <v>120</v>
          </cell>
          <cell r="D73" t="str">
            <v>㎏</v>
          </cell>
          <cell r="E73">
            <v>0</v>
          </cell>
        </row>
        <row r="74">
          <cell r="A74">
            <v>336</v>
          </cell>
          <cell r="B74" t="str">
            <v>ﾌﾞﾙｰﾍﾞﾘｰ末</v>
          </cell>
          <cell r="C74">
            <v>20</v>
          </cell>
          <cell r="D74" t="str">
            <v>㎏</v>
          </cell>
          <cell r="E74">
            <v>0</v>
          </cell>
        </row>
        <row r="75">
          <cell r="A75">
            <v>345</v>
          </cell>
          <cell r="B75" t="str">
            <v>輸入はちみつ</v>
          </cell>
          <cell r="C75">
            <v>1100</v>
          </cell>
          <cell r="D75" t="str">
            <v>㎏</v>
          </cell>
          <cell r="E75">
            <v>1496000</v>
          </cell>
        </row>
        <row r="76">
          <cell r="A76">
            <v>346</v>
          </cell>
          <cell r="B76" t="str">
            <v>ﾉﾆﾋﾟｭｰﾚ液</v>
          </cell>
          <cell r="C76">
            <v>140</v>
          </cell>
          <cell r="D76" t="str">
            <v>㎏</v>
          </cell>
          <cell r="E76">
            <v>0</v>
          </cell>
        </row>
        <row r="77">
          <cell r="A77">
            <v>352</v>
          </cell>
          <cell r="B77" t="str">
            <v>ﾏﾇｶﾊﾆｰ</v>
          </cell>
          <cell r="C77">
            <v>1100</v>
          </cell>
          <cell r="D77" t="str">
            <v>kg</v>
          </cell>
          <cell r="E77">
            <v>10450000</v>
          </cell>
        </row>
        <row r="78">
          <cell r="A78">
            <v>353</v>
          </cell>
          <cell r="B78" t="str">
            <v>ｱｶﾞﾘｸｽ子実体ｴｷｽ末</v>
          </cell>
          <cell r="C78">
            <v>10</v>
          </cell>
          <cell r="D78" t="str">
            <v>㎏</v>
          </cell>
          <cell r="E78">
            <v>132000</v>
          </cell>
        </row>
        <row r="79">
          <cell r="A79">
            <v>916</v>
          </cell>
          <cell r="B79" t="str">
            <v>コーン油</v>
          </cell>
          <cell r="C79">
            <v>16.5</v>
          </cell>
          <cell r="D79" t="str">
            <v>㎏</v>
          </cell>
          <cell r="E79">
            <v>7425</v>
          </cell>
        </row>
        <row r="80">
          <cell r="A80">
            <v>920</v>
          </cell>
          <cell r="B80" t="str">
            <v>ゴマ油</v>
          </cell>
          <cell r="C80">
            <v>14.850000000000001</v>
          </cell>
          <cell r="D80" t="str">
            <v>㎏</v>
          </cell>
          <cell r="E80">
            <v>10200</v>
          </cell>
        </row>
        <row r="81">
          <cell r="A81">
            <v>921</v>
          </cell>
          <cell r="B81" t="str">
            <v>アボカド油</v>
          </cell>
          <cell r="C81">
            <v>16.5</v>
          </cell>
          <cell r="D81" t="str">
            <v>㎏</v>
          </cell>
          <cell r="E81">
            <v>44550</v>
          </cell>
        </row>
        <row r="82">
          <cell r="A82">
            <v>922</v>
          </cell>
          <cell r="B82" t="str">
            <v>クルミ油</v>
          </cell>
          <cell r="C82">
            <v>16.5</v>
          </cell>
          <cell r="D82" t="str">
            <v>㎏</v>
          </cell>
          <cell r="E82">
            <v>56100</v>
          </cell>
        </row>
        <row r="83">
          <cell r="A83">
            <v>923</v>
          </cell>
          <cell r="B83" t="str">
            <v>インゲン豆</v>
          </cell>
          <cell r="C83">
            <v>1</v>
          </cell>
          <cell r="D83" t="str">
            <v>㎏</v>
          </cell>
          <cell r="E83">
            <v>0</v>
          </cell>
        </row>
        <row r="84">
          <cell r="A84">
            <v>924</v>
          </cell>
          <cell r="B84" t="str">
            <v>小豆</v>
          </cell>
          <cell r="C84">
            <v>1</v>
          </cell>
          <cell r="D84" t="str">
            <v>㎏</v>
          </cell>
          <cell r="E84">
            <v>800</v>
          </cell>
        </row>
        <row r="85">
          <cell r="A85">
            <v>925</v>
          </cell>
          <cell r="B85" t="str">
            <v>ひよこ豆</v>
          </cell>
          <cell r="C85">
            <v>1.1000000000000001</v>
          </cell>
          <cell r="D85" t="str">
            <v>㎏</v>
          </cell>
          <cell r="E85">
            <v>435</v>
          </cell>
        </row>
        <row r="86">
          <cell r="A86">
            <v>926</v>
          </cell>
          <cell r="B86" t="str">
            <v>そら豆</v>
          </cell>
          <cell r="C86">
            <v>1</v>
          </cell>
          <cell r="D86" t="str">
            <v>㎏</v>
          </cell>
          <cell r="E86">
            <v>435</v>
          </cell>
        </row>
        <row r="87">
          <cell r="A87">
            <v>927</v>
          </cell>
          <cell r="B87" t="str">
            <v>えんどう豆</v>
          </cell>
          <cell r="C87">
            <v>1</v>
          </cell>
          <cell r="D87" t="str">
            <v>㎏</v>
          </cell>
          <cell r="E87">
            <v>0</v>
          </cell>
        </row>
        <row r="88">
          <cell r="A88"/>
          <cell r="B88"/>
          <cell r="C88"/>
          <cell r="D88"/>
          <cell r="E88"/>
        </row>
        <row r="89">
          <cell r="A89"/>
          <cell r="B89"/>
          <cell r="C89"/>
          <cell r="D89"/>
          <cell r="E89"/>
        </row>
        <row r="90">
          <cell r="A90"/>
          <cell r="B90"/>
          <cell r="C90"/>
          <cell r="D90"/>
          <cell r="E90"/>
        </row>
        <row r="91">
          <cell r="A91"/>
          <cell r="B91"/>
          <cell r="C91"/>
          <cell r="D91"/>
          <cell r="E91"/>
        </row>
        <row r="92">
          <cell r="A92"/>
          <cell r="B92"/>
          <cell r="C92"/>
          <cell r="D92"/>
          <cell r="E92"/>
        </row>
        <row r="93">
          <cell r="A93"/>
          <cell r="B93"/>
          <cell r="C93"/>
          <cell r="D93"/>
          <cell r="E93"/>
        </row>
        <row r="94">
          <cell r="A94"/>
          <cell r="B94"/>
          <cell r="C94"/>
          <cell r="D94"/>
          <cell r="E94"/>
        </row>
        <row r="95">
          <cell r="A95"/>
          <cell r="B95"/>
          <cell r="C95"/>
          <cell r="D95"/>
          <cell r="E95"/>
        </row>
        <row r="96">
          <cell r="A96"/>
          <cell r="B96"/>
          <cell r="C96"/>
          <cell r="D96"/>
          <cell r="E96"/>
        </row>
        <row r="97">
          <cell r="A97"/>
          <cell r="B97"/>
          <cell r="C97"/>
          <cell r="D97"/>
          <cell r="E97"/>
        </row>
        <row r="98">
          <cell r="A98"/>
          <cell r="B98"/>
          <cell r="C98"/>
          <cell r="D98"/>
          <cell r="E98"/>
        </row>
        <row r="99">
          <cell r="A99"/>
          <cell r="B99"/>
          <cell r="C99"/>
          <cell r="D99"/>
          <cell r="E99"/>
        </row>
        <row r="100">
          <cell r="A100"/>
          <cell r="B100"/>
          <cell r="C100"/>
          <cell r="D100"/>
          <cell r="E100"/>
        </row>
        <row r="101">
          <cell r="A101"/>
          <cell r="B101"/>
          <cell r="C101"/>
          <cell r="D101"/>
          <cell r="E101"/>
        </row>
        <row r="102">
          <cell r="A102"/>
          <cell r="B102"/>
          <cell r="C102"/>
          <cell r="D102"/>
          <cell r="E102"/>
        </row>
        <row r="103">
          <cell r="A103"/>
          <cell r="B103"/>
          <cell r="C103"/>
          <cell r="D103"/>
          <cell r="E103"/>
        </row>
        <row r="104">
          <cell r="A104"/>
          <cell r="B104"/>
          <cell r="C104"/>
          <cell r="D104"/>
          <cell r="E104"/>
        </row>
        <row r="105">
          <cell r="A105"/>
          <cell r="B105"/>
          <cell r="C105"/>
          <cell r="D105"/>
          <cell r="E105"/>
        </row>
        <row r="106">
          <cell r="A106"/>
          <cell r="B106"/>
          <cell r="C106"/>
          <cell r="D106"/>
          <cell r="E106"/>
        </row>
        <row r="107">
          <cell r="A107"/>
          <cell r="B107"/>
          <cell r="C107"/>
          <cell r="D107"/>
          <cell r="E107"/>
        </row>
        <row r="108">
          <cell r="A108"/>
          <cell r="B108"/>
          <cell r="C108"/>
          <cell r="D108"/>
          <cell r="E108"/>
        </row>
        <row r="109">
          <cell r="A109"/>
          <cell r="B109"/>
          <cell r="C109"/>
          <cell r="D109"/>
          <cell r="E109"/>
        </row>
        <row r="110">
          <cell r="A110"/>
          <cell r="B110"/>
          <cell r="C110"/>
          <cell r="D110"/>
          <cell r="E110"/>
        </row>
        <row r="111">
          <cell r="A111"/>
          <cell r="B111"/>
          <cell r="C111"/>
          <cell r="D111"/>
          <cell r="E111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A1" t="str">
            <v>第37期　仕掛品(製品課)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4"/>
  <sheetViews>
    <sheetView tabSelected="1" topLeftCell="A4" workbookViewId="0">
      <selection activeCell="M9" sqref="M9"/>
    </sheetView>
  </sheetViews>
  <sheetFormatPr defaultRowHeight="15" x14ac:dyDescent="0.55000000000000004"/>
  <cols>
    <col min="1" max="1" width="1.1640625" style="66" customWidth="1"/>
    <col min="2" max="2" width="4.6640625" style="66" customWidth="1"/>
    <col min="3" max="3" width="1.25" style="66" customWidth="1"/>
    <col min="4" max="4" width="5.83203125" style="66" customWidth="1"/>
    <col min="5" max="5" width="11.83203125" style="66" bestFit="1" customWidth="1"/>
    <col min="6" max="6" width="6.5" style="66" customWidth="1"/>
    <col min="7" max="7" width="8.6640625" style="67"/>
    <col min="8" max="8" width="6.58203125" style="69" customWidth="1"/>
    <col min="9" max="9" width="11.83203125" style="66" bestFit="1" customWidth="1"/>
    <col min="10" max="10" width="8.6640625" style="66"/>
    <col min="11" max="11" width="8.6640625" style="67"/>
    <col min="12" max="12" width="30.6640625" style="66" customWidth="1"/>
    <col min="13" max="13" width="32.1640625" style="66" customWidth="1"/>
    <col min="14" max="16384" width="8.6640625" style="66"/>
  </cols>
  <sheetData>
    <row r="1" spans="2:13" x14ac:dyDescent="0.55000000000000004">
      <c r="G1" s="66"/>
      <c r="H1" s="66"/>
      <c r="K1" s="70"/>
    </row>
    <row r="2" spans="2:13" x14ac:dyDescent="0.55000000000000004">
      <c r="D2" s="77" t="s">
        <v>1715</v>
      </c>
      <c r="E2" s="77"/>
      <c r="F2" s="77"/>
      <c r="G2" s="77"/>
      <c r="H2" s="77" t="s">
        <v>1716</v>
      </c>
      <c r="I2" s="77"/>
      <c r="J2" s="77"/>
      <c r="K2" s="77"/>
    </row>
    <row r="3" spans="2:13" s="71" customFormat="1" x14ac:dyDescent="0.55000000000000004">
      <c r="B3" s="71" t="s">
        <v>1739</v>
      </c>
      <c r="D3" s="72" t="s">
        <v>1717</v>
      </c>
      <c r="E3" s="72" t="s">
        <v>1718</v>
      </c>
      <c r="F3" s="72" t="s">
        <v>1719</v>
      </c>
      <c r="G3" s="73" t="s">
        <v>1720</v>
      </c>
      <c r="H3" s="74" t="s">
        <v>1717</v>
      </c>
      <c r="I3" s="72" t="s">
        <v>1718</v>
      </c>
      <c r="J3" s="72" t="s">
        <v>1719</v>
      </c>
      <c r="K3" s="73" t="s">
        <v>1720</v>
      </c>
      <c r="L3" s="72" t="s">
        <v>1721</v>
      </c>
    </row>
    <row r="4" spans="2:13" x14ac:dyDescent="0.55000000000000004">
      <c r="B4" s="66" t="s">
        <v>1738</v>
      </c>
      <c r="D4" s="66">
        <v>500</v>
      </c>
      <c r="E4" s="66" t="s">
        <v>1722</v>
      </c>
      <c r="G4" s="67">
        <f>K4</f>
        <v>20567620.26433051</v>
      </c>
      <c r="H4" s="69">
        <v>114</v>
      </c>
      <c r="I4" s="66" t="s">
        <v>1723</v>
      </c>
      <c r="K4" s="67">
        <f>原材料SC総括!C14</f>
        <v>20567620.26433051</v>
      </c>
      <c r="L4" s="66" t="s">
        <v>1724</v>
      </c>
    </row>
    <row r="5" spans="2:13" x14ac:dyDescent="0.55000000000000004">
      <c r="B5" s="66" t="s">
        <v>1738</v>
      </c>
      <c r="D5" s="66">
        <v>500</v>
      </c>
      <c r="E5" s="66" t="s">
        <v>1722</v>
      </c>
      <c r="G5" s="67">
        <f t="shared" ref="G5:G14" si="0">K5</f>
        <v>6251400</v>
      </c>
      <c r="H5" s="69">
        <v>114</v>
      </c>
      <c r="I5" s="66" t="s">
        <v>1723</v>
      </c>
      <c r="K5" s="75">
        <v>6251400</v>
      </c>
      <c r="L5" s="66" t="s">
        <v>1726</v>
      </c>
    </row>
    <row r="6" spans="2:13" x14ac:dyDescent="0.55000000000000004">
      <c r="B6" s="66" t="s">
        <v>1738</v>
      </c>
      <c r="D6" s="66">
        <v>500</v>
      </c>
      <c r="E6" s="66" t="s">
        <v>1722</v>
      </c>
      <c r="G6" s="67">
        <f t="shared" si="0"/>
        <v>5685886</v>
      </c>
      <c r="H6" s="69">
        <v>114</v>
      </c>
      <c r="I6" s="66" t="s">
        <v>1723</v>
      </c>
      <c r="K6" s="75">
        <v>5685886</v>
      </c>
      <c r="L6" s="66" t="s">
        <v>1725</v>
      </c>
    </row>
    <row r="8" spans="2:13" x14ac:dyDescent="0.55000000000000004">
      <c r="B8" s="66" t="s">
        <v>1738</v>
      </c>
      <c r="D8" s="66">
        <v>134</v>
      </c>
      <c r="E8" s="66" t="s">
        <v>1723</v>
      </c>
      <c r="G8" s="67">
        <f t="shared" si="0"/>
        <v>22976280.042824205</v>
      </c>
      <c r="H8" s="69">
        <v>505</v>
      </c>
      <c r="I8" s="66" t="s">
        <v>1727</v>
      </c>
      <c r="K8" s="67">
        <f>原材料SC総括!E21</f>
        <v>22976280.042824205</v>
      </c>
      <c r="L8" s="66" t="s">
        <v>1731</v>
      </c>
    </row>
    <row r="9" spans="2:13" x14ac:dyDescent="0.55000000000000004">
      <c r="B9" s="66" t="s">
        <v>1738</v>
      </c>
      <c r="D9" s="66">
        <v>676</v>
      </c>
      <c r="E9" s="66" t="s">
        <v>1684</v>
      </c>
      <c r="G9" s="67">
        <f t="shared" si="0"/>
        <v>214213.12193582286</v>
      </c>
      <c r="H9" s="69">
        <v>505</v>
      </c>
      <c r="I9" s="66" t="s">
        <v>1727</v>
      </c>
      <c r="K9" s="67">
        <f>原材料SC総括!E15</f>
        <v>214213.12193582286</v>
      </c>
      <c r="L9" s="66" t="s">
        <v>1732</v>
      </c>
    </row>
    <row r="10" spans="2:13" x14ac:dyDescent="0.55000000000000004">
      <c r="B10" s="66" t="s">
        <v>1738</v>
      </c>
      <c r="D10" s="66">
        <v>672</v>
      </c>
      <c r="E10" s="66" t="s">
        <v>1728</v>
      </c>
      <c r="G10" s="67">
        <f t="shared" si="0"/>
        <v>27436.781255009206</v>
      </c>
      <c r="H10" s="69">
        <v>505</v>
      </c>
      <c r="I10" s="66" t="s">
        <v>1727</v>
      </c>
      <c r="K10" s="67">
        <f>原材料SC総括!E16</f>
        <v>27436.781255009206</v>
      </c>
      <c r="L10" s="66" t="s">
        <v>1733</v>
      </c>
    </row>
    <row r="11" spans="2:13" x14ac:dyDescent="0.55000000000000004">
      <c r="B11" s="66" t="s">
        <v>1738</v>
      </c>
      <c r="D11" s="66">
        <v>553</v>
      </c>
      <c r="E11" s="66" t="s">
        <v>1729</v>
      </c>
      <c r="G11" s="67">
        <f t="shared" si="0"/>
        <v>70150.762768817207</v>
      </c>
      <c r="H11" s="69">
        <v>505</v>
      </c>
      <c r="I11" s="66" t="s">
        <v>1727</v>
      </c>
      <c r="K11" s="67">
        <f>原材料SC総括!E17</f>
        <v>70150.762768817207</v>
      </c>
      <c r="L11" s="66" t="s">
        <v>1735</v>
      </c>
    </row>
    <row r="12" spans="2:13" x14ac:dyDescent="0.55000000000000004">
      <c r="B12" s="66" t="s">
        <v>1738</v>
      </c>
      <c r="D12" s="66">
        <v>712</v>
      </c>
      <c r="E12" s="66" t="s">
        <v>1730</v>
      </c>
      <c r="G12" s="67">
        <f t="shared" si="0"/>
        <v>1329811.3494297946</v>
      </c>
      <c r="H12" s="69">
        <v>505</v>
      </c>
      <c r="I12" s="66" t="s">
        <v>1727</v>
      </c>
      <c r="K12" s="67">
        <f>原材料SC総括!E18+原材料SC総括!E19+原材料SC総括!E20</f>
        <v>1329811.3494297946</v>
      </c>
      <c r="L12" s="66" t="s">
        <v>1734</v>
      </c>
    </row>
    <row r="13" spans="2:13" ht="75" x14ac:dyDescent="0.55000000000000004">
      <c r="B13" s="66" t="s">
        <v>1738</v>
      </c>
      <c r="D13" s="66">
        <v>134</v>
      </c>
      <c r="E13" s="66" t="s">
        <v>1723</v>
      </c>
      <c r="G13" s="67">
        <f t="shared" si="0"/>
        <v>2253988</v>
      </c>
      <c r="H13" s="69">
        <v>505</v>
      </c>
      <c r="I13" s="66" t="s">
        <v>1727</v>
      </c>
      <c r="K13" s="68">
        <v>2253988</v>
      </c>
      <c r="L13" s="66" t="s">
        <v>1736</v>
      </c>
      <c r="M13" s="76" t="s">
        <v>1741</v>
      </c>
    </row>
    <row r="14" spans="2:13" ht="30" x14ac:dyDescent="0.55000000000000004">
      <c r="B14" s="66" t="s">
        <v>1738</v>
      </c>
      <c r="D14" s="66">
        <v>134</v>
      </c>
      <c r="E14" s="66" t="s">
        <v>1723</v>
      </c>
      <c r="G14" s="67">
        <f t="shared" si="0"/>
        <v>4789200</v>
      </c>
      <c r="H14" s="69">
        <v>505</v>
      </c>
      <c r="I14" s="66" t="s">
        <v>1727</v>
      </c>
      <c r="K14" s="68">
        <v>4789200</v>
      </c>
      <c r="L14" s="66" t="s">
        <v>1737</v>
      </c>
      <c r="M14" s="76" t="s">
        <v>1740</v>
      </c>
    </row>
  </sheetData>
  <mergeCells count="2">
    <mergeCell ref="D2:G2"/>
    <mergeCell ref="H2:K2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G22"/>
  <sheetViews>
    <sheetView topLeftCell="A7" zoomScale="80" zoomScaleNormal="80" workbookViewId="0">
      <selection activeCell="E14" sqref="E14"/>
    </sheetView>
  </sheetViews>
  <sheetFormatPr defaultRowHeight="15" x14ac:dyDescent="0.55000000000000004"/>
  <cols>
    <col min="1" max="1" width="8.6640625" style="47"/>
    <col min="2" max="2" width="17.75" style="47" bestFit="1" customWidth="1"/>
    <col min="3" max="3" width="10.83203125" style="47" bestFit="1" customWidth="1"/>
    <col min="4" max="4" width="16.6640625" style="47" bestFit="1" customWidth="1"/>
    <col min="5" max="6" width="10.83203125" style="47" bestFit="1" customWidth="1"/>
    <col min="7" max="16384" width="8.6640625" style="47"/>
  </cols>
  <sheetData>
    <row r="2" spans="2:7" x14ac:dyDescent="0.55000000000000004">
      <c r="B2" s="46" t="s">
        <v>1682</v>
      </c>
      <c r="C2" s="46"/>
      <c r="D2" s="46"/>
      <c r="E2" s="46"/>
    </row>
    <row r="3" spans="2:7" x14ac:dyDescent="0.55000000000000004">
      <c r="B3" s="47" t="s">
        <v>1683</v>
      </c>
      <c r="C3" s="47">
        <f>原材料SC明細!E393</f>
        <v>8596.0218400000067</v>
      </c>
      <c r="D3" s="48" t="s">
        <v>1691</v>
      </c>
      <c r="E3" s="47">
        <f ca="1">原材料SC明細!G393</f>
        <v>114478.11099999999</v>
      </c>
    </row>
    <row r="4" spans="2:7" x14ac:dyDescent="0.55000000000000004">
      <c r="B4" s="47" t="s">
        <v>1690</v>
      </c>
      <c r="C4" s="47">
        <f>原材料SC明細!F393</f>
        <v>114889.79000000001</v>
      </c>
      <c r="D4" s="52" t="s">
        <v>1693</v>
      </c>
      <c r="E4" s="51">
        <f>原材料SC明細!H393</f>
        <v>173.29999999999998</v>
      </c>
      <c r="F4" s="51"/>
      <c r="G4" s="51"/>
    </row>
    <row r="5" spans="2:7" x14ac:dyDescent="0.55000000000000004">
      <c r="B5" s="51"/>
      <c r="C5" s="51"/>
      <c r="D5" s="52" t="s">
        <v>1694</v>
      </c>
      <c r="E5" s="51">
        <f>原材料SC明細!I393</f>
        <v>39.1</v>
      </c>
      <c r="F5" s="51"/>
      <c r="G5" s="51"/>
    </row>
    <row r="6" spans="2:7" x14ac:dyDescent="0.55000000000000004">
      <c r="B6" s="51"/>
      <c r="C6" s="51"/>
      <c r="D6" s="52" t="s">
        <v>1692</v>
      </c>
      <c r="E6" s="51">
        <f>原材料SC明細!J393</f>
        <v>51.8</v>
      </c>
      <c r="F6" s="51"/>
      <c r="G6" s="51"/>
    </row>
    <row r="7" spans="2:7" x14ac:dyDescent="0.55000000000000004">
      <c r="D7" s="52" t="s">
        <v>1695</v>
      </c>
      <c r="E7" s="51">
        <f>原材料SC明細!K393</f>
        <v>224.84099999999998</v>
      </c>
      <c r="F7" s="51"/>
      <c r="G7" s="51"/>
    </row>
    <row r="8" spans="2:7" x14ac:dyDescent="0.55000000000000004">
      <c r="D8" s="52" t="s">
        <v>1696</v>
      </c>
      <c r="E8" s="51">
        <f>原材料SC明細!L393</f>
        <v>882.87900000000025</v>
      </c>
      <c r="F8" s="53"/>
      <c r="G8" s="51"/>
    </row>
    <row r="9" spans="2:7" x14ac:dyDescent="0.55000000000000004">
      <c r="B9" s="47" t="s">
        <v>1697</v>
      </c>
      <c r="C9" s="47">
        <f ca="1">原材料SC明細!N393</f>
        <v>-1150.7580000000062</v>
      </c>
      <c r="D9" s="52" t="s">
        <v>1685</v>
      </c>
      <c r="E9" s="51">
        <f>原材料SC明細!M393</f>
        <v>528.3359999999999</v>
      </c>
      <c r="F9" s="53"/>
      <c r="G9" s="51"/>
    </row>
    <row r="10" spans="2:7" x14ac:dyDescent="0.55000000000000004">
      <c r="D10" s="49" t="s">
        <v>1687</v>
      </c>
      <c r="E10" s="47">
        <f>原材料SC明細!O393</f>
        <v>5956.6868400000048</v>
      </c>
    </row>
    <row r="11" spans="2:7" x14ac:dyDescent="0.55000000000000004">
      <c r="C11" s="47">
        <f ca="1">SUM(C3:C10)</f>
        <v>122335.05384000001</v>
      </c>
      <c r="D11" s="49"/>
      <c r="E11" s="47">
        <f ca="1">SUM(E3:E10)</f>
        <v>122335.05384000001</v>
      </c>
      <c r="F11" s="47">
        <f ca="1">C11-E11</f>
        <v>0</v>
      </c>
    </row>
    <row r="13" spans="2:7" x14ac:dyDescent="0.55000000000000004">
      <c r="B13" s="46" t="s">
        <v>1688</v>
      </c>
      <c r="C13" s="46"/>
      <c r="D13" s="46"/>
      <c r="E13" s="46"/>
    </row>
    <row r="14" spans="2:7" x14ac:dyDescent="0.55000000000000004">
      <c r="B14" s="47" t="s">
        <v>1689</v>
      </c>
      <c r="C14" s="47">
        <f>原材料SC明細!E394</f>
        <v>20567620.26433051</v>
      </c>
      <c r="D14" s="48" t="s">
        <v>1698</v>
      </c>
      <c r="E14" s="47">
        <f ca="1">原材料SC明細!G394</f>
        <v>83005479.881534502</v>
      </c>
    </row>
    <row r="15" spans="2:7" x14ac:dyDescent="0.55000000000000004">
      <c r="B15" s="47" t="s">
        <v>1690</v>
      </c>
      <c r="C15" s="47">
        <f>原材料SC明細!F394</f>
        <v>86984824</v>
      </c>
      <c r="D15" s="52" t="s">
        <v>1684</v>
      </c>
      <c r="E15" s="51">
        <f>原材料SC明細!H394</f>
        <v>214213.12193582286</v>
      </c>
      <c r="F15" s="51"/>
      <c r="G15" s="51"/>
    </row>
    <row r="16" spans="2:7" x14ac:dyDescent="0.55000000000000004">
      <c r="B16" s="51"/>
      <c r="C16" s="51"/>
      <c r="D16" s="52" t="s">
        <v>1686</v>
      </c>
      <c r="E16" s="51">
        <f>原材料SC明細!I394</f>
        <v>27436.781255009206</v>
      </c>
      <c r="F16" s="51"/>
      <c r="G16" s="51"/>
    </row>
    <row r="17" spans="2:7" x14ac:dyDescent="0.55000000000000004">
      <c r="B17" s="51"/>
      <c r="C17" s="51"/>
      <c r="D17" s="52" t="s">
        <v>1707</v>
      </c>
      <c r="E17" s="51">
        <f>原材料SC明細!J394</f>
        <v>70150.762768817207</v>
      </c>
      <c r="F17" s="51"/>
      <c r="G17" s="51"/>
    </row>
    <row r="18" spans="2:7" x14ac:dyDescent="0.55000000000000004">
      <c r="D18" s="52" t="s">
        <v>1708</v>
      </c>
      <c r="E18" s="51">
        <f>原材料SC明細!K394</f>
        <v>154576.65087817091</v>
      </c>
      <c r="F18" s="51"/>
      <c r="G18" s="51"/>
    </row>
    <row r="19" spans="2:7" x14ac:dyDescent="0.55000000000000004">
      <c r="D19" s="52" t="s">
        <v>1709</v>
      </c>
      <c r="E19" s="51">
        <f>原材料SC明細!L394</f>
        <v>1052777.9087925043</v>
      </c>
      <c r="F19" s="53"/>
      <c r="G19" s="51"/>
    </row>
    <row r="20" spans="2:7" x14ac:dyDescent="0.55000000000000004">
      <c r="B20" s="47" t="s">
        <v>1697</v>
      </c>
      <c r="C20" s="47">
        <f ca="1">原材料SC明細!N394</f>
        <v>-0.32090711329424504</v>
      </c>
      <c r="D20" s="52" t="s">
        <v>1710</v>
      </c>
      <c r="E20" s="51">
        <f>原材料SC明細!M394</f>
        <v>122456.78975911935</v>
      </c>
      <c r="F20" s="53"/>
      <c r="G20" s="51"/>
    </row>
    <row r="21" spans="2:7" x14ac:dyDescent="0.55000000000000004">
      <c r="B21" s="46"/>
      <c r="C21" s="46"/>
      <c r="D21" s="50" t="s">
        <v>1687</v>
      </c>
      <c r="E21" s="46">
        <f>原材料SC明細!O394</f>
        <v>22976280.042824205</v>
      </c>
    </row>
    <row r="22" spans="2:7" x14ac:dyDescent="0.55000000000000004">
      <c r="C22" s="47">
        <f ca="1">SUM(C14:C21)</f>
        <v>107552443.94342339</v>
      </c>
      <c r="D22" s="49"/>
      <c r="E22" s="47">
        <f ca="1">SUM(E14:E21)</f>
        <v>107623371.93974817</v>
      </c>
      <c r="F22" s="47">
        <f ca="1">C22-E22</f>
        <v>-70927.996324777603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Q394"/>
  <sheetViews>
    <sheetView zoomScale="90" zoomScaleNormal="90" workbookViewId="0">
      <pane xSplit="2" ySplit="4" topLeftCell="C379" activePane="bottomRight" state="frozen"/>
      <selection activeCell="D17" sqref="D17"/>
      <selection pane="topRight" activeCell="D17" sqref="D17"/>
      <selection pane="bottomLeft" activeCell="D17" sqref="D17"/>
      <selection pane="bottomRight" activeCell="O394" sqref="O394"/>
    </sheetView>
  </sheetViews>
  <sheetFormatPr defaultColWidth="8.25" defaultRowHeight="13" x14ac:dyDescent="0.55000000000000004"/>
  <cols>
    <col min="1" max="1" width="4.5" style="3" bestFit="1" customWidth="1"/>
    <col min="2" max="2" width="20.08203125" style="3" bestFit="1" customWidth="1"/>
    <col min="3" max="3" width="6" style="3" customWidth="1"/>
    <col min="4" max="4" width="7.6640625" style="3" bestFit="1" customWidth="1"/>
    <col min="5" max="5" width="9.25" style="1" bestFit="1" customWidth="1"/>
    <col min="6" max="7" width="10.1640625" style="2" customWidth="1"/>
    <col min="8" max="13" width="9.25" style="2" customWidth="1"/>
    <col min="14" max="14" width="11.08203125" style="1" customWidth="1"/>
    <col min="15" max="15" width="11.9140625" style="2" customWidth="1"/>
    <col min="16" max="16384" width="8.25" style="2"/>
  </cols>
  <sheetData>
    <row r="1" spans="1:15" ht="13" customHeight="1" x14ac:dyDescent="0.55000000000000004">
      <c r="A1" s="43" t="s">
        <v>0</v>
      </c>
      <c r="B1" s="43"/>
      <c r="C1" s="43"/>
      <c r="D1" s="43"/>
    </row>
    <row r="2" spans="1:15" ht="13" customHeight="1" x14ac:dyDescent="0.55000000000000004">
      <c r="A2" s="44"/>
      <c r="B2" s="44"/>
      <c r="C2" s="44"/>
      <c r="D2" s="44"/>
    </row>
    <row r="3" spans="1:15" s="3" customFormat="1" x14ac:dyDescent="0.55000000000000004">
      <c r="A3" s="84" t="s">
        <v>1</v>
      </c>
      <c r="B3" s="84" t="s">
        <v>2</v>
      </c>
      <c r="C3" s="84" t="s">
        <v>1699</v>
      </c>
      <c r="D3" s="87" t="s">
        <v>3</v>
      </c>
      <c r="E3" s="89" t="s">
        <v>4</v>
      </c>
      <c r="F3" s="84" t="s">
        <v>5</v>
      </c>
      <c r="G3" s="84" t="s">
        <v>1680</v>
      </c>
      <c r="H3" s="82" t="s">
        <v>6</v>
      </c>
      <c r="I3" s="82" t="s">
        <v>7</v>
      </c>
      <c r="J3" s="82" t="s">
        <v>8</v>
      </c>
      <c r="K3" s="82" t="s">
        <v>9</v>
      </c>
      <c r="L3" s="82" t="s">
        <v>10</v>
      </c>
      <c r="M3" s="82" t="s">
        <v>11</v>
      </c>
      <c r="N3" s="45" t="s">
        <v>1681</v>
      </c>
      <c r="O3" s="84" t="s">
        <v>12</v>
      </c>
    </row>
    <row r="4" spans="1:15" s="3" customFormat="1" ht="18.5" customHeight="1" thickBot="1" x14ac:dyDescent="0.6">
      <c r="A4" s="85"/>
      <c r="B4" s="85"/>
      <c r="C4" s="85"/>
      <c r="D4" s="88"/>
      <c r="E4" s="90"/>
      <c r="F4" s="85"/>
      <c r="G4" s="85"/>
      <c r="H4" s="83"/>
      <c r="I4" s="83"/>
      <c r="J4" s="83"/>
      <c r="K4" s="83"/>
      <c r="L4" s="83"/>
      <c r="M4" s="83"/>
      <c r="N4" s="56" t="s">
        <v>1700</v>
      </c>
      <c r="O4" s="85"/>
    </row>
    <row r="5" spans="1:15" ht="13.5" thickTop="1" x14ac:dyDescent="0.55000000000000004">
      <c r="A5" s="86">
        <v>1</v>
      </c>
      <c r="B5" s="86" t="s">
        <v>17</v>
      </c>
      <c r="C5" s="91">
        <f>IFERROR(VLOOKUP(A5,'原料標準単価（貼付）'!B:E,3,FALSE),0)</f>
        <v>321.14552438372152</v>
      </c>
      <c r="D5" s="4" t="s">
        <v>18</v>
      </c>
      <c r="E5" s="5">
        <v>1.1297629498585599E-12</v>
      </c>
      <c r="F5" s="6">
        <f>IFERROR(VLOOKUP(A5,'1.2①原材料受入'!A:E,3,FALSE),0)</f>
        <v>8226.7999999999993</v>
      </c>
      <c r="G5" s="6">
        <f ca="1">SUMIF('1.3②原材料使用'!C:E,A5,'1.3②原材料使用'!E:E)</f>
        <v>7944.54</v>
      </c>
      <c r="H5" s="6">
        <f>SUMIFS('1.4原材料(その他)'!E:E,'1.4原材料(その他)'!C:C,A:A,'1.4原材料(その他)'!H:H,H$3)</f>
        <v>6</v>
      </c>
      <c r="I5" s="6">
        <f>SUMIFS('1.4原材料(その他)'!E:E,'1.4原材料(その他)'!C:C,A:A,'1.4原材料(その他)'!H:H,I$3)</f>
        <v>0</v>
      </c>
      <c r="J5" s="6">
        <f>SUMIFS('1.4原材料(その他)'!E:E,'1.4原材料(その他)'!C:C,A:A,'1.4原材料(その他)'!H:H,J$3)</f>
        <v>0</v>
      </c>
      <c r="K5" s="6">
        <f>SUMIFS('1.4原材料(その他)'!E:E,'1.4原材料(その他)'!C:C,A:A,'1.4原材料(その他)'!H:H,K$3)</f>
        <v>15.58</v>
      </c>
      <c r="L5" s="6">
        <f>SUMIFS('1.4原材料(その他)'!E:E,'1.4原材料(その他)'!C:C,A:A,'1.4原材料(その他)'!H:H,L$3)</f>
        <v>13.48</v>
      </c>
      <c r="M5" s="6">
        <f>SUMIFS('1.4原材料(その他)'!E:E,'1.4原材料(その他)'!C:C,A:A,'1.4原材料(その他)'!H:H,M$3)</f>
        <v>247.19999999999996</v>
      </c>
      <c r="N5" s="7">
        <f ca="1">O5-(E5+F5-SUM(G5:M5))</f>
        <v>-2.0534685063466895E-12</v>
      </c>
      <c r="O5" s="8">
        <f>SUMIF('1.5原材料在庫'!A:A,原材料SC明細!A5,'1.5原材料在庫'!D:D)</f>
        <v>-2.3447910280083306E-13</v>
      </c>
    </row>
    <row r="6" spans="1:15" x14ac:dyDescent="0.55000000000000004">
      <c r="A6" s="80"/>
      <c r="B6" s="80"/>
      <c r="C6" s="92"/>
      <c r="D6" s="9" t="s">
        <v>19</v>
      </c>
      <c r="E6" s="10">
        <v>2.3994578271866004E-10</v>
      </c>
      <c r="F6" s="10">
        <f>F5*$C5</f>
        <v>2642000</v>
      </c>
      <c r="G6" s="10">
        <f ca="1">G5*$C5</f>
        <v>2551353.464287451</v>
      </c>
      <c r="H6" s="10">
        <f t="shared" ref="H6:M6" si="0">H5*$C5</f>
        <v>1926.8731463023291</v>
      </c>
      <c r="I6" s="10">
        <f t="shared" si="0"/>
        <v>0</v>
      </c>
      <c r="J6" s="10">
        <f t="shared" si="0"/>
        <v>0</v>
      </c>
      <c r="K6" s="10">
        <f t="shared" si="0"/>
        <v>5003.4472698983809</v>
      </c>
      <c r="L6" s="10">
        <f t="shared" si="0"/>
        <v>4329.0416686925664</v>
      </c>
      <c r="M6" s="10">
        <f t="shared" si="0"/>
        <v>79387.173627655953</v>
      </c>
      <c r="N6" s="11">
        <f t="shared" ref="N6" ca="1" si="1">IFERROR(N5/SUM($E5:$F5)*SUM($E6:$F6),"")</f>
        <v>-6.5946222027616498E-10</v>
      </c>
      <c r="O6" s="10">
        <f>O5*$C5</f>
        <v>-7.5301914425998075E-11</v>
      </c>
    </row>
    <row r="7" spans="1:15" x14ac:dyDescent="0.55000000000000004">
      <c r="A7" s="80">
        <v>2</v>
      </c>
      <c r="B7" s="80" t="s">
        <v>20</v>
      </c>
      <c r="C7" s="78">
        <f>IFERROR(VLOOKUP(A7,'原料標準単価（貼付）'!B:E,3,FALSE),0)</f>
        <v>510.48639000446229</v>
      </c>
      <c r="D7" s="12" t="s">
        <v>18</v>
      </c>
      <c r="E7" s="13">
        <v>5.595524044110789E-14</v>
      </c>
      <c r="F7" s="6">
        <f>IFERROR(VLOOKUP(A7,'1.2①原材料受入'!A:E,3,FALSE),0)</f>
        <v>224.1</v>
      </c>
      <c r="G7" s="6">
        <f ca="1">SUMIF('1.3②原材料使用'!C:E,A7,'1.3②原材料使用'!E:E)</f>
        <v>210</v>
      </c>
      <c r="H7" s="6">
        <f>SUMIFS('1.4原材料(その他)'!E:E,'1.4原材料(その他)'!C:C,A:A,'1.4原材料(その他)'!H:H,H$3)</f>
        <v>2.2000000000000002</v>
      </c>
      <c r="I7" s="6">
        <f>SUMIFS('1.4原材料(その他)'!E:E,'1.4原材料(その他)'!C:C,A:A,'1.4原材料(その他)'!H:H,I$3)</f>
        <v>0</v>
      </c>
      <c r="J7" s="6">
        <f>SUMIFS('1.4原材料(その他)'!E:E,'1.4原材料(その他)'!C:C,A:A,'1.4原材料(その他)'!H:H,J$3)</f>
        <v>0</v>
      </c>
      <c r="K7" s="6">
        <f>SUMIFS('1.4原材料(その他)'!E:E,'1.4原材料(その他)'!C:C,A:A,'1.4原材料(その他)'!H:H,K$3)</f>
        <v>4.49</v>
      </c>
      <c r="L7" s="6">
        <f>SUMIFS('1.4原材料(その他)'!E:E,'1.4原材料(その他)'!C:C,A:A,'1.4原材料(その他)'!H:H,L$3)</f>
        <v>7.4799999999999995</v>
      </c>
      <c r="M7" s="6">
        <f>SUMIFS('1.4原材料(その他)'!E:E,'1.4原材料(その他)'!C:C,A:A,'1.4原材料(その他)'!H:H,M$3)</f>
        <v>-7.0000000000000007E-2</v>
      </c>
      <c r="N7" s="7">
        <f ca="1">O7-(E7+F7-SUM(G7:M7))</f>
        <v>-2.9309887850104133E-14</v>
      </c>
      <c r="O7" s="8">
        <f>SUMIF('1.5原材料在庫'!A:A,原材料SC明細!A7,'1.5原材料在庫'!D:D)</f>
        <v>2.7533531010703882E-14</v>
      </c>
    </row>
    <row r="8" spans="1:15" x14ac:dyDescent="0.55000000000000004">
      <c r="A8" s="80"/>
      <c r="B8" s="80"/>
      <c r="C8" s="79"/>
      <c r="D8" s="9" t="s">
        <v>19</v>
      </c>
      <c r="E8" s="10">
        <v>2.3662980124058403E-11</v>
      </c>
      <c r="F8" s="10">
        <f>F7*$C7</f>
        <v>114400</v>
      </c>
      <c r="G8" s="10">
        <f ca="1">G7*$C7</f>
        <v>107202.14190093709</v>
      </c>
      <c r="H8" s="10">
        <f t="shared" ref="H8" si="2">H7*$C7</f>
        <v>1123.0700580098171</v>
      </c>
      <c r="I8" s="10">
        <f t="shared" ref="I8" si="3">I7*$C7</f>
        <v>0</v>
      </c>
      <c r="J8" s="10">
        <f t="shared" ref="J8" si="4">J7*$C7</f>
        <v>0</v>
      </c>
      <c r="K8" s="10">
        <f t="shared" ref="K8" si="5">K7*$C7</f>
        <v>2292.0838911200358</v>
      </c>
      <c r="L8" s="10">
        <f t="shared" ref="L8" si="6">L7*$C7</f>
        <v>3818.4381972333777</v>
      </c>
      <c r="M8" s="10">
        <f t="shared" ref="M8" si="7">M7*$C7</f>
        <v>-35.734047300312362</v>
      </c>
      <c r="N8" s="11">
        <f t="shared" ref="N8" ca="1" si="8">IFERROR(N7/SUM($E7:$F7)*SUM($E8:$F8),"")</f>
        <v>-1.4962298840035311E-11</v>
      </c>
      <c r="O8" s="10">
        <f>O7*$C7</f>
        <v>1.4055492849730139E-11</v>
      </c>
    </row>
    <row r="9" spans="1:15" x14ac:dyDescent="0.55000000000000004">
      <c r="A9" s="80">
        <v>3</v>
      </c>
      <c r="B9" s="80" t="s">
        <v>21</v>
      </c>
      <c r="C9" s="78">
        <f>IFERROR(VLOOKUP(A9,'原料標準単価（貼付）'!B:E,3,FALSE),0)</f>
        <v>280.83162349320338</v>
      </c>
      <c r="D9" s="12" t="s">
        <v>18</v>
      </c>
      <c r="E9" s="13">
        <v>8.5265128291212022E-14</v>
      </c>
      <c r="F9" s="6">
        <f>IFERROR(VLOOKUP(A9,'1.2①原材料受入'!A:E,3,FALSE),0)</f>
        <v>3119.2</v>
      </c>
      <c r="G9" s="6">
        <f ca="1">SUMIF('1.3②原材料使用'!C:E,A9,'1.3②原材料使用'!E:E)</f>
        <v>3000</v>
      </c>
      <c r="H9" s="6">
        <f>SUMIFS('1.4原材料(その他)'!E:E,'1.4原材料(その他)'!C:C,A:A,'1.4原材料(その他)'!H:H,H$3)</f>
        <v>4</v>
      </c>
      <c r="I9" s="6">
        <f>SUMIFS('1.4原材料(その他)'!E:E,'1.4原材料(その他)'!C:C,A:A,'1.4原材料(その他)'!H:H,I$3)</f>
        <v>0</v>
      </c>
      <c r="J9" s="6">
        <f>SUMIFS('1.4原材料(その他)'!E:E,'1.4原材料(その他)'!C:C,A:A,'1.4原材料(その他)'!H:H,J$3)</f>
        <v>0</v>
      </c>
      <c r="K9" s="6">
        <f>SUMIFS('1.4原材料(その他)'!E:E,'1.4原材料(その他)'!C:C,A:A,'1.4原材料(その他)'!H:H,K$3)</f>
        <v>0</v>
      </c>
      <c r="L9" s="6">
        <f>SUMIFS('1.4原材料(その他)'!E:E,'1.4原材料(その他)'!C:C,A:A,'1.4原材料(その他)'!H:H,L$3)</f>
        <v>17.799999999999997</v>
      </c>
      <c r="M9" s="6">
        <f>SUMIFS('1.4原材料(その他)'!E:E,'1.4原材料(その他)'!C:C,A:A,'1.4原材料(その他)'!H:H,M$3)</f>
        <v>97.4</v>
      </c>
      <c r="N9" s="7">
        <f ca="1">O9-(E9+F9-SUM(G9:M9))</f>
        <v>3.1086244689504383E-13</v>
      </c>
      <c r="O9" s="8">
        <f>SUMIF('1.5原材料在庫'!A:A,原材料SC明細!A9,'1.5原材料在庫'!D:D)</f>
        <v>-1.4388490399142029E-13</v>
      </c>
    </row>
    <row r="10" spans="1:15" x14ac:dyDescent="0.55000000000000004">
      <c r="A10" s="80"/>
      <c r="B10" s="80"/>
      <c r="C10" s="79"/>
      <c r="D10" s="9" t="s">
        <v>19</v>
      </c>
      <c r="E10" s="10">
        <v>2.7317029354134593E-11</v>
      </c>
      <c r="F10" s="10">
        <f>F9*$C9</f>
        <v>875969.99999999988</v>
      </c>
      <c r="G10" s="10">
        <f ca="1">G9*$C9</f>
        <v>842494.87047961017</v>
      </c>
      <c r="H10" s="10">
        <f t="shared" ref="H10" si="9">H9*$C9</f>
        <v>1123.3264939728135</v>
      </c>
      <c r="I10" s="10">
        <f t="shared" ref="I10" si="10">I9*$C9</f>
        <v>0</v>
      </c>
      <c r="J10" s="10">
        <f t="shared" ref="J10" si="11">J9*$C9</f>
        <v>0</v>
      </c>
      <c r="K10" s="10">
        <f t="shared" ref="K10" si="12">K9*$C9</f>
        <v>0</v>
      </c>
      <c r="L10" s="10">
        <f t="shared" ref="L10" si="13">L9*$C9</f>
        <v>4998.8028981790194</v>
      </c>
      <c r="M10" s="10">
        <f t="shared" ref="M10" si="14">M9*$C9</f>
        <v>27353.000128238011</v>
      </c>
      <c r="N10" s="11">
        <f t="shared" ref="N10" ca="1" si="15">IFERROR(N9/SUM($E9:$F9)*SUM($E10:$F10),"")</f>
        <v>8.7300005644604863E-11</v>
      </c>
      <c r="O10" s="10">
        <f>O9*$C9</f>
        <v>-4.0407431184074256E-11</v>
      </c>
    </row>
    <row r="11" spans="1:15" x14ac:dyDescent="0.55000000000000004">
      <c r="A11" s="80">
        <v>4</v>
      </c>
      <c r="B11" s="80" t="s">
        <v>22</v>
      </c>
      <c r="C11" s="78">
        <f>IFERROR(VLOOKUP(A11,'原料標準単価（貼付）'!B:E,3,FALSE),0)</f>
        <v>352.15661308292215</v>
      </c>
      <c r="D11" s="12" t="s">
        <v>18</v>
      </c>
      <c r="E11" s="13">
        <v>5.6488147492927965E-13</v>
      </c>
      <c r="F11" s="6">
        <f>IFERROR(VLOOKUP(A11,'1.2①原材料受入'!A:E,3,FALSE),0)</f>
        <v>3141.5</v>
      </c>
      <c r="G11" s="6">
        <f ca="1">SUMIF('1.3②原材料使用'!C:E,A11,'1.3②原材料使用'!E:E)</f>
        <v>3024</v>
      </c>
      <c r="H11" s="6">
        <f>SUMIFS('1.4原材料(その他)'!E:E,'1.4原材料(その他)'!C:C,A:A,'1.4原材料(その他)'!H:H,H$3)</f>
        <v>4</v>
      </c>
      <c r="I11" s="6">
        <f>SUMIFS('1.4原材料(その他)'!E:E,'1.4原材料(その他)'!C:C,A:A,'1.4原材料(その他)'!H:H,I$3)</f>
        <v>0</v>
      </c>
      <c r="J11" s="6">
        <f>SUMIFS('1.4原材料(その他)'!E:E,'1.4原材料(その他)'!C:C,A:A,'1.4原材料(その他)'!H:H,J$3)</f>
        <v>0</v>
      </c>
      <c r="K11" s="6">
        <f>SUMIFS('1.4原材料(その他)'!E:E,'1.4原材料(その他)'!C:C,A:A,'1.4原材料(その他)'!H:H,K$3)</f>
        <v>0</v>
      </c>
      <c r="L11" s="6">
        <f>SUMIFS('1.4原材料(その他)'!E:E,'1.4原材料(その他)'!C:C,A:A,'1.4原材料(その他)'!H:H,L$3)</f>
        <v>102.35000000000001</v>
      </c>
      <c r="M11" s="6">
        <f>SUMIFS('1.4原材料(その他)'!E:E,'1.4原材料(その他)'!C:C,A:A,'1.4原材料(その他)'!H:H,M$3)</f>
        <v>11.150000000000002</v>
      </c>
      <c r="N11" s="7">
        <f ca="1">O11-(E11+F11-SUM(G11:M11))</f>
        <v>1.6697754290362354E-13</v>
      </c>
      <c r="O11" s="8">
        <f>SUMIF('1.5原材料在庫'!A:A,原材料SC明細!A11,'1.5原材料在庫'!D:D)</f>
        <v>6.2172489379008766E-13</v>
      </c>
    </row>
    <row r="12" spans="1:15" x14ac:dyDescent="0.55000000000000004">
      <c r="A12" s="80"/>
      <c r="B12" s="80"/>
      <c r="C12" s="79"/>
      <c r="D12" s="9" t="s">
        <v>19</v>
      </c>
      <c r="E12" s="10">
        <v>2.2197077574828867E-10</v>
      </c>
      <c r="F12" s="10">
        <f>F11*$C11</f>
        <v>1106300</v>
      </c>
      <c r="G12" s="10">
        <f ca="1">G11*$C11</f>
        <v>1064921.5979627566</v>
      </c>
      <c r="H12" s="10">
        <f t="shared" ref="H12" si="16">H11*$C11</f>
        <v>1408.6264523316886</v>
      </c>
      <c r="I12" s="10">
        <f t="shared" ref="I12" si="17">I11*$C11</f>
        <v>0</v>
      </c>
      <c r="J12" s="10">
        <f t="shared" ref="J12" si="18">J11*$C11</f>
        <v>0</v>
      </c>
      <c r="K12" s="10">
        <f t="shared" ref="K12" si="19">K11*$C11</f>
        <v>0</v>
      </c>
      <c r="L12" s="10">
        <f t="shared" ref="L12" si="20">L11*$C11</f>
        <v>36043.229349037087</v>
      </c>
      <c r="M12" s="10">
        <f t="shared" ref="M12" si="21">M11*$C11</f>
        <v>3926.5462358745826</v>
      </c>
      <c r="N12" s="11">
        <f t="shared" ref="N12" ca="1" si="22">IFERROR(N11/SUM($E11:$F11)*SUM($E12:$F12),"")</f>
        <v>5.8802245969848398E-11</v>
      </c>
      <c r="O12" s="10">
        <f>O11*$C11</f>
        <v>2.1894453286645678E-10</v>
      </c>
    </row>
    <row r="13" spans="1:15" x14ac:dyDescent="0.55000000000000004">
      <c r="A13" s="80">
        <v>5</v>
      </c>
      <c r="B13" s="80" t="s">
        <v>23</v>
      </c>
      <c r="C13" s="78">
        <f>IFERROR(VLOOKUP(A13,'原料標準単価（貼付）'!B:E,3,FALSE),0)</f>
        <v>2148.4375</v>
      </c>
      <c r="D13" s="12" t="s">
        <v>18</v>
      </c>
      <c r="E13" s="13">
        <v>2.8421709430404007E-13</v>
      </c>
      <c r="F13" s="6">
        <f>IFERROR(VLOOKUP(A13,'1.2①原材料受入'!A:E,3,FALSE),0)</f>
        <v>230.4</v>
      </c>
      <c r="G13" s="6">
        <f ca="1">SUMIF('1.3②原材料使用'!C:E,A13,'1.3②原材料使用'!E:E)</f>
        <v>210</v>
      </c>
      <c r="H13" s="6">
        <f>SUMIFS('1.4原材料(その他)'!E:E,'1.4原材料(その他)'!C:C,A:A,'1.4原材料(その他)'!H:H,H$3)</f>
        <v>2.4000000000000004</v>
      </c>
      <c r="I13" s="6">
        <f>SUMIFS('1.4原材料(その他)'!E:E,'1.4原材料(その他)'!C:C,A:A,'1.4原材料(その他)'!H:H,I$3)</f>
        <v>0</v>
      </c>
      <c r="J13" s="6">
        <f>SUMIFS('1.4原材料(その他)'!E:E,'1.4原材料(その他)'!C:C,A:A,'1.4原材料(その他)'!H:H,J$3)</f>
        <v>13</v>
      </c>
      <c r="K13" s="6">
        <f>SUMIFS('1.4原材料(その他)'!E:E,'1.4原材料(その他)'!C:C,A:A,'1.4原材料(その他)'!H:H,K$3)</f>
        <v>1.5</v>
      </c>
      <c r="L13" s="6">
        <f>SUMIFS('1.4原材料(その他)'!E:E,'1.4原材料(その他)'!C:C,A:A,'1.4原材料(その他)'!H:H,L$3)</f>
        <v>0</v>
      </c>
      <c r="M13" s="6">
        <f>SUMIFS('1.4原材料(その他)'!E:E,'1.4原材料(その他)'!C:C,A:A,'1.4原材料(その他)'!H:H,M$3)</f>
        <v>3.5</v>
      </c>
      <c r="N13" s="7">
        <f ca="1">O13-(E13+F13-SUM(G13:M13))</f>
        <v>2.8421709430404007E-14</v>
      </c>
      <c r="O13" s="8">
        <f>SUMIF('1.5原材料在庫'!A:A,原材料SC明細!A13,'1.5原材料在庫'!D:D)</f>
        <v>3.1263880373444408E-13</v>
      </c>
    </row>
    <row r="14" spans="1:15" x14ac:dyDescent="0.55000000000000004">
      <c r="A14" s="80"/>
      <c r="B14" s="80"/>
      <c r="C14" s="79"/>
      <c r="D14" s="9" t="s">
        <v>19</v>
      </c>
      <c r="E14" s="10">
        <v>5.6005332075676391E-10</v>
      </c>
      <c r="F14" s="10">
        <f>F13*$C13</f>
        <v>495000</v>
      </c>
      <c r="G14" s="10">
        <f ca="1">G13*$C13</f>
        <v>451171.875</v>
      </c>
      <c r="H14" s="10">
        <f t="shared" ref="H14" si="23">H13*$C13</f>
        <v>5156.2500000000009</v>
      </c>
      <c r="I14" s="10">
        <f t="shared" ref="I14" si="24">I13*$C13</f>
        <v>0</v>
      </c>
      <c r="J14" s="10">
        <f t="shared" ref="J14" si="25">J13*$C13</f>
        <v>27929.6875</v>
      </c>
      <c r="K14" s="10">
        <f t="shared" ref="K14" si="26">K13*$C13</f>
        <v>3222.65625</v>
      </c>
      <c r="L14" s="10">
        <f t="shared" ref="L14" si="27">L13*$C13</f>
        <v>0</v>
      </c>
      <c r="M14" s="10">
        <f t="shared" ref="M14" si="28">M13*$C13</f>
        <v>7519.53125</v>
      </c>
      <c r="N14" s="11">
        <f t="shared" ref="N14" ca="1" si="29">IFERROR(N13/SUM($E13:$F13)*SUM($E14:$F14),"")</f>
        <v>6.1062266354383597E-11</v>
      </c>
      <c r="O14" s="10">
        <f>O13*$C13</f>
        <v>6.7168492989821971E-10</v>
      </c>
    </row>
    <row r="15" spans="1:15" x14ac:dyDescent="0.55000000000000004">
      <c r="A15" s="80">
        <v>6</v>
      </c>
      <c r="B15" s="80" t="s">
        <v>24</v>
      </c>
      <c r="C15" s="78">
        <f>IFERROR(VLOOKUP(A15,'原料標準単価（貼付）'!B:E,3,FALSE),0)</f>
        <v>1852.6</v>
      </c>
      <c r="D15" s="12" t="s">
        <v>18</v>
      </c>
      <c r="E15" s="13">
        <v>623.79999999999995</v>
      </c>
      <c r="F15" s="6">
        <f>IFERROR(VLOOKUP(A15,'1.2①原材料受入'!A:E,3,FALSE),0)</f>
        <v>0</v>
      </c>
      <c r="G15" s="6">
        <f ca="1">SUMIF('1.3②原材料使用'!C:E,A15,'1.3②原材料使用'!E:E)</f>
        <v>230</v>
      </c>
      <c r="H15" s="6">
        <f>SUMIFS('1.4原材料(その他)'!E:E,'1.4原材料(その他)'!C:C,A:A,'1.4原材料(その他)'!H:H,H$3)</f>
        <v>0</v>
      </c>
      <c r="I15" s="6">
        <f>SUMIFS('1.4原材料(その他)'!E:E,'1.4原材料(その他)'!C:C,A:A,'1.4原材料(その他)'!H:H,I$3)</f>
        <v>0</v>
      </c>
      <c r="J15" s="6">
        <f>SUMIFS('1.4原材料(その他)'!E:E,'1.4原材料(その他)'!C:C,A:A,'1.4原材料(その他)'!H:H,J$3)</f>
        <v>0</v>
      </c>
      <c r="K15" s="6">
        <f>SUMIFS('1.4原材料(その他)'!E:E,'1.4原材料(その他)'!C:C,A:A,'1.4原材料(その他)'!H:H,K$3)</f>
        <v>0.16</v>
      </c>
      <c r="L15" s="6">
        <f>SUMIFS('1.4原材料(その他)'!E:E,'1.4原材料(その他)'!C:C,A:A,'1.4原材料(その他)'!H:H,L$3)</f>
        <v>0</v>
      </c>
      <c r="M15" s="6">
        <f>SUMIFS('1.4原材料(その他)'!E:E,'1.4原材料(その他)'!C:C,A:A,'1.4原材料(その他)'!H:H,M$3)</f>
        <v>3.7399999999999998</v>
      </c>
      <c r="N15" s="7">
        <f ca="1">O15-(E15+F15-SUM(G15:M15))</f>
        <v>0</v>
      </c>
      <c r="O15" s="8">
        <f>SUMIF('1.5原材料在庫'!A:A,原材料SC明細!A15,'1.5原材料在庫'!D:D)</f>
        <v>389.89999999999992</v>
      </c>
    </row>
    <row r="16" spans="1:15" x14ac:dyDescent="0.55000000000000004">
      <c r="A16" s="80"/>
      <c r="B16" s="80"/>
      <c r="C16" s="79"/>
      <c r="D16" s="9" t="s">
        <v>19</v>
      </c>
      <c r="E16" s="10">
        <v>1156080.7009519429</v>
      </c>
      <c r="F16" s="10">
        <f>F15*$C15</f>
        <v>0</v>
      </c>
      <c r="G16" s="10">
        <f ca="1">G15*$C15</f>
        <v>426098</v>
      </c>
      <c r="H16" s="10">
        <f t="shared" ref="H16" si="30">H15*$C15</f>
        <v>0</v>
      </c>
      <c r="I16" s="10">
        <f t="shared" ref="I16" si="31">I15*$C15</f>
        <v>0</v>
      </c>
      <c r="J16" s="10">
        <f t="shared" ref="J16" si="32">J15*$C15</f>
        <v>0</v>
      </c>
      <c r="K16" s="10">
        <f t="shared" ref="K16" si="33">K15*$C15</f>
        <v>296.416</v>
      </c>
      <c r="L16" s="10">
        <f t="shared" ref="L16" si="34">L15*$C15</f>
        <v>0</v>
      </c>
      <c r="M16" s="10">
        <f t="shared" ref="M16" si="35">M15*$C15</f>
        <v>6928.7239999999993</v>
      </c>
      <c r="N16" s="11">
        <f t="shared" ref="N16" ca="1" si="36">IFERROR(N15/SUM($E15:$F15)*SUM($E16:$F16),"")</f>
        <v>0</v>
      </c>
      <c r="O16" s="10">
        <f>O15*$C15</f>
        <v>722328.73999999987</v>
      </c>
    </row>
    <row r="17" spans="1:15" x14ac:dyDescent="0.55000000000000004">
      <c r="A17" s="80">
        <v>7</v>
      </c>
      <c r="B17" s="80" t="s">
        <v>25</v>
      </c>
      <c r="C17" s="78">
        <f>IFERROR(VLOOKUP(A17,'原料標準単価（貼付）'!B:E,3,FALSE),0)</f>
        <v>1215.2564664620782</v>
      </c>
      <c r="D17" s="12" t="s">
        <v>18</v>
      </c>
      <c r="E17" s="13">
        <v>1.7097434579227411E-13</v>
      </c>
      <c r="F17" s="6">
        <f>IFERROR(VLOOKUP(A17,'1.2①原材料受入'!A:E,3,FALSE),0)</f>
        <v>228.1</v>
      </c>
      <c r="G17" s="6">
        <f ca="1">SUMIF('1.3②原材料使用'!C:E,A17,'1.3②原材料使用'!E:E)</f>
        <v>210</v>
      </c>
      <c r="H17" s="6">
        <f>SUMIFS('1.4原材料(その他)'!E:E,'1.4原材料(その他)'!C:C,A:A,'1.4原材料(その他)'!H:H,H$3)</f>
        <v>2.2000000000000002</v>
      </c>
      <c r="I17" s="6">
        <f>SUMIFS('1.4原材料(その他)'!E:E,'1.4原材料(その他)'!C:C,A:A,'1.4原材料(その他)'!H:H,I$3)</f>
        <v>0</v>
      </c>
      <c r="J17" s="6">
        <f>SUMIFS('1.4原材料(その他)'!E:E,'1.4原材料(その他)'!C:C,A:A,'1.4原材料(その他)'!H:H,J$3)</f>
        <v>0</v>
      </c>
      <c r="K17" s="6">
        <f>SUMIFS('1.4原材料(その他)'!E:E,'1.4原材料(その他)'!C:C,A:A,'1.4原材料(その他)'!H:H,K$3)</f>
        <v>1.9</v>
      </c>
      <c r="L17" s="6">
        <f>SUMIFS('1.4原材料(その他)'!E:E,'1.4原材料(その他)'!C:C,A:A,'1.4原材料(その他)'!H:H,L$3)</f>
        <v>0</v>
      </c>
      <c r="M17" s="6">
        <f>SUMIFS('1.4原材料(その他)'!E:E,'1.4原材料(その他)'!C:C,A:A,'1.4原材料(その他)'!H:H,M$3)</f>
        <v>1.5999999999999999</v>
      </c>
      <c r="N17" s="7">
        <f ca="1">O17-(E17+F17-SUM(G17:M17))</f>
        <v>0</v>
      </c>
      <c r="O17" s="8">
        <f>SUMIF('1.5原材料在庫'!A:A,原材料SC明細!A17,'1.5原材料在庫'!D:D)</f>
        <v>12.400000000000171</v>
      </c>
    </row>
    <row r="18" spans="1:15" x14ac:dyDescent="0.55000000000000004">
      <c r="A18" s="80"/>
      <c r="B18" s="80"/>
      <c r="C18" s="79"/>
      <c r="D18" s="9" t="s">
        <v>19</v>
      </c>
      <c r="E18" s="10">
        <v>1.941107824935222E-10</v>
      </c>
      <c r="F18" s="10">
        <f>F17*$C17</f>
        <v>277200</v>
      </c>
      <c r="G18" s="10">
        <f ca="1">G17*$C17</f>
        <v>255203.85795703641</v>
      </c>
      <c r="H18" s="10">
        <f t="shared" ref="H18" si="37">H17*$C17</f>
        <v>2673.564226216572</v>
      </c>
      <c r="I18" s="10">
        <f t="shared" ref="I18" si="38">I17*$C17</f>
        <v>0</v>
      </c>
      <c r="J18" s="10">
        <f t="shared" ref="J18" si="39">J17*$C17</f>
        <v>0</v>
      </c>
      <c r="K18" s="10">
        <f t="shared" ref="K18" si="40">K17*$C17</f>
        <v>2308.9872862779484</v>
      </c>
      <c r="L18" s="10">
        <f t="shared" ref="L18" si="41">L17*$C17</f>
        <v>0</v>
      </c>
      <c r="M18" s="10">
        <f t="shared" ref="M18" si="42">M17*$C17</f>
        <v>1944.4103463393249</v>
      </c>
      <c r="N18" s="11">
        <f t="shared" ref="N18" ca="1" si="43">IFERROR(N17/SUM($E17:$F17)*SUM($E18:$F18),"")</f>
        <v>0</v>
      </c>
      <c r="O18" s="10">
        <f>O17*$C17</f>
        <v>15069.180184129977</v>
      </c>
    </row>
    <row r="19" spans="1:15" x14ac:dyDescent="0.55000000000000004">
      <c r="A19" s="80">
        <v>8</v>
      </c>
      <c r="B19" s="80" t="s">
        <v>26</v>
      </c>
      <c r="C19" s="78">
        <f>IFERROR(VLOOKUP(A19,'原料標準単価（貼付）'!B:E,3,FALSE),0)</f>
        <v>2249.1039426523298</v>
      </c>
      <c r="D19" s="12" t="s">
        <v>18</v>
      </c>
      <c r="E19" s="13">
        <v>1.4876988529977098E-14</v>
      </c>
      <c r="F19" s="6">
        <f>IFERROR(VLOOKUP(A19,'1.2①原材料受入'!A:E,3,FALSE),0)</f>
        <v>27.9</v>
      </c>
      <c r="G19" s="6">
        <f ca="1">SUMIF('1.3②原材料使用'!C:E,A19,'1.3②原材料使用'!E:E)</f>
        <v>21.219999999999995</v>
      </c>
      <c r="H19" s="6">
        <f>SUMIFS('1.4原材料(その他)'!E:E,'1.4原材料(その他)'!C:C,A:A,'1.4原材料(その他)'!H:H,H$3)</f>
        <v>2.5</v>
      </c>
      <c r="I19" s="6">
        <f>SUMIFS('1.4原材料(その他)'!E:E,'1.4原材料(その他)'!C:C,A:A,'1.4原材料(その他)'!H:H,I$3)</f>
        <v>0</v>
      </c>
      <c r="J19" s="6">
        <f>SUMIFS('1.4原材料(その他)'!E:E,'1.4原材料(その他)'!C:C,A:A,'1.4原材料(その他)'!H:H,J$3)</f>
        <v>0</v>
      </c>
      <c r="K19" s="6">
        <f>SUMIFS('1.4原材料(その他)'!E:E,'1.4原材料(その他)'!C:C,A:A,'1.4原材料(その他)'!H:H,K$3)</f>
        <v>0.83500000000000008</v>
      </c>
      <c r="L19" s="6">
        <f>SUMIFS('1.4原材料(その他)'!E:E,'1.4原材料(その他)'!C:C,A:A,'1.4原材料(その他)'!H:H,L$3)</f>
        <v>2.3000000000000003</v>
      </c>
      <c r="M19" s="6">
        <f>SUMIFS('1.4原材料(その他)'!E:E,'1.4原材料(その他)'!C:C,A:A,'1.4原材料(その他)'!H:H,M$3)</f>
        <v>1.05</v>
      </c>
      <c r="N19" s="7">
        <f ca="1">O19-(E19+F19-SUM(G19:M19))</f>
        <v>-4.4408920985006262E-16</v>
      </c>
      <c r="O19" s="8">
        <f>SUMIF('1.5原材料在庫'!A:A,原材料SC明細!A19,'1.5原材料在庫'!D:D)</f>
        <v>-4.9999999999852385E-3</v>
      </c>
    </row>
    <row r="20" spans="1:15" x14ac:dyDescent="0.55000000000000004">
      <c r="A20" s="80"/>
      <c r="B20" s="80"/>
      <c r="C20" s="79"/>
      <c r="D20" s="9" t="s">
        <v>19</v>
      </c>
      <c r="E20" s="10">
        <v>3.389563176151292E-11</v>
      </c>
      <c r="F20" s="10">
        <f>F19*$C19</f>
        <v>62750</v>
      </c>
      <c r="G20" s="10">
        <f ca="1">G19*$C19</f>
        <v>47725.985663082429</v>
      </c>
      <c r="H20" s="10">
        <f t="shared" ref="H20" si="44">H19*$C19</f>
        <v>5622.7598566308243</v>
      </c>
      <c r="I20" s="10">
        <f t="shared" ref="I20" si="45">I19*$C19</f>
        <v>0</v>
      </c>
      <c r="J20" s="10">
        <f t="shared" ref="J20" si="46">J19*$C19</f>
        <v>0</v>
      </c>
      <c r="K20" s="10">
        <f t="shared" ref="K20" si="47">K19*$C19</f>
        <v>1878.0017921146955</v>
      </c>
      <c r="L20" s="10">
        <f t="shared" ref="L20" si="48">L19*$C19</f>
        <v>5172.9390681003588</v>
      </c>
      <c r="M20" s="10">
        <f t="shared" ref="M20" si="49">M19*$C19</f>
        <v>2361.5591397849462</v>
      </c>
      <c r="N20" s="11">
        <f t="shared" ref="N20" ca="1" si="50">IFERROR(N19/SUM($E19:$F19)*SUM($E20:$F20),"")</f>
        <v>-9.9880279276313389E-13</v>
      </c>
      <c r="O20" s="10">
        <f>O19*$C19</f>
        <v>-11.245519713228449</v>
      </c>
    </row>
    <row r="21" spans="1:15" x14ac:dyDescent="0.55000000000000004">
      <c r="A21" s="80">
        <v>9</v>
      </c>
      <c r="B21" s="80" t="s">
        <v>27</v>
      </c>
      <c r="C21" s="78">
        <f>IFERROR(VLOOKUP(A21,'原料標準単価（貼付）'!B:E,3,FALSE),0)</f>
        <v>1106.6425120772947</v>
      </c>
      <c r="D21" s="12" t="s">
        <v>18</v>
      </c>
      <c r="E21" s="13">
        <v>-8.5265128291212022E-14</v>
      </c>
      <c r="F21" s="6">
        <f>IFERROR(VLOOKUP(A21,'1.2①原材料受入'!A:E,3,FALSE),0)</f>
        <v>248.4</v>
      </c>
      <c r="G21" s="6">
        <f ca="1">SUMIF('1.3②原材料使用'!C:E,A21,'1.3②原材料使用'!E:E)</f>
        <v>210</v>
      </c>
      <c r="H21" s="6">
        <f>SUMIFS('1.4原材料(その他)'!E:E,'1.4原材料(その他)'!C:C,A:A,'1.4原材料(その他)'!H:H,H$3)</f>
        <v>4</v>
      </c>
      <c r="I21" s="6">
        <f>SUMIFS('1.4原材料(その他)'!E:E,'1.4原材料(その他)'!C:C,A:A,'1.4原材料(その他)'!H:H,I$3)</f>
        <v>3</v>
      </c>
      <c r="J21" s="6">
        <f>SUMIFS('1.4原材料(その他)'!E:E,'1.4原材料(その他)'!C:C,A:A,'1.4原材料(その他)'!H:H,J$3)</f>
        <v>0</v>
      </c>
      <c r="K21" s="6">
        <f>SUMIFS('1.4原材料(その他)'!E:E,'1.4原材料(その他)'!C:C,A:A,'1.4原材料(その他)'!H:H,K$3)</f>
        <v>7.8000000000000007</v>
      </c>
      <c r="L21" s="6">
        <f>SUMIFS('1.4原材料(その他)'!E:E,'1.4原材料(その他)'!C:C,A:A,'1.4原材料(その他)'!H:H,L$3)</f>
        <v>23.6</v>
      </c>
      <c r="M21" s="6">
        <f>SUMIFS('1.4原材料(その他)'!E:E,'1.4原材料(その他)'!C:C,A:A,'1.4原材料(その他)'!H:H,M$3)</f>
        <v>0</v>
      </c>
      <c r="N21" s="7">
        <f ca="1">O21-(E21+F21-SUM(G21:M21))</f>
        <v>2.8421709430404007E-14</v>
      </c>
      <c r="O21" s="8">
        <f>SUMIF('1.5原材料在庫'!A:A,原材料SC明細!A21,'1.5原材料在庫'!D:D)</f>
        <v>-5.6843418860808015E-14</v>
      </c>
    </row>
    <row r="22" spans="1:15" x14ac:dyDescent="0.55000000000000004">
      <c r="A22" s="80"/>
      <c r="B22" s="80"/>
      <c r="C22" s="79"/>
      <c r="D22" s="9" t="s">
        <v>19</v>
      </c>
      <c r="E22" s="10">
        <v>-8.4820827105605467E-11</v>
      </c>
      <c r="F22" s="10">
        <f>F21*$C21</f>
        <v>274890</v>
      </c>
      <c r="G22" s="10">
        <f ca="1">G21*$C21</f>
        <v>232394.92753623187</v>
      </c>
      <c r="H22" s="10">
        <f t="shared" ref="H22" si="51">H21*$C21</f>
        <v>4426.5700483091787</v>
      </c>
      <c r="I22" s="10">
        <f t="shared" ref="I22" si="52">I21*$C21</f>
        <v>3319.927536231884</v>
      </c>
      <c r="J22" s="10">
        <f t="shared" ref="J22" si="53">J21*$C21</f>
        <v>0</v>
      </c>
      <c r="K22" s="10">
        <f t="shared" ref="K22" si="54">K21*$C21</f>
        <v>8631.8115942028999</v>
      </c>
      <c r="L22" s="10">
        <f t="shared" ref="L22" si="55">L21*$C21</f>
        <v>26116.763285024157</v>
      </c>
      <c r="M22" s="10">
        <f t="shared" ref="M22" si="56">M21*$C21</f>
        <v>0</v>
      </c>
      <c r="N22" s="11">
        <f t="shared" ref="N22" ca="1" si="57">IFERROR(N21/SUM($E21:$F21)*SUM($E22:$F22),"")</f>
        <v>3.1452671921593233E-11</v>
      </c>
      <c r="O22" s="10">
        <f>O21*$C21</f>
        <v>-6.2905343843186453E-11</v>
      </c>
    </row>
    <row r="23" spans="1:15" x14ac:dyDescent="0.55000000000000004">
      <c r="A23" s="80">
        <v>10</v>
      </c>
      <c r="B23" s="80" t="s">
        <v>28</v>
      </c>
      <c r="C23" s="78">
        <f>IFERROR(VLOOKUP(A23,'原料標準単価（貼付）'!B:E,3,FALSE),0)</f>
        <v>1088.1720430107528</v>
      </c>
      <c r="D23" s="12" t="s">
        <v>18</v>
      </c>
      <c r="E23" s="13">
        <v>1.7763568394002505E-15</v>
      </c>
      <c r="F23" s="6">
        <f>IFERROR(VLOOKUP(A23,'1.2①原材料受入'!A:E,3,FALSE),0)</f>
        <v>1162.5</v>
      </c>
      <c r="G23" s="6">
        <f ca="1">SUMIF('1.3②原材料使用'!C:E,A23,'1.3②原材料使用'!E:E)</f>
        <v>1050</v>
      </c>
      <c r="H23" s="6">
        <f>SUMIFS('1.4原材料(その他)'!E:E,'1.4原材料(その他)'!C:C,A:A,'1.4原材料(その他)'!H:H,H$3)</f>
        <v>3</v>
      </c>
      <c r="I23" s="6">
        <f>SUMIFS('1.4原材料(その他)'!E:E,'1.4原材料(その他)'!C:C,A:A,'1.4原材料(その他)'!H:H,I$3)</f>
        <v>15.34</v>
      </c>
      <c r="J23" s="6">
        <f>SUMIFS('1.4原材料(その他)'!E:E,'1.4原材料(その他)'!C:C,A:A,'1.4原材料(その他)'!H:H,J$3)</f>
        <v>38.799999999999997</v>
      </c>
      <c r="K23" s="6">
        <f>SUMIFS('1.4原材料(その他)'!E:E,'1.4原材料(その他)'!C:C,A:A,'1.4原材料(その他)'!H:H,K$3)</f>
        <v>6.34</v>
      </c>
      <c r="L23" s="6">
        <f>SUMIFS('1.4原材料(その他)'!E:E,'1.4原材料(その他)'!C:C,A:A,'1.4原材料(その他)'!H:H,L$3)</f>
        <v>27.7</v>
      </c>
      <c r="M23" s="6">
        <f>SUMIFS('1.4原材料(その他)'!E:E,'1.4原材料(その他)'!C:C,A:A,'1.4原材料(その他)'!H:H,M$3)</f>
        <v>21.32</v>
      </c>
      <c r="N23" s="7">
        <f ca="1">O23-(E23+F23-SUM(G23:M23))</f>
        <v>1.7763568394002505E-15</v>
      </c>
      <c r="O23" s="8">
        <f>SUMIF('1.5原材料在庫'!A:A,原材料SC明細!A23,'1.5原材料在庫'!D:D)</f>
        <v>2.2915003228263231E-13</v>
      </c>
    </row>
    <row r="24" spans="1:15" x14ac:dyDescent="0.55000000000000004">
      <c r="A24" s="80"/>
      <c r="B24" s="80"/>
      <c r="C24" s="79"/>
      <c r="D24" s="9" t="s">
        <v>19</v>
      </c>
      <c r="E24" s="10">
        <v>1.8045989172401534E-12</v>
      </c>
      <c r="F24" s="10">
        <f>F23*$C23</f>
        <v>1265000</v>
      </c>
      <c r="G24" s="10">
        <f ca="1">G23*$C23</f>
        <v>1142580.6451612904</v>
      </c>
      <c r="H24" s="10">
        <f t="shared" ref="H24" si="58">H23*$C23</f>
        <v>3264.5161290322585</v>
      </c>
      <c r="I24" s="10">
        <f t="shared" ref="I24" si="59">I23*$C23</f>
        <v>16692.559139784946</v>
      </c>
      <c r="J24" s="10">
        <f t="shared" ref="J24" si="60">J23*$C23</f>
        <v>42221.075268817207</v>
      </c>
      <c r="K24" s="10">
        <f t="shared" ref="K24" si="61">K23*$C23</f>
        <v>6899.010752688172</v>
      </c>
      <c r="L24" s="10">
        <f t="shared" ref="L24" si="62">L23*$C23</f>
        <v>30142.365591397851</v>
      </c>
      <c r="M24" s="10">
        <f t="shared" ref="M24" si="63">M23*$C23</f>
        <v>23199.827956989247</v>
      </c>
      <c r="N24" s="11">
        <f t="shared" ref="N24" ca="1" si="64">IFERROR(N23/SUM($E23:$F23)*SUM($E24:$F24),"")</f>
        <v>1.9329818510462942E-12</v>
      </c>
      <c r="O24" s="10">
        <f>O23*$C23</f>
        <v>2.4935465878497197E-10</v>
      </c>
    </row>
    <row r="25" spans="1:15" x14ac:dyDescent="0.55000000000000004">
      <c r="A25" s="80">
        <v>11</v>
      </c>
      <c r="B25" s="80" t="s">
        <v>29</v>
      </c>
      <c r="C25" s="78">
        <f>IFERROR(VLOOKUP(A25,'原料標準単価（貼付）'!B:E,3,FALSE),0)</f>
        <v>3806.4971751412431</v>
      </c>
      <c r="D25" s="12" t="s">
        <v>18</v>
      </c>
      <c r="E25" s="13">
        <v>45.820000000000022</v>
      </c>
      <c r="F25" s="6">
        <f>IFERROR(VLOOKUP(A25,'1.2①原材料受入'!A:E,3,FALSE),0)</f>
        <v>141.6</v>
      </c>
      <c r="G25" s="6">
        <f ca="1">SUMIF('1.3②原材料使用'!C:E,A25,'1.3②原材料使用'!E:E)</f>
        <v>168</v>
      </c>
      <c r="H25" s="6">
        <f>SUMIFS('1.4原材料(その他)'!E:E,'1.4原材料(その他)'!C:C,A:A,'1.4原材料(その他)'!H:H,H$3)</f>
        <v>2.1</v>
      </c>
      <c r="I25" s="6">
        <f>SUMIFS('1.4原材料(その他)'!E:E,'1.4原材料(その他)'!C:C,A:A,'1.4原材料(その他)'!H:H,I$3)</f>
        <v>0</v>
      </c>
      <c r="J25" s="6">
        <f>SUMIFS('1.4原材料(その他)'!E:E,'1.4原材料(その他)'!C:C,A:A,'1.4原材料(その他)'!H:H,J$3)</f>
        <v>0</v>
      </c>
      <c r="K25" s="6">
        <f>SUMIFS('1.4原材料(その他)'!E:E,'1.4原材料(その他)'!C:C,A:A,'1.4原材料(その他)'!H:H,K$3)</f>
        <v>9.8000000000000007</v>
      </c>
      <c r="L25" s="6">
        <f>SUMIFS('1.4原材料(その他)'!E:E,'1.4原材料(その他)'!C:C,A:A,'1.4原材料(その他)'!H:H,L$3)</f>
        <v>0.21</v>
      </c>
      <c r="M25" s="6">
        <f>SUMIFS('1.4原材料(その他)'!E:E,'1.4原材料(その他)'!C:C,A:A,'1.4原材料(その他)'!H:H,M$3)</f>
        <v>-0.58999999999999986</v>
      </c>
      <c r="N25" s="7">
        <f ca="1">O25-(E25+F25-SUM(G25:M25))</f>
        <v>2.3092638912203256E-14</v>
      </c>
      <c r="O25" s="8">
        <f>SUMIF('1.5原材料在庫'!A:A,原材料SC明細!A25,'1.5原材料在庫'!D:D)</f>
        <v>7.9000000000000288</v>
      </c>
    </row>
    <row r="26" spans="1:15" x14ac:dyDescent="0.55000000000000004">
      <c r="A26" s="80"/>
      <c r="B26" s="80"/>
      <c r="C26" s="79"/>
      <c r="D26" s="9" t="s">
        <v>19</v>
      </c>
      <c r="E26" s="10">
        <v>140990.42747603214</v>
      </c>
      <c r="F26" s="10">
        <f>F25*$C25</f>
        <v>539000</v>
      </c>
      <c r="G26" s="10">
        <f ca="1">G25*$C25</f>
        <v>639491.52542372886</v>
      </c>
      <c r="H26" s="10">
        <f t="shared" ref="H26" si="65">H25*$C25</f>
        <v>7993.6440677966111</v>
      </c>
      <c r="I26" s="10">
        <f t="shared" ref="I26" si="66">I25*$C25</f>
        <v>0</v>
      </c>
      <c r="J26" s="10">
        <f t="shared" ref="J26" si="67">J25*$C25</f>
        <v>0</v>
      </c>
      <c r="K26" s="10">
        <f t="shared" ref="K26" si="68">K25*$C25</f>
        <v>37303.672316384189</v>
      </c>
      <c r="L26" s="10">
        <f t="shared" ref="L26" si="69">L25*$C25</f>
        <v>799.36440677966107</v>
      </c>
      <c r="M26" s="10">
        <f t="shared" ref="M26" si="70">M25*$C25</f>
        <v>-2245.833333333333</v>
      </c>
      <c r="N26" s="11">
        <f t="shared" ref="N26" ca="1" si="71">IFERROR(N25/SUM($E25:$F25)*SUM($E26:$F26),"")</f>
        <v>8.3783872614762266E-11</v>
      </c>
      <c r="O26" s="10">
        <f>O25*$C25</f>
        <v>30071.327683615931</v>
      </c>
    </row>
    <row r="27" spans="1:15" x14ac:dyDescent="0.55000000000000004">
      <c r="A27" s="80">
        <v>12</v>
      </c>
      <c r="B27" s="80" t="s">
        <v>30</v>
      </c>
      <c r="C27" s="78">
        <f>IFERROR(VLOOKUP(A27,'原料標準単価（貼付）'!B:E,3,FALSE),0)</f>
        <v>0</v>
      </c>
      <c r="D27" s="12" t="s">
        <v>18</v>
      </c>
      <c r="E27" s="13">
        <v>4.4580000000000002</v>
      </c>
      <c r="F27" s="6">
        <f>IFERROR(VLOOKUP(A27,'1.2①原材料受入'!A:E,3,FALSE),0)</f>
        <v>16.600000000000001</v>
      </c>
      <c r="G27" s="6">
        <f ca="1">SUMIF('1.3②原材料使用'!C:E,A27,'1.3②原材料使用'!E:E)</f>
        <v>6.3</v>
      </c>
      <c r="H27" s="6">
        <f>SUMIFS('1.4原材料(その他)'!E:E,'1.4原材料(その他)'!C:C,A:A,'1.4原材料(その他)'!H:H,H$3)</f>
        <v>2.1</v>
      </c>
      <c r="I27" s="6">
        <f>SUMIFS('1.4原材料(その他)'!E:E,'1.4原材料(その他)'!C:C,A:A,'1.4原材料(その他)'!H:H,I$3)</f>
        <v>0</v>
      </c>
      <c r="J27" s="6">
        <f>SUMIFS('1.4原材料(その他)'!E:E,'1.4原材料(その他)'!C:C,A:A,'1.4原材料(その他)'!H:H,J$3)</f>
        <v>0</v>
      </c>
      <c r="K27" s="6">
        <f>SUMIFS('1.4原材料(その他)'!E:E,'1.4原材料(その他)'!C:C,A:A,'1.4原材料(その他)'!H:H,K$3)</f>
        <v>5.28</v>
      </c>
      <c r="L27" s="6">
        <f>SUMIFS('1.4原材料(その他)'!E:E,'1.4原材料(その他)'!C:C,A:A,'1.4原材料(その他)'!H:H,L$3)</f>
        <v>6.6000000000000005</v>
      </c>
      <c r="M27" s="6">
        <f>SUMIFS('1.4原材料(その他)'!E:E,'1.4原材料(その他)'!C:C,A:A,'1.4原材料(その他)'!H:H,M$3)</f>
        <v>0.72</v>
      </c>
      <c r="N27" s="7">
        <f ca="1">O27-(E27+F27-SUM(G27:M27))</f>
        <v>-5.7999999999999829E-2</v>
      </c>
      <c r="O27" s="8">
        <f>SUMIF('1.5原材料在庫'!A:A,原材料SC明細!A27,'1.5原材料在庫'!D:D)</f>
        <v>0</v>
      </c>
    </row>
    <row r="28" spans="1:15" x14ac:dyDescent="0.55000000000000004">
      <c r="A28" s="80"/>
      <c r="B28" s="80"/>
      <c r="C28" s="79"/>
      <c r="D28" s="9" t="s">
        <v>19</v>
      </c>
      <c r="E28" s="10">
        <v>116.51141405178674</v>
      </c>
      <c r="F28" s="10">
        <f>F27*$C27</f>
        <v>0</v>
      </c>
      <c r="G28" s="10">
        <f ca="1">G27*$C27</f>
        <v>0</v>
      </c>
      <c r="H28" s="10">
        <f t="shared" ref="H28" si="72">H27*$C27</f>
        <v>0</v>
      </c>
      <c r="I28" s="10">
        <f t="shared" ref="I28" si="73">I27*$C27</f>
        <v>0</v>
      </c>
      <c r="J28" s="10">
        <f t="shared" ref="J28" si="74">J27*$C27</f>
        <v>0</v>
      </c>
      <c r="K28" s="10">
        <f t="shared" ref="K28" si="75">K27*$C27</f>
        <v>0</v>
      </c>
      <c r="L28" s="10">
        <f t="shared" ref="L28" si="76">L27*$C27</f>
        <v>0</v>
      </c>
      <c r="M28" s="10">
        <f t="shared" ref="M28" si="77">M27*$C27</f>
        <v>0</v>
      </c>
      <c r="N28" s="11">
        <f t="shared" ref="N28" ca="1" si="78">IFERROR(N27/SUM($E27:$F27)*SUM($E28:$F28),"")</f>
        <v>-0.32090711439849989</v>
      </c>
      <c r="O28" s="10">
        <f>O27*$C27</f>
        <v>0</v>
      </c>
    </row>
    <row r="29" spans="1:15" x14ac:dyDescent="0.55000000000000004">
      <c r="A29" s="80">
        <v>13</v>
      </c>
      <c r="B29" s="80" t="s">
        <v>31</v>
      </c>
      <c r="C29" s="78">
        <f>IFERROR(VLOOKUP(A29,'原料標準単価（貼付）'!B:E,3,FALSE),0)</f>
        <v>0</v>
      </c>
      <c r="D29" s="12" t="s">
        <v>18</v>
      </c>
      <c r="E29" s="13">
        <v>-5.6843418860808015E-14</v>
      </c>
      <c r="F29" s="6">
        <f>IFERROR(VLOOKUP(A29,'1.2①原材料受入'!A:E,3,FALSE),0)</f>
        <v>673.4</v>
      </c>
      <c r="G29" s="6">
        <f ca="1">SUMIF('1.3②原材料使用'!C:E,A29,'1.3②原材料使用'!E:E)</f>
        <v>600</v>
      </c>
      <c r="H29" s="6">
        <f>SUMIFS('1.4原材料(その他)'!E:E,'1.4原材料(その他)'!C:C,A:A,'1.4原材料(その他)'!H:H,H$3)</f>
        <v>4</v>
      </c>
      <c r="I29" s="6">
        <f>SUMIFS('1.4原材料(その他)'!E:E,'1.4原材料(その他)'!C:C,A:A,'1.4原材料(その他)'!H:H,I$3)</f>
        <v>0</v>
      </c>
      <c r="J29" s="6">
        <f>SUMIFS('1.4原材料(その他)'!E:E,'1.4原材料(その他)'!C:C,A:A,'1.4原材料(その他)'!H:H,J$3)</f>
        <v>0</v>
      </c>
      <c r="K29" s="6">
        <f>SUMIFS('1.4原材料(その他)'!E:E,'1.4原材料(その他)'!C:C,A:A,'1.4原材料(その他)'!H:H,K$3)</f>
        <v>0</v>
      </c>
      <c r="L29" s="6">
        <f>SUMIFS('1.4原材料(その他)'!E:E,'1.4原材料(その他)'!C:C,A:A,'1.4原材料(その他)'!H:H,L$3)</f>
        <v>31.5</v>
      </c>
      <c r="M29" s="6">
        <f>SUMIFS('1.4原材料(その他)'!E:E,'1.4原材料(その他)'!C:C,A:A,'1.4原材料(その他)'!H:H,M$3)</f>
        <v>37.900000000000006</v>
      </c>
      <c r="N29" s="7">
        <f ca="1">O29-(E29+F29-SUM(G29:M29))</f>
        <v>1.1368683772161603E-13</v>
      </c>
      <c r="O29" s="8">
        <f>SUMIF('1.5原材料在庫'!A:A,原材料SC明細!A29,'1.5原材料在庫'!D:D)</f>
        <v>0</v>
      </c>
    </row>
    <row r="30" spans="1:15" x14ac:dyDescent="0.55000000000000004">
      <c r="A30" s="80"/>
      <c r="B30" s="80"/>
      <c r="C30" s="79"/>
      <c r="D30" s="9" t="s">
        <v>19</v>
      </c>
      <c r="E30" s="10">
        <v>0</v>
      </c>
      <c r="F30" s="10">
        <f>F29*$C29</f>
        <v>0</v>
      </c>
      <c r="G30" s="10">
        <f ca="1">G29*$C29</f>
        <v>0</v>
      </c>
      <c r="H30" s="10">
        <f t="shared" ref="H30" si="79">H29*$C29</f>
        <v>0</v>
      </c>
      <c r="I30" s="10">
        <f t="shared" ref="I30" si="80">I29*$C29</f>
        <v>0</v>
      </c>
      <c r="J30" s="10">
        <f t="shared" ref="J30" si="81">J29*$C29</f>
        <v>0</v>
      </c>
      <c r="K30" s="10">
        <f t="shared" ref="K30" si="82">K29*$C29</f>
        <v>0</v>
      </c>
      <c r="L30" s="10">
        <f t="shared" ref="L30" si="83">L29*$C29</f>
        <v>0</v>
      </c>
      <c r="M30" s="10">
        <f t="shared" ref="M30" si="84">M29*$C29</f>
        <v>0</v>
      </c>
      <c r="N30" s="11">
        <f t="shared" ref="N30" ca="1" si="85">IFERROR(N29/SUM($E29:$F29)*SUM($E30:$F30),"")</f>
        <v>0</v>
      </c>
      <c r="O30" s="10">
        <f>O29*$C29</f>
        <v>0</v>
      </c>
    </row>
    <row r="31" spans="1:15" x14ac:dyDescent="0.55000000000000004">
      <c r="A31" s="80">
        <v>14</v>
      </c>
      <c r="B31" s="80" t="s">
        <v>32</v>
      </c>
      <c r="C31" s="78">
        <f>IFERROR(VLOOKUP(A31,'原料標準単価（貼付）'!B:E,3,FALSE),0)</f>
        <v>0</v>
      </c>
      <c r="D31" s="12" t="s">
        <v>18</v>
      </c>
      <c r="E31" s="13">
        <v>2.1316282072803006E-14</v>
      </c>
      <c r="F31" s="6">
        <f>IFERROR(VLOOKUP(A31,'1.2①原材料受入'!A:E,3,FALSE),0)</f>
        <v>1510.5</v>
      </c>
      <c r="G31" s="6">
        <f ca="1">SUMIF('1.3②原材料使用'!C:E,A31,'1.3②原材料使用'!E:E)</f>
        <v>1411.1999999999998</v>
      </c>
      <c r="H31" s="6">
        <f>SUMIFS('1.4原材料(その他)'!E:E,'1.4原材料(その他)'!C:C,A:A,'1.4原材料(その他)'!H:H,H$3)</f>
        <v>4</v>
      </c>
      <c r="I31" s="6">
        <f>SUMIFS('1.4原材料(その他)'!E:E,'1.4原材料(その他)'!C:C,A:A,'1.4原材料(その他)'!H:H,I$3)</f>
        <v>0</v>
      </c>
      <c r="J31" s="6">
        <f>SUMIFS('1.4原材料(その他)'!E:E,'1.4原材料(その他)'!C:C,A:A,'1.4原材料(その他)'!H:H,J$3)</f>
        <v>0</v>
      </c>
      <c r="K31" s="6">
        <f>SUMIFS('1.4原材料(その他)'!E:E,'1.4原材料(その他)'!C:C,A:A,'1.4原材料(その他)'!H:H,K$3)</f>
        <v>0</v>
      </c>
      <c r="L31" s="6">
        <f>SUMIFS('1.4原材料(その他)'!E:E,'1.4原材料(その他)'!C:C,A:A,'1.4原材料(その他)'!H:H,L$3)</f>
        <v>60.9</v>
      </c>
      <c r="M31" s="6">
        <f>SUMIFS('1.4原材料(その他)'!E:E,'1.4原材料(その他)'!C:C,A:A,'1.4原材料(その他)'!H:H,M$3)</f>
        <v>34.4</v>
      </c>
      <c r="N31" s="7">
        <f ca="1">O31-(E31+F31-SUM(G31:M31))</f>
        <v>1.3500311979441904E-13</v>
      </c>
      <c r="O31" s="8">
        <f>SUMIF('1.5原材料在庫'!A:A,原材料SC明細!A31,'1.5原材料在庫'!D:D)</f>
        <v>1.3500311979441904E-13</v>
      </c>
    </row>
    <row r="32" spans="1:15" x14ac:dyDescent="0.55000000000000004">
      <c r="A32" s="80"/>
      <c r="B32" s="80"/>
      <c r="C32" s="79"/>
      <c r="D32" s="9" t="s">
        <v>19</v>
      </c>
      <c r="E32" s="10">
        <v>0</v>
      </c>
      <c r="F32" s="10">
        <f>F31*$C31</f>
        <v>0</v>
      </c>
      <c r="G32" s="10">
        <f ca="1">G31*$C31</f>
        <v>0</v>
      </c>
      <c r="H32" s="10">
        <f t="shared" ref="H32" si="86">H31*$C31</f>
        <v>0</v>
      </c>
      <c r="I32" s="10">
        <f t="shared" ref="I32" si="87">I31*$C31</f>
        <v>0</v>
      </c>
      <c r="J32" s="10">
        <f t="shared" ref="J32" si="88">J31*$C31</f>
        <v>0</v>
      </c>
      <c r="K32" s="10">
        <f t="shared" ref="K32" si="89">K31*$C31</f>
        <v>0</v>
      </c>
      <c r="L32" s="10">
        <f t="shared" ref="L32" si="90">L31*$C31</f>
        <v>0</v>
      </c>
      <c r="M32" s="10">
        <f t="shared" ref="M32" si="91">M31*$C31</f>
        <v>0</v>
      </c>
      <c r="N32" s="11">
        <f t="shared" ref="N32" ca="1" si="92">IFERROR(N31/SUM($E31:$F31)*SUM($E32:$F32),"")</f>
        <v>0</v>
      </c>
      <c r="O32" s="10">
        <f>O31*$C31</f>
        <v>0</v>
      </c>
    </row>
    <row r="33" spans="1:15" x14ac:dyDescent="0.55000000000000004">
      <c r="A33" s="80">
        <v>15</v>
      </c>
      <c r="B33" s="80" t="s">
        <v>33</v>
      </c>
      <c r="C33" s="78">
        <f>IFERROR(VLOOKUP(A33,'原料標準単価（貼付）'!B:E,3,FALSE),0)</f>
        <v>0</v>
      </c>
      <c r="D33" s="12" t="s">
        <v>18</v>
      </c>
      <c r="E33" s="13">
        <v>-1.0444978215673473E-12</v>
      </c>
      <c r="F33" s="6">
        <f>IFERROR(VLOOKUP(A33,'1.2①原材料受入'!A:E,3,FALSE),0)</f>
        <v>3933.3</v>
      </c>
      <c r="G33" s="6">
        <f ca="1">SUMIF('1.3②原材料使用'!C:E,A33,'1.3②原材料使用'!E:E)</f>
        <v>3835.2000000000007</v>
      </c>
      <c r="H33" s="6">
        <f>SUMIFS('1.4原材料(その他)'!E:E,'1.4原材料(その他)'!C:C,A:A,'1.4原材料(その他)'!H:H,H$3)</f>
        <v>4</v>
      </c>
      <c r="I33" s="6">
        <f>SUMIFS('1.4原材料(その他)'!E:E,'1.4原材料(その他)'!C:C,A:A,'1.4原材料(その他)'!H:H,I$3)</f>
        <v>0</v>
      </c>
      <c r="J33" s="6">
        <f>SUMIFS('1.4原材料(その他)'!E:E,'1.4原材料(その他)'!C:C,A:A,'1.4原材料(その他)'!H:H,J$3)</f>
        <v>0</v>
      </c>
      <c r="K33" s="6">
        <f>SUMIFS('1.4原材料(その他)'!E:E,'1.4原材料(その他)'!C:C,A:A,'1.4原材料(その他)'!H:H,K$3)</f>
        <v>0</v>
      </c>
      <c r="L33" s="6">
        <f>SUMIFS('1.4原材料(その他)'!E:E,'1.4原材料(その他)'!C:C,A:A,'1.4原材料(その他)'!H:H,L$3)</f>
        <v>30.24</v>
      </c>
      <c r="M33" s="6">
        <f>SUMIFS('1.4原材料(その他)'!E:E,'1.4原材料(その他)'!C:C,A:A,'1.4原材料(その他)'!H:H,M$3)</f>
        <v>63.86</v>
      </c>
      <c r="N33" s="7">
        <f ca="1">O33-(E33+F33-SUM(G33:M33))</f>
        <v>7.1764816311770119E-13</v>
      </c>
      <c r="O33" s="8">
        <f>SUMIF('1.5原材料在庫'!A:A,原材料SC明細!A33,'1.5原材料在庫'!D:D)</f>
        <v>-6.4659388954169117E-13</v>
      </c>
    </row>
    <row r="34" spans="1:15" x14ac:dyDescent="0.55000000000000004">
      <c r="A34" s="80"/>
      <c r="B34" s="80"/>
      <c r="C34" s="79"/>
      <c r="D34" s="9" t="s">
        <v>19</v>
      </c>
      <c r="E34" s="10">
        <v>-2.1750925494303525E-12</v>
      </c>
      <c r="F34" s="10">
        <f>F33*$C33</f>
        <v>0</v>
      </c>
      <c r="G34" s="10">
        <f ca="1">G33*$C33</f>
        <v>0</v>
      </c>
      <c r="H34" s="10">
        <f t="shared" ref="H34" si="93">H33*$C33</f>
        <v>0</v>
      </c>
      <c r="I34" s="10">
        <f t="shared" ref="I34" si="94">I33*$C33</f>
        <v>0</v>
      </c>
      <c r="J34" s="10">
        <f t="shared" ref="J34" si="95">J33*$C33</f>
        <v>0</v>
      </c>
      <c r="K34" s="10">
        <f t="shared" ref="K34" si="96">K33*$C33</f>
        <v>0</v>
      </c>
      <c r="L34" s="10">
        <f t="shared" ref="L34" si="97">L33*$C33</f>
        <v>0</v>
      </c>
      <c r="M34" s="10">
        <f t="shared" ref="M34" si="98">M33*$C33</f>
        <v>0</v>
      </c>
      <c r="N34" s="11">
        <f t="shared" ref="N34" ca="1" si="99">IFERROR(N33/SUM($E33:$F33)*SUM($E34:$F34),"")</f>
        <v>-3.9685535624277081E-28</v>
      </c>
      <c r="O34" s="10">
        <f>O33*$C33</f>
        <v>0</v>
      </c>
    </row>
    <row r="35" spans="1:15" x14ac:dyDescent="0.55000000000000004">
      <c r="A35" s="80">
        <v>16</v>
      </c>
      <c r="B35" s="80" t="s">
        <v>34</v>
      </c>
      <c r="C35" s="78">
        <f>IFERROR(VLOOKUP(A35,'原料標準単価（貼付）'!B:E,3,FALSE),0)</f>
        <v>0</v>
      </c>
      <c r="D35" s="12" t="s">
        <v>18</v>
      </c>
      <c r="E35" s="13">
        <v>8.8817841970012523E-14</v>
      </c>
      <c r="F35" s="6">
        <f>IFERROR(VLOOKUP(A35,'1.2①原材料受入'!A:E,3,FALSE),0)</f>
        <v>111.80000000000001</v>
      </c>
      <c r="G35" s="6">
        <f ca="1">SUMIF('1.3②原材料使用'!C:E,A35,'1.3②原材料使用'!E:E)</f>
        <v>100.80000000000001</v>
      </c>
      <c r="H35" s="6">
        <f>SUMIFS('1.4原材料(その他)'!E:E,'1.4原材料(その他)'!C:C,A:A,'1.4原材料(その他)'!H:H,H$3)</f>
        <v>4</v>
      </c>
      <c r="I35" s="6">
        <f>SUMIFS('1.4原材料(その他)'!E:E,'1.4原材料(その他)'!C:C,A:A,'1.4原材料(その他)'!H:H,I$3)</f>
        <v>0</v>
      </c>
      <c r="J35" s="6">
        <f>SUMIFS('1.4原材料(その他)'!E:E,'1.4原材料(その他)'!C:C,A:A,'1.4原材料(その他)'!H:H,J$3)</f>
        <v>0</v>
      </c>
      <c r="K35" s="6">
        <f>SUMIFS('1.4原材料(その他)'!E:E,'1.4原材料(その他)'!C:C,A:A,'1.4原材料(その他)'!H:H,K$3)</f>
        <v>0</v>
      </c>
      <c r="L35" s="6">
        <f>SUMIFS('1.4原材料(その他)'!E:E,'1.4原材料(その他)'!C:C,A:A,'1.4原材料(その他)'!H:H,L$3)</f>
        <v>5.0999999999999996</v>
      </c>
      <c r="M35" s="6">
        <f>SUMIFS('1.4原材料(その他)'!E:E,'1.4原材料(その他)'!C:C,A:A,'1.4原材料(その他)'!H:H,M$3)</f>
        <v>1.9000000000000004</v>
      </c>
      <c r="N35" s="7">
        <f ca="1">O35-(E35+F35-SUM(G35:M35))</f>
        <v>2.4868995751603507E-14</v>
      </c>
      <c r="O35" s="8">
        <f>SUMIF('1.5原材料在庫'!A:A,原材料SC明細!A35,'1.5原材料在庫'!D:D)</f>
        <v>1.1013412404281553E-13</v>
      </c>
    </row>
    <row r="36" spans="1:15" x14ac:dyDescent="0.55000000000000004">
      <c r="A36" s="80"/>
      <c r="B36" s="80"/>
      <c r="C36" s="79"/>
      <c r="D36" s="9" t="s">
        <v>19</v>
      </c>
      <c r="E36" s="10">
        <v>0</v>
      </c>
      <c r="F36" s="10">
        <f>F35*$C35</f>
        <v>0</v>
      </c>
      <c r="G36" s="10">
        <f ca="1">G35*$C35</f>
        <v>0</v>
      </c>
      <c r="H36" s="10">
        <f t="shared" ref="H36" si="100">H35*$C35</f>
        <v>0</v>
      </c>
      <c r="I36" s="10">
        <f t="shared" ref="I36" si="101">I35*$C35</f>
        <v>0</v>
      </c>
      <c r="J36" s="10">
        <f t="shared" ref="J36" si="102">J35*$C35</f>
        <v>0</v>
      </c>
      <c r="K36" s="10">
        <f t="shared" ref="K36" si="103">K35*$C35</f>
        <v>0</v>
      </c>
      <c r="L36" s="10">
        <f t="shared" ref="L36" si="104">L35*$C35</f>
        <v>0</v>
      </c>
      <c r="M36" s="10">
        <f t="shared" ref="M36" si="105">M35*$C35</f>
        <v>0</v>
      </c>
      <c r="N36" s="11">
        <f t="shared" ref="N36" ca="1" si="106">IFERROR(N35/SUM($E35:$F35)*SUM($E36:$F36),"")</f>
        <v>0</v>
      </c>
      <c r="O36" s="10">
        <f>O35*$C35</f>
        <v>0</v>
      </c>
    </row>
    <row r="37" spans="1:15" x14ac:dyDescent="0.55000000000000004">
      <c r="A37" s="80">
        <v>17</v>
      </c>
      <c r="B37" s="80" t="s">
        <v>35</v>
      </c>
      <c r="C37" s="78">
        <f>IFERROR(VLOOKUP(A37,'原料標準単価（貼付）'!B:E,3,FALSE),0)</f>
        <v>0</v>
      </c>
      <c r="D37" s="12" t="s">
        <v>18</v>
      </c>
      <c r="E37" s="13">
        <v>8.5265128291212022E-14</v>
      </c>
      <c r="F37" s="6">
        <f>IFERROR(VLOOKUP(A37,'1.2①原材料受入'!A:E,3,FALSE),0)</f>
        <v>222</v>
      </c>
      <c r="G37" s="6">
        <f ca="1">SUMIF('1.3②原材料使用'!C:E,A37,'1.3②原材料使用'!E:E)</f>
        <v>201.60000000000002</v>
      </c>
      <c r="H37" s="6">
        <f>SUMIFS('1.4原材料(その他)'!E:E,'1.4原材料(その他)'!C:C,A:A,'1.4原材料(その他)'!H:H,H$3)</f>
        <v>2</v>
      </c>
      <c r="I37" s="6">
        <f>SUMIFS('1.4原材料(その他)'!E:E,'1.4原材料(その他)'!C:C,A:A,'1.4原材料(その他)'!H:H,I$3)</f>
        <v>0</v>
      </c>
      <c r="J37" s="6">
        <f>SUMIFS('1.4原材料(その他)'!E:E,'1.4原材料(その他)'!C:C,A:A,'1.4原材料(その他)'!H:H,J$3)</f>
        <v>0</v>
      </c>
      <c r="K37" s="6">
        <f>SUMIFS('1.4原材料(その他)'!E:E,'1.4原材料(その他)'!C:C,A:A,'1.4原材料(その他)'!H:H,K$3)</f>
        <v>0</v>
      </c>
      <c r="L37" s="6">
        <f>SUMIFS('1.4原材料(その他)'!E:E,'1.4原材料(その他)'!C:C,A:A,'1.4原材料(その他)'!H:H,L$3)</f>
        <v>15.3</v>
      </c>
      <c r="M37" s="6">
        <f>SUMIFS('1.4原材料(その他)'!E:E,'1.4原材料(その他)'!C:C,A:A,'1.4原材料(その他)'!H:H,M$3)</f>
        <v>3.1</v>
      </c>
      <c r="N37" s="7">
        <f ca="1">O37-(E37+F37-SUM(G37:M37))</f>
        <v>0</v>
      </c>
      <c r="O37" s="8">
        <f>SUMIF('1.5原材料在庫'!A:A,原材料SC明細!A37,'1.5原材料在庫'!D:D)</f>
        <v>5.6843418860808015E-14</v>
      </c>
    </row>
    <row r="38" spans="1:15" x14ac:dyDescent="0.55000000000000004">
      <c r="A38" s="80"/>
      <c r="B38" s="80"/>
      <c r="C38" s="79"/>
      <c r="D38" s="9" t="s">
        <v>19</v>
      </c>
      <c r="E38" s="10">
        <v>1.5935112710484484E-13</v>
      </c>
      <c r="F38" s="10">
        <f>F37*$C37</f>
        <v>0</v>
      </c>
      <c r="G38" s="10">
        <f ca="1">G37*$C37</f>
        <v>0</v>
      </c>
      <c r="H38" s="10">
        <f t="shared" ref="H38" si="107">H37*$C37</f>
        <v>0</v>
      </c>
      <c r="I38" s="10">
        <f t="shared" ref="I38" si="108">I37*$C37</f>
        <v>0</v>
      </c>
      <c r="J38" s="10">
        <f t="shared" ref="J38" si="109">J37*$C37</f>
        <v>0</v>
      </c>
      <c r="K38" s="10">
        <f t="shared" ref="K38" si="110">K37*$C37</f>
        <v>0</v>
      </c>
      <c r="L38" s="10">
        <f t="shared" ref="L38" si="111">L37*$C37</f>
        <v>0</v>
      </c>
      <c r="M38" s="10">
        <f t="shared" ref="M38" si="112">M37*$C37</f>
        <v>0</v>
      </c>
      <c r="N38" s="11">
        <f t="shared" ref="N38" ca="1" si="113">IFERROR(N37/SUM($E37:$F37)*SUM($E38:$F38),"")</f>
        <v>0</v>
      </c>
      <c r="O38" s="10">
        <f>O37*$C37</f>
        <v>0</v>
      </c>
    </row>
    <row r="39" spans="1:15" x14ac:dyDescent="0.55000000000000004">
      <c r="A39" s="80">
        <v>18</v>
      </c>
      <c r="B39" s="80" t="s">
        <v>36</v>
      </c>
      <c r="C39" s="78">
        <f>IFERROR(VLOOKUP(A39,'原料標準単価（貼付）'!B:E,3,FALSE),0)</f>
        <v>0</v>
      </c>
      <c r="D39" s="12" t="s">
        <v>18</v>
      </c>
      <c r="E39" s="13">
        <v>0</v>
      </c>
      <c r="F39" s="6">
        <f>IFERROR(VLOOKUP(A39,'1.2①原材料受入'!A:E,3,FALSE),0)</f>
        <v>25.1</v>
      </c>
      <c r="G39" s="6">
        <f ca="1">SUMIF('1.3②原材料使用'!C:E,A39,'1.3②原材料使用'!E:E)</f>
        <v>20.159999999999997</v>
      </c>
      <c r="H39" s="6">
        <f>SUMIFS('1.4原材料(その他)'!E:E,'1.4原材料(その他)'!C:C,A:A,'1.4原材料(その他)'!H:H,H$3)</f>
        <v>2</v>
      </c>
      <c r="I39" s="6">
        <f>SUMIFS('1.4原材料(その他)'!E:E,'1.4原材料(その他)'!C:C,A:A,'1.4原材料(その他)'!H:H,I$3)</f>
        <v>0</v>
      </c>
      <c r="J39" s="6">
        <f>SUMIFS('1.4原材料(その他)'!E:E,'1.4原材料(その他)'!C:C,A:A,'1.4原材料(その他)'!H:H,J$3)</f>
        <v>0</v>
      </c>
      <c r="K39" s="6">
        <f>SUMIFS('1.4原材料(その他)'!E:E,'1.4原材料(その他)'!C:C,A:A,'1.4原材料(その他)'!H:H,K$3)</f>
        <v>0</v>
      </c>
      <c r="L39" s="6">
        <f>SUMIFS('1.4原材料(その他)'!E:E,'1.4原材料(その他)'!C:C,A:A,'1.4原材料(その他)'!H:H,L$3)</f>
        <v>2.4</v>
      </c>
      <c r="M39" s="6">
        <f>SUMIFS('1.4原材料(その他)'!E:E,'1.4原材料(その他)'!C:C,A:A,'1.4原材料(その他)'!H:H,M$3)</f>
        <v>0.53999999999999981</v>
      </c>
      <c r="N39" s="7">
        <f ca="1">O39-(E39+F39-SUM(G39:M39))</f>
        <v>-3.5527136788005009E-15</v>
      </c>
      <c r="O39" s="8">
        <f>SUMIF('1.5原材料在庫'!A:A,原材料SC明細!A39,'1.5原材料在庫'!D:D)</f>
        <v>3.5527136788005009E-15</v>
      </c>
    </row>
    <row r="40" spans="1:15" x14ac:dyDescent="0.55000000000000004">
      <c r="A40" s="80"/>
      <c r="B40" s="80"/>
      <c r="C40" s="79"/>
      <c r="D40" s="9" t="s">
        <v>19</v>
      </c>
      <c r="E40" s="10">
        <v>0</v>
      </c>
      <c r="F40" s="10">
        <f>F39*$C39</f>
        <v>0</v>
      </c>
      <c r="G40" s="10">
        <f ca="1">G39*$C39</f>
        <v>0</v>
      </c>
      <c r="H40" s="10">
        <f t="shared" ref="H40" si="114">H39*$C39</f>
        <v>0</v>
      </c>
      <c r="I40" s="10">
        <f t="shared" ref="I40" si="115">I39*$C39</f>
        <v>0</v>
      </c>
      <c r="J40" s="10">
        <f t="shared" ref="J40" si="116">J39*$C39</f>
        <v>0</v>
      </c>
      <c r="K40" s="10">
        <f t="shared" ref="K40" si="117">K39*$C39</f>
        <v>0</v>
      </c>
      <c r="L40" s="10">
        <f t="shared" ref="L40" si="118">L39*$C39</f>
        <v>0</v>
      </c>
      <c r="M40" s="10">
        <f t="shared" ref="M40" si="119">M39*$C39</f>
        <v>0</v>
      </c>
      <c r="N40" s="11">
        <f t="shared" ref="N40" ca="1" si="120">IFERROR(N39/SUM($E39:$F39)*SUM($E40:$F40),"")</f>
        <v>0</v>
      </c>
      <c r="O40" s="10">
        <f>O39*$C39</f>
        <v>0</v>
      </c>
    </row>
    <row r="41" spans="1:15" x14ac:dyDescent="0.55000000000000004">
      <c r="A41" s="80">
        <v>19</v>
      </c>
      <c r="B41" s="80" t="s">
        <v>37</v>
      </c>
      <c r="C41" s="78">
        <f>IFERROR(VLOOKUP(A41,'原料標準単価（貼付）'!B:E,3,FALSE),0)</f>
        <v>0</v>
      </c>
      <c r="D41" s="12" t="s">
        <v>18</v>
      </c>
      <c r="E41" s="13">
        <v>7.1054273576010019E-15</v>
      </c>
      <c r="F41" s="6">
        <f>IFERROR(VLOOKUP(A41,'1.2①原材料受入'!A:E,3,FALSE),0)</f>
        <v>30</v>
      </c>
      <c r="G41" s="6">
        <f ca="1">SUMIF('1.3②原材料使用'!C:E,A41,'1.3②原材料使用'!E:E)</f>
        <v>20.159999999999997</v>
      </c>
      <c r="H41" s="6">
        <f>SUMIFS('1.4原材料(その他)'!E:E,'1.4原材料(その他)'!C:C,A:A,'1.4原材料(その他)'!H:H,H$3)</f>
        <v>2</v>
      </c>
      <c r="I41" s="6">
        <f>SUMIFS('1.4原材料(その他)'!E:E,'1.4原材料(その他)'!C:C,A:A,'1.4原材料(その他)'!H:H,I$3)</f>
        <v>0</v>
      </c>
      <c r="J41" s="6">
        <f>SUMIFS('1.4原材料(その他)'!E:E,'1.4原材料(その他)'!C:C,A:A,'1.4原材料(その他)'!H:H,J$3)</f>
        <v>0</v>
      </c>
      <c r="K41" s="6">
        <f>SUMIFS('1.4原材料(その他)'!E:E,'1.4原材料(その他)'!C:C,A:A,'1.4原材料(その他)'!H:H,K$3)</f>
        <v>0</v>
      </c>
      <c r="L41" s="6">
        <f>SUMIFS('1.4原材料(その他)'!E:E,'1.4原材料(その他)'!C:C,A:A,'1.4原材料(その他)'!H:H,L$3)</f>
        <v>8.1</v>
      </c>
      <c r="M41" s="6">
        <f>SUMIFS('1.4原材料(その他)'!E:E,'1.4原材料(その他)'!C:C,A:A,'1.4原材料(その他)'!H:H,M$3)</f>
        <v>-0.2599999999999999</v>
      </c>
      <c r="N41" s="7">
        <f ca="1">O41-(E41+F41-SUM(G41:M41))</f>
        <v>0</v>
      </c>
      <c r="O41" s="8">
        <f>SUMIF('1.5原材料在庫'!A:A,原材料SC明細!A41,'1.5原材料在庫'!D:D)</f>
        <v>1.0658141036401503E-14</v>
      </c>
    </row>
    <row r="42" spans="1:15" x14ac:dyDescent="0.55000000000000004">
      <c r="A42" s="80"/>
      <c r="B42" s="80"/>
      <c r="C42" s="79"/>
      <c r="D42" s="9" t="s">
        <v>19</v>
      </c>
      <c r="E42" s="10">
        <v>4.2917624961400897E-13</v>
      </c>
      <c r="F42" s="10">
        <f>F41*$C41</f>
        <v>0</v>
      </c>
      <c r="G42" s="10">
        <f ca="1">G41*$C41</f>
        <v>0</v>
      </c>
      <c r="H42" s="10">
        <f t="shared" ref="H42" si="121">H41*$C41</f>
        <v>0</v>
      </c>
      <c r="I42" s="10">
        <f t="shared" ref="I42" si="122">I41*$C41</f>
        <v>0</v>
      </c>
      <c r="J42" s="10">
        <f t="shared" ref="J42" si="123">J41*$C41</f>
        <v>0</v>
      </c>
      <c r="K42" s="10">
        <f t="shared" ref="K42" si="124">K41*$C41</f>
        <v>0</v>
      </c>
      <c r="L42" s="10">
        <f t="shared" ref="L42" si="125">L41*$C41</f>
        <v>0</v>
      </c>
      <c r="M42" s="10">
        <f t="shared" ref="M42" si="126">M41*$C41</f>
        <v>0</v>
      </c>
      <c r="N42" s="11">
        <f t="shared" ref="N42" ca="1" si="127">IFERROR(N41/SUM($E41:$F41)*SUM($E42:$F42),"")</f>
        <v>0</v>
      </c>
      <c r="O42" s="10">
        <f>O41*$C41</f>
        <v>0</v>
      </c>
    </row>
    <row r="43" spans="1:15" x14ac:dyDescent="0.55000000000000004">
      <c r="A43" s="80">
        <v>20</v>
      </c>
      <c r="B43" s="80" t="s">
        <v>38</v>
      </c>
      <c r="C43" s="78">
        <f>IFERROR(VLOOKUP(A43,'原料標準単価（貼付）'!B:E,3,FALSE),0)</f>
        <v>0</v>
      </c>
      <c r="D43" s="12" t="s">
        <v>18</v>
      </c>
      <c r="E43" s="13">
        <v>0</v>
      </c>
      <c r="F43" s="6">
        <f>IFERROR(VLOOKUP(A43,'1.2①原材料受入'!A:E,3,FALSE),0)</f>
        <v>30.6</v>
      </c>
      <c r="G43" s="6">
        <f ca="1">SUMIF('1.3②原材料使用'!C:E,A43,'1.3②原材料使用'!E:E)</f>
        <v>20.159999999999997</v>
      </c>
      <c r="H43" s="6">
        <f>SUMIFS('1.4原材料(その他)'!E:E,'1.4原材料(その他)'!C:C,A:A,'1.4原材料(その他)'!H:H,H$3)</f>
        <v>2</v>
      </c>
      <c r="I43" s="6">
        <f>SUMIFS('1.4原材料(その他)'!E:E,'1.4原材料(その他)'!C:C,A:A,'1.4原材料(その他)'!H:H,I$3)</f>
        <v>0</v>
      </c>
      <c r="J43" s="6">
        <f>SUMIFS('1.4原材料(その他)'!E:E,'1.4原材料(その他)'!C:C,A:A,'1.4原材料(その他)'!H:H,J$3)</f>
        <v>0</v>
      </c>
      <c r="K43" s="6">
        <f>SUMIFS('1.4原材料(その他)'!E:E,'1.4原材料(その他)'!C:C,A:A,'1.4原材料(その他)'!H:H,K$3)</f>
        <v>0</v>
      </c>
      <c r="L43" s="6">
        <f>SUMIFS('1.4原材料(その他)'!E:E,'1.4原材料(その他)'!C:C,A:A,'1.4原材料(その他)'!H:H,L$3)</f>
        <v>7.73</v>
      </c>
      <c r="M43" s="6">
        <f>SUMIFS('1.4原材料(その他)'!E:E,'1.4原材料(その他)'!C:C,A:A,'1.4原材料(その他)'!H:H,M$3)</f>
        <v>0.71</v>
      </c>
      <c r="N43" s="7">
        <f ca="1">O43-(E43+F43-SUM(G43:M43))</f>
        <v>3.5527136788005009E-15</v>
      </c>
      <c r="O43" s="8">
        <f>SUMIF('1.5原材料在庫'!A:A,原材料SC明細!A43,'1.5原材料在庫'!D:D)</f>
        <v>7.1054273576010019E-15</v>
      </c>
    </row>
    <row r="44" spans="1:15" x14ac:dyDescent="0.55000000000000004">
      <c r="A44" s="80"/>
      <c r="B44" s="80"/>
      <c r="C44" s="79"/>
      <c r="D44" s="9" t="s">
        <v>19</v>
      </c>
      <c r="E44" s="10">
        <v>0</v>
      </c>
      <c r="F44" s="10">
        <f>F43*$C43</f>
        <v>0</v>
      </c>
      <c r="G44" s="10">
        <f ca="1">G43*$C43</f>
        <v>0</v>
      </c>
      <c r="H44" s="10">
        <f t="shared" ref="H44" si="128">H43*$C43</f>
        <v>0</v>
      </c>
      <c r="I44" s="10">
        <f t="shared" ref="I44" si="129">I43*$C43</f>
        <v>0</v>
      </c>
      <c r="J44" s="10">
        <f t="shared" ref="J44" si="130">J43*$C43</f>
        <v>0</v>
      </c>
      <c r="K44" s="10">
        <f t="shared" ref="K44" si="131">K43*$C43</f>
        <v>0</v>
      </c>
      <c r="L44" s="10">
        <f t="shared" ref="L44" si="132">L43*$C43</f>
        <v>0</v>
      </c>
      <c r="M44" s="10">
        <f t="shared" ref="M44" si="133">M43*$C43</f>
        <v>0</v>
      </c>
      <c r="N44" s="11">
        <f t="shared" ref="N44" ca="1" si="134">IFERROR(N43/SUM($E43:$F43)*SUM($E44:$F44),"")</f>
        <v>0</v>
      </c>
      <c r="O44" s="10">
        <f>O43*$C43</f>
        <v>0</v>
      </c>
    </row>
    <row r="45" spans="1:15" x14ac:dyDescent="0.55000000000000004">
      <c r="A45" s="80">
        <v>21</v>
      </c>
      <c r="B45" s="80" t="s">
        <v>39</v>
      </c>
      <c r="C45" s="78">
        <f>IFERROR(VLOOKUP(A45,'原料標準単価（貼付）'!B:E,3,FALSE),0)</f>
        <v>0</v>
      </c>
      <c r="D45" s="12" t="s">
        <v>18</v>
      </c>
      <c r="E45" s="13">
        <v>-8.8817841970012523E-15</v>
      </c>
      <c r="F45" s="6">
        <f>IFERROR(VLOOKUP(A45,'1.2①原材料受入'!A:E,3,FALSE),0)</f>
        <v>31.1</v>
      </c>
      <c r="G45" s="6">
        <f ca="1">SUMIF('1.3②原材料使用'!C:E,A45,'1.3②原材料使用'!E:E)</f>
        <v>20.159999999999997</v>
      </c>
      <c r="H45" s="6">
        <f>SUMIFS('1.4原材料(その他)'!E:E,'1.4原材料(その他)'!C:C,A:A,'1.4原材料(その他)'!H:H,H$3)</f>
        <v>2</v>
      </c>
      <c r="I45" s="6">
        <f>SUMIFS('1.4原材料(その他)'!E:E,'1.4原材料(その他)'!C:C,A:A,'1.4原材料(その他)'!H:H,I$3)</f>
        <v>0</v>
      </c>
      <c r="J45" s="6">
        <f>SUMIFS('1.4原材料(その他)'!E:E,'1.4原材料(その他)'!C:C,A:A,'1.4原材料(その他)'!H:H,J$3)</f>
        <v>0</v>
      </c>
      <c r="K45" s="6">
        <f>SUMIFS('1.4原材料(その他)'!E:E,'1.4原材料(その他)'!C:C,A:A,'1.4原材料(その他)'!H:H,K$3)</f>
        <v>0</v>
      </c>
      <c r="L45" s="6">
        <f>SUMIFS('1.4原材料(その他)'!E:E,'1.4原材料(その他)'!C:C,A:A,'1.4原材料(その他)'!H:H,L$3)</f>
        <v>6.27</v>
      </c>
      <c r="M45" s="6">
        <f>SUMIFS('1.4原材料(その他)'!E:E,'1.4原材料(その他)'!C:C,A:A,'1.4原材料(その他)'!H:H,M$3)</f>
        <v>2.67</v>
      </c>
      <c r="N45" s="7">
        <f ca="1">O45-(E45+F45-SUM(G45:M45))</f>
        <v>-1.7763568394002505E-15</v>
      </c>
      <c r="O45" s="8">
        <f>SUMIF('1.5原材料在庫'!A:A,原材料SC明細!A45,'1.5原材料在庫'!D:D)</f>
        <v>-1.7763568394002505E-15</v>
      </c>
    </row>
    <row r="46" spans="1:15" x14ac:dyDescent="0.55000000000000004">
      <c r="A46" s="80"/>
      <c r="B46" s="80"/>
      <c r="C46" s="79"/>
      <c r="D46" s="9" t="s">
        <v>19</v>
      </c>
      <c r="E46" s="10">
        <v>4.6067797002678904E-79</v>
      </c>
      <c r="F46" s="10">
        <f>F45*$C45</f>
        <v>0</v>
      </c>
      <c r="G46" s="10">
        <f ca="1">G45*$C45</f>
        <v>0</v>
      </c>
      <c r="H46" s="10">
        <f t="shared" ref="H46" si="135">H45*$C45</f>
        <v>0</v>
      </c>
      <c r="I46" s="10">
        <f t="shared" ref="I46" si="136">I45*$C45</f>
        <v>0</v>
      </c>
      <c r="J46" s="10">
        <f t="shared" ref="J46" si="137">J45*$C45</f>
        <v>0</v>
      </c>
      <c r="K46" s="10">
        <f t="shared" ref="K46" si="138">K45*$C45</f>
        <v>0</v>
      </c>
      <c r="L46" s="10">
        <f t="shared" ref="L46" si="139">L45*$C45</f>
        <v>0</v>
      </c>
      <c r="M46" s="10">
        <f t="shared" ref="M46" si="140">M45*$C45</f>
        <v>0</v>
      </c>
      <c r="N46" s="11">
        <f t="shared" ref="N46" ca="1" si="141">IFERROR(N45/SUM($E45:$F45)*SUM($E46:$F46),"")</f>
        <v>-2.6312812309263999E-95</v>
      </c>
      <c r="O46" s="10">
        <f>O45*$C45</f>
        <v>0</v>
      </c>
    </row>
    <row r="47" spans="1:15" x14ac:dyDescent="0.55000000000000004">
      <c r="A47" s="80">
        <v>22</v>
      </c>
      <c r="B47" s="80" t="s">
        <v>40</v>
      </c>
      <c r="C47" s="78">
        <f>IFERROR(VLOOKUP(A47,'原料標準単価（貼付）'!B:E,3,FALSE),0)</f>
        <v>0</v>
      </c>
      <c r="D47" s="12" t="s">
        <v>18</v>
      </c>
      <c r="E47" s="13">
        <v>0</v>
      </c>
      <c r="F47" s="6">
        <f>IFERROR(VLOOKUP(A47,'1.2①原材料受入'!A:E,3,FALSE),0)</f>
        <v>30.6</v>
      </c>
      <c r="G47" s="6">
        <f ca="1">SUMIF('1.3②原材料使用'!C:E,A47,'1.3②原材料使用'!E:E)</f>
        <v>20.159999999999997</v>
      </c>
      <c r="H47" s="6">
        <f>SUMIFS('1.4原材料(その他)'!E:E,'1.4原材料(その他)'!C:C,A:A,'1.4原材料(その他)'!H:H,H$3)</f>
        <v>2</v>
      </c>
      <c r="I47" s="6">
        <f>SUMIFS('1.4原材料(その他)'!E:E,'1.4原材料(その他)'!C:C,A:A,'1.4原材料(その他)'!H:H,I$3)</f>
        <v>0</v>
      </c>
      <c r="J47" s="6">
        <f>SUMIFS('1.4原材料(その他)'!E:E,'1.4原材料(その他)'!C:C,A:A,'1.4原材料(その他)'!H:H,J$3)</f>
        <v>0</v>
      </c>
      <c r="K47" s="6">
        <f>SUMIFS('1.4原材料(その他)'!E:E,'1.4原材料(その他)'!C:C,A:A,'1.4原材料(その他)'!H:H,K$3)</f>
        <v>0</v>
      </c>
      <c r="L47" s="6">
        <f>SUMIFS('1.4原材料(その他)'!E:E,'1.4原材料(その他)'!C:C,A:A,'1.4原材料(その他)'!H:H,L$3)</f>
        <v>6.4700000000000006</v>
      </c>
      <c r="M47" s="6">
        <f>SUMIFS('1.4原材料(その他)'!E:E,'1.4原材料(その他)'!C:C,A:A,'1.4原材料(その他)'!H:H,M$3)</f>
        <v>1.9699999999999998</v>
      </c>
      <c r="N47" s="7">
        <f ca="1">O47-(E47+F47-SUM(G47:M47))</f>
        <v>0</v>
      </c>
      <c r="O47" s="8">
        <f>SUMIF('1.5原材料在庫'!A:A,原材料SC明細!A47,'1.5原材料在庫'!D:D)</f>
        <v>7.1054273576010019E-15</v>
      </c>
    </row>
    <row r="48" spans="1:15" x14ac:dyDescent="0.55000000000000004">
      <c r="A48" s="80"/>
      <c r="B48" s="80"/>
      <c r="C48" s="79"/>
      <c r="D48" s="9" t="s">
        <v>19</v>
      </c>
      <c r="E48" s="10">
        <v>0</v>
      </c>
      <c r="F48" s="10">
        <f>F47*$C47</f>
        <v>0</v>
      </c>
      <c r="G48" s="10">
        <f ca="1">G47*$C47</f>
        <v>0</v>
      </c>
      <c r="H48" s="10">
        <f t="shared" ref="H48" si="142">H47*$C47</f>
        <v>0</v>
      </c>
      <c r="I48" s="10">
        <f t="shared" ref="I48" si="143">I47*$C47</f>
        <v>0</v>
      </c>
      <c r="J48" s="10">
        <f t="shared" ref="J48" si="144">J47*$C47</f>
        <v>0</v>
      </c>
      <c r="K48" s="10">
        <f t="shared" ref="K48" si="145">K47*$C47</f>
        <v>0</v>
      </c>
      <c r="L48" s="10">
        <f t="shared" ref="L48" si="146">L47*$C47</f>
        <v>0</v>
      </c>
      <c r="M48" s="10">
        <f t="shared" ref="M48" si="147">M47*$C47</f>
        <v>0</v>
      </c>
      <c r="N48" s="11">
        <f t="shared" ref="N48" ca="1" si="148">IFERROR(N47/SUM($E47:$F47)*SUM($E48:$F48),"")</f>
        <v>0</v>
      </c>
      <c r="O48" s="10">
        <f>O47*$C47</f>
        <v>0</v>
      </c>
    </row>
    <row r="49" spans="1:15" x14ac:dyDescent="0.55000000000000004">
      <c r="A49" s="80">
        <v>23</v>
      </c>
      <c r="B49" s="80" t="s">
        <v>41</v>
      </c>
      <c r="C49" s="78">
        <f>IFERROR(VLOOKUP(A49,'原料標準単価（貼付）'!B:E,3,FALSE),0)</f>
        <v>0</v>
      </c>
      <c r="D49" s="12" t="s">
        <v>18</v>
      </c>
      <c r="E49" s="13">
        <v>8.5265128291212022E-14</v>
      </c>
      <c r="F49" s="6">
        <f>IFERROR(VLOOKUP(A49,'1.2①原材料受入'!A:E,3,FALSE),0)</f>
        <v>224</v>
      </c>
      <c r="G49" s="6">
        <f ca="1">SUMIF('1.3②原材料使用'!C:E,A49,'1.3②原材料使用'!E:E)</f>
        <v>201.60000000000002</v>
      </c>
      <c r="H49" s="6">
        <f>SUMIFS('1.4原材料(その他)'!E:E,'1.4原材料(その他)'!C:C,A:A,'1.4原材料(その他)'!H:H,H$3)</f>
        <v>2</v>
      </c>
      <c r="I49" s="6">
        <f>SUMIFS('1.4原材料(その他)'!E:E,'1.4原材料(その他)'!C:C,A:A,'1.4原材料(その他)'!H:H,I$3)</f>
        <v>0</v>
      </c>
      <c r="J49" s="6">
        <f>SUMIFS('1.4原材料(その他)'!E:E,'1.4原材料(その他)'!C:C,A:A,'1.4原材料(その他)'!H:H,J$3)</f>
        <v>0</v>
      </c>
      <c r="K49" s="6">
        <f>SUMIFS('1.4原材料(その他)'!E:E,'1.4原材料(その他)'!C:C,A:A,'1.4原材料(その他)'!H:H,K$3)</f>
        <v>0</v>
      </c>
      <c r="L49" s="6">
        <f>SUMIFS('1.4原材料(その他)'!E:E,'1.4原材料(その他)'!C:C,A:A,'1.4原材料(その他)'!H:H,L$3)</f>
        <v>19.690000000000001</v>
      </c>
      <c r="M49" s="6">
        <f>SUMIFS('1.4原材料(その他)'!E:E,'1.4原材料(その他)'!C:C,A:A,'1.4原材料(その他)'!H:H,M$3)</f>
        <v>0.71</v>
      </c>
      <c r="N49" s="7">
        <f ca="1">O49-(E49+F49-SUM(G49:M49))</f>
        <v>0</v>
      </c>
      <c r="O49" s="8">
        <f>SUMIF('1.5原材料在庫'!A:A,原材料SC明細!A49,'1.5原材料在庫'!D:D)</f>
        <v>5.6843418860808015E-14</v>
      </c>
    </row>
    <row r="50" spans="1:15" x14ac:dyDescent="0.55000000000000004">
      <c r="A50" s="80"/>
      <c r="B50" s="80"/>
      <c r="C50" s="79"/>
      <c r="D50" s="9" t="s">
        <v>19</v>
      </c>
      <c r="E50" s="10">
        <v>1.0448502171920924E-12</v>
      </c>
      <c r="F50" s="10">
        <f>F49*$C49</f>
        <v>0</v>
      </c>
      <c r="G50" s="10">
        <f ca="1">G49*$C49</f>
        <v>0</v>
      </c>
      <c r="H50" s="10">
        <f t="shared" ref="H50" si="149">H49*$C49</f>
        <v>0</v>
      </c>
      <c r="I50" s="10">
        <f t="shared" ref="I50" si="150">I49*$C49</f>
        <v>0</v>
      </c>
      <c r="J50" s="10">
        <f t="shared" ref="J50" si="151">J49*$C49</f>
        <v>0</v>
      </c>
      <c r="K50" s="10">
        <f t="shared" ref="K50" si="152">K49*$C49</f>
        <v>0</v>
      </c>
      <c r="L50" s="10">
        <f t="shared" ref="L50" si="153">L49*$C49</f>
        <v>0</v>
      </c>
      <c r="M50" s="10">
        <f t="shared" ref="M50" si="154">M49*$C49</f>
        <v>0</v>
      </c>
      <c r="N50" s="11">
        <f t="shared" ref="N50" ca="1" si="155">IFERROR(N49/SUM($E49:$F49)*SUM($E50:$F50),"")</f>
        <v>0</v>
      </c>
      <c r="O50" s="10">
        <f>O49*$C49</f>
        <v>0</v>
      </c>
    </row>
    <row r="51" spans="1:15" x14ac:dyDescent="0.55000000000000004">
      <c r="A51" s="80">
        <v>24</v>
      </c>
      <c r="B51" s="80" t="s">
        <v>42</v>
      </c>
      <c r="C51" s="78">
        <f>IFERROR(VLOOKUP(A51,'原料標準単価（貼付）'!B:E,3,FALSE),0)</f>
        <v>429.39297124600637</v>
      </c>
      <c r="D51" s="12" t="s">
        <v>18</v>
      </c>
      <c r="E51" s="13">
        <v>-7.1054273576010019E-15</v>
      </c>
      <c r="F51" s="6">
        <f>IFERROR(VLOOKUP(A51,'1.2①原材料受入'!A:E,3,FALSE),0)</f>
        <v>31.3</v>
      </c>
      <c r="G51" s="6">
        <f ca="1">SUMIF('1.3②原材料使用'!C:E,A51,'1.3②原材料使用'!E:E)</f>
        <v>21.000000000000004</v>
      </c>
      <c r="H51" s="6">
        <f>SUMIFS('1.4原材料(その他)'!E:E,'1.4原材料(その他)'!C:C,A:A,'1.4原材料(その他)'!H:H,H$3)</f>
        <v>2</v>
      </c>
      <c r="I51" s="6">
        <f>SUMIFS('1.4原材料(その他)'!E:E,'1.4原材料(その他)'!C:C,A:A,'1.4原材料(その他)'!H:H,I$3)</f>
        <v>0</v>
      </c>
      <c r="J51" s="6">
        <f>SUMIFS('1.4原材料(その他)'!E:E,'1.4原材料(その他)'!C:C,A:A,'1.4原材料(その他)'!H:H,J$3)</f>
        <v>0</v>
      </c>
      <c r="K51" s="6">
        <f>SUMIFS('1.4原材料(その他)'!E:E,'1.4原材料(その他)'!C:C,A:A,'1.4原材料(その他)'!H:H,K$3)</f>
        <v>3.25</v>
      </c>
      <c r="L51" s="6">
        <f>SUMIFS('1.4原材料(その他)'!E:E,'1.4原材料(その他)'!C:C,A:A,'1.4原材料(その他)'!H:H,L$3)</f>
        <v>5</v>
      </c>
      <c r="M51" s="6">
        <f>SUMIFS('1.4原材料(その他)'!E:E,'1.4原材料(その他)'!C:C,A:A,'1.4原材料(その他)'!H:H,M$3)</f>
        <v>0.05</v>
      </c>
      <c r="N51" s="7">
        <f ca="1">O51-(E51+F51-SUM(G51:M51))</f>
        <v>3.5527136788005009E-15</v>
      </c>
      <c r="O51" s="8">
        <f>SUMIF('1.5原材料在庫'!A:A,原材料SC明細!A51,'1.5原材料在庫'!D:D)</f>
        <v>-7.1054273576010019E-15</v>
      </c>
    </row>
    <row r="52" spans="1:15" x14ac:dyDescent="0.55000000000000004">
      <c r="A52" s="80"/>
      <c r="B52" s="80"/>
      <c r="C52" s="79"/>
      <c r="D52" s="9" t="s">
        <v>19</v>
      </c>
      <c r="E52" s="10">
        <v>-3.4988424117557905E-12</v>
      </c>
      <c r="F52" s="10">
        <f>F51*$C51</f>
        <v>13440</v>
      </c>
      <c r="G52" s="10">
        <f ca="1">G51*$C51</f>
        <v>9017.2523961661354</v>
      </c>
      <c r="H52" s="10">
        <f t="shared" ref="H52" si="156">H51*$C51</f>
        <v>858.78594249201274</v>
      </c>
      <c r="I52" s="10">
        <f t="shared" ref="I52" si="157">I51*$C51</f>
        <v>0</v>
      </c>
      <c r="J52" s="10">
        <f t="shared" ref="J52" si="158">J51*$C51</f>
        <v>0</v>
      </c>
      <c r="K52" s="10">
        <f t="shared" ref="K52" si="159">K51*$C51</f>
        <v>1395.5271565495207</v>
      </c>
      <c r="L52" s="10">
        <f t="shared" ref="L52" si="160">L51*$C51</f>
        <v>2146.9648562300317</v>
      </c>
      <c r="M52" s="10">
        <f t="shared" ref="M52" si="161">M51*$C51</f>
        <v>21.469648562300321</v>
      </c>
      <c r="N52" s="11">
        <f t="shared" ref="N52" ca="1" si="162">IFERROR(N51/SUM($E51:$F51)*SUM($E52:$F52),"")</f>
        <v>1.525510282526477E-12</v>
      </c>
      <c r="O52" s="10">
        <f>O51*$C51</f>
        <v>-3.051020565052954E-12</v>
      </c>
    </row>
    <row r="53" spans="1:15" x14ac:dyDescent="0.55000000000000004">
      <c r="A53" s="80">
        <v>25</v>
      </c>
      <c r="B53" s="80" t="s">
        <v>43</v>
      </c>
      <c r="C53" s="78">
        <f>IFERROR(VLOOKUP(A53,'原料標準単価（貼付）'!B:E,3,FALSE),0)</f>
        <v>4.9713193116634802</v>
      </c>
      <c r="D53" s="12" t="s">
        <v>18</v>
      </c>
      <c r="E53" s="13">
        <v>24.800000000000004</v>
      </c>
      <c r="F53" s="6">
        <f>IFERROR(VLOOKUP(A53,'1.2①原材料受入'!A:E,3,FALSE),0)</f>
        <v>1150.5999999999999</v>
      </c>
      <c r="G53" s="6">
        <f ca="1">SUMIF('1.3②原材料使用'!C:E,A53,'1.3②原材料使用'!E:E)</f>
        <v>1110.8</v>
      </c>
      <c r="H53" s="6">
        <f>SUMIFS('1.4原材料(その他)'!E:E,'1.4原材料(その他)'!C:C,A:A,'1.4原材料(その他)'!H:H,H$3)</f>
        <v>2</v>
      </c>
      <c r="I53" s="6">
        <f>SUMIFS('1.4原材料(その他)'!E:E,'1.4原材料(その他)'!C:C,A:A,'1.4原材料(その他)'!H:H,I$3)</f>
        <v>0</v>
      </c>
      <c r="J53" s="6">
        <f>SUMIFS('1.4原材料(その他)'!E:E,'1.4原材料(その他)'!C:C,A:A,'1.4原材料(その他)'!H:H,J$3)</f>
        <v>0</v>
      </c>
      <c r="K53" s="6">
        <f>SUMIFS('1.4原材料(その他)'!E:E,'1.4原材料(その他)'!C:C,A:A,'1.4原材料(その他)'!H:H,K$3)</f>
        <v>22.75</v>
      </c>
      <c r="L53" s="6">
        <f>SUMIFS('1.4原材料(その他)'!E:E,'1.4原材料(その他)'!C:C,A:A,'1.4原材料(その他)'!H:H,L$3)</f>
        <v>37.599999999999994</v>
      </c>
      <c r="M53" s="6">
        <f>SUMIFS('1.4原材料(その他)'!E:E,'1.4原材料(その他)'!C:C,A:A,'1.4原材料(その他)'!H:H,M$3)</f>
        <v>2.25</v>
      </c>
      <c r="N53" s="7">
        <f ca="1">O53-(E53+F53-SUM(G53:M53))</f>
        <v>-2.2737367544323206E-13</v>
      </c>
      <c r="O53" s="8">
        <f>SUMIF('1.5原材料在庫'!A:A,原材料SC明細!A53,'1.5原材料在庫'!D:D)</f>
        <v>-2.2737367544323206E-13</v>
      </c>
    </row>
    <row r="54" spans="1:15" x14ac:dyDescent="0.55000000000000004">
      <c r="A54" s="80"/>
      <c r="B54" s="80"/>
      <c r="C54" s="79"/>
      <c r="D54" s="9" t="s">
        <v>19</v>
      </c>
      <c r="E54" s="10">
        <v>4663.2107413893764</v>
      </c>
      <c r="F54" s="10">
        <f>F53*$C53</f>
        <v>5720</v>
      </c>
      <c r="G54" s="10">
        <f ca="1">G53*$C53</f>
        <v>5522.1414913957933</v>
      </c>
      <c r="H54" s="10">
        <f t="shared" ref="H54" si="163">H53*$C53</f>
        <v>9.9426386233269604</v>
      </c>
      <c r="I54" s="10">
        <f t="shared" ref="I54" si="164">I53*$C53</f>
        <v>0</v>
      </c>
      <c r="J54" s="10">
        <f t="shared" ref="J54" si="165">J53*$C53</f>
        <v>0</v>
      </c>
      <c r="K54" s="10">
        <f t="shared" ref="K54" si="166">K53*$C53</f>
        <v>113.09751434034418</v>
      </c>
      <c r="L54" s="10">
        <f t="shared" ref="L54" si="167">L53*$C53</f>
        <v>186.92160611854683</v>
      </c>
      <c r="M54" s="10">
        <f t="shared" ref="M54" si="168">M53*$C53</f>
        <v>11.18546845124283</v>
      </c>
      <c r="N54" s="11">
        <f t="shared" ref="N54" ca="1" si="169">IFERROR(N53/SUM($E53:$F53)*SUM($E54:$F54),"")</f>
        <v>-2.0085662660977959E-12</v>
      </c>
      <c r="O54" s="10">
        <f>O53*$C53</f>
        <v>-1.1303471436948439E-12</v>
      </c>
    </row>
    <row r="55" spans="1:15" x14ac:dyDescent="0.55000000000000004">
      <c r="A55" s="80">
        <v>26</v>
      </c>
      <c r="B55" s="80" t="s">
        <v>44</v>
      </c>
      <c r="C55" s="78">
        <f>IFERROR(VLOOKUP(A55,'原料標準単価（貼付）'!B:E,3,FALSE),0)</f>
        <v>245.31246376811595</v>
      </c>
      <c r="D55" s="12" t="s">
        <v>18</v>
      </c>
      <c r="E55" s="13">
        <v>2.2915003228263231E-13</v>
      </c>
      <c r="F55" s="6">
        <f>IFERROR(VLOOKUP(A55,'1.2①原材料受入'!A:E,3,FALSE),0)</f>
        <v>862.5</v>
      </c>
      <c r="G55" s="6">
        <f ca="1">SUMIF('1.3②原材料使用'!C:E,A55,'1.3②原材料使用'!E:E)</f>
        <v>735</v>
      </c>
      <c r="H55" s="6">
        <f>SUMIFS('1.4原材料(その他)'!E:E,'1.4原材料(その他)'!C:C,A:A,'1.4原材料(その他)'!H:H,H$3)</f>
        <v>2</v>
      </c>
      <c r="I55" s="6">
        <f>SUMIFS('1.4原材料(その他)'!E:E,'1.4原材料(その他)'!C:C,A:A,'1.4原材料(その他)'!H:H,I$3)</f>
        <v>0</v>
      </c>
      <c r="J55" s="6">
        <f>SUMIFS('1.4原材料(その他)'!E:E,'1.4原材料(その他)'!C:C,A:A,'1.4原材料(その他)'!H:H,J$3)</f>
        <v>0</v>
      </c>
      <c r="K55" s="6">
        <f>SUMIFS('1.4原材料(その他)'!E:E,'1.4原材料(その他)'!C:C,A:A,'1.4原材料(その他)'!H:H,K$3)</f>
        <v>103.21000000000001</v>
      </c>
      <c r="L55" s="6">
        <f>SUMIFS('1.4原材料(その他)'!E:E,'1.4原材料(その他)'!C:C,A:A,'1.4原材料(その他)'!H:H,L$3)</f>
        <v>20.93</v>
      </c>
      <c r="M55" s="6">
        <f>SUMIFS('1.4原材料(その他)'!E:E,'1.4原材料(その他)'!C:C,A:A,'1.4原材料(その他)'!H:H,M$3)</f>
        <v>1.36</v>
      </c>
      <c r="N55" s="7">
        <f ca="1">O55-(E55+F55-SUM(G55:M55))</f>
        <v>1.1546319456101628E-13</v>
      </c>
      <c r="O55" s="8">
        <f>SUMIF('1.5原材料在庫'!A:A,原材料SC明細!A55,'1.5原材料在庫'!D:D)</f>
        <v>3.4283687000424834E-13</v>
      </c>
    </row>
    <row r="56" spans="1:15" x14ac:dyDescent="0.55000000000000004">
      <c r="A56" s="80"/>
      <c r="B56" s="80"/>
      <c r="C56" s="79"/>
      <c r="D56" s="9" t="s">
        <v>19</v>
      </c>
      <c r="E56" s="10">
        <v>5.541540420192475E-11</v>
      </c>
      <c r="F56" s="10">
        <f>F55*$C55</f>
        <v>211582</v>
      </c>
      <c r="G56" s="10">
        <f ca="1">G55*$C55</f>
        <v>180304.66086956521</v>
      </c>
      <c r="H56" s="10">
        <f t="shared" ref="H56" si="170">H55*$C55</f>
        <v>490.62492753623189</v>
      </c>
      <c r="I56" s="10">
        <f t="shared" ref="I56" si="171">I55*$C55</f>
        <v>0</v>
      </c>
      <c r="J56" s="10">
        <f t="shared" ref="J56" si="172">J55*$C55</f>
        <v>0</v>
      </c>
      <c r="K56" s="10">
        <f t="shared" ref="K56" si="173">K55*$C55</f>
        <v>25318.699385507251</v>
      </c>
      <c r="L56" s="10">
        <f t="shared" ref="L56" si="174">L55*$C55</f>
        <v>5134.3898666666664</v>
      </c>
      <c r="M56" s="10">
        <f t="shared" ref="M56" si="175">M55*$C55</f>
        <v>333.6249507246377</v>
      </c>
      <c r="N56" s="11">
        <f t="shared" ref="N56" ca="1" si="176">IFERROR(N55/SUM($E55:$F55)*SUM($E56:$F56),"")</f>
        <v>2.8324560732300228E-11</v>
      </c>
      <c r="O56" s="10">
        <f>O55*$C55</f>
        <v>8.4102157251291444E-11</v>
      </c>
    </row>
    <row r="57" spans="1:15" x14ac:dyDescent="0.55000000000000004">
      <c r="A57" s="80">
        <v>27</v>
      </c>
      <c r="B57" s="80" t="s">
        <v>45</v>
      </c>
      <c r="C57" s="78">
        <f>IFERROR(VLOOKUP(A57,'原料標準単価（貼付）'!B:E,3,FALSE),0)</f>
        <v>3058.5711620966235</v>
      </c>
      <c r="D57" s="12" t="s">
        <v>18</v>
      </c>
      <c r="E57" s="13">
        <v>0.70299999999978713</v>
      </c>
      <c r="F57" s="6">
        <f>IFERROR(VLOOKUP(A57,'1.2①原材料受入'!A:E,3,FALSE),0)</f>
        <v>536.1</v>
      </c>
      <c r="G57" s="6">
        <f ca="1">SUMIF('1.3②原材料使用'!C:E,A57,'1.3②原材料使用'!E:E)</f>
        <v>531.005</v>
      </c>
      <c r="H57" s="6">
        <f>SUMIFS('1.4原材料(その他)'!E:E,'1.4原材料(その他)'!C:C,A:A,'1.4原材料(その他)'!H:H,H$3)</f>
        <v>4.0999999999999996</v>
      </c>
      <c r="I57" s="6">
        <f>SUMIFS('1.4原材料(その他)'!E:E,'1.4原材料(その他)'!C:C,A:A,'1.4原材料(その他)'!H:H,I$3)</f>
        <v>0</v>
      </c>
      <c r="J57" s="6">
        <f>SUMIFS('1.4原材料(その他)'!E:E,'1.4原材料(その他)'!C:C,A:A,'1.4原材料(その他)'!H:H,J$3)</f>
        <v>0</v>
      </c>
      <c r="K57" s="6">
        <f>SUMIFS('1.4原材料(その他)'!E:E,'1.4原材料(その他)'!C:C,A:A,'1.4原材料(その他)'!H:H,K$3)</f>
        <v>4.78</v>
      </c>
      <c r="L57" s="6">
        <f>SUMIFS('1.4原材料(その他)'!E:E,'1.4原材料(その他)'!C:C,A:A,'1.4原材料(その他)'!H:H,L$3)</f>
        <v>1.8</v>
      </c>
      <c r="M57" s="6">
        <f>SUMIFS('1.4原材料(その他)'!E:E,'1.4原材料(その他)'!C:C,A:A,'1.4原材料(その他)'!H:H,M$3)</f>
        <v>-4.8849999999999998</v>
      </c>
      <c r="N57" s="7">
        <f ca="1">O57-(E57+F57-SUM(G57:M57))</f>
        <v>-2.8421709430404007E-14</v>
      </c>
      <c r="O57" s="8">
        <f>SUMIF('1.5原材料在庫'!A:A,原材料SC明細!A57,'1.5原材料在庫'!D:D)</f>
        <v>2.9999999997869509E-3</v>
      </c>
    </row>
    <row r="58" spans="1:15" x14ac:dyDescent="0.55000000000000004">
      <c r="A58" s="80"/>
      <c r="B58" s="80"/>
      <c r="C58" s="79"/>
      <c r="D58" s="9" t="s">
        <v>19</v>
      </c>
      <c r="E58" s="10">
        <v>1904.5041237505022</v>
      </c>
      <c r="F58" s="10">
        <f>F57*$C57</f>
        <v>1639700</v>
      </c>
      <c r="G58" s="10">
        <f ca="1">G57*$C57</f>
        <v>1624116.5799291176</v>
      </c>
      <c r="H58" s="10">
        <f t="shared" ref="H58" si="177">H57*$C57</f>
        <v>12540.141764596156</v>
      </c>
      <c r="I58" s="10">
        <f t="shared" ref="I58" si="178">I57*$C57</f>
        <v>0</v>
      </c>
      <c r="J58" s="10">
        <f t="shared" ref="J58" si="179">J57*$C57</f>
        <v>0</v>
      </c>
      <c r="K58" s="10">
        <f t="shared" ref="K58" si="180">K57*$C57</f>
        <v>14619.970154821862</v>
      </c>
      <c r="L58" s="10">
        <f t="shared" ref="L58" si="181">L57*$C57</f>
        <v>5505.4280917739225</v>
      </c>
      <c r="M58" s="10">
        <f t="shared" ref="M58" si="182">M57*$C57</f>
        <v>-14941.120126842005</v>
      </c>
      <c r="N58" s="11">
        <f t="shared" ref="N58" ca="1" si="183">IFERROR(N57/SUM($E57:$F57)*SUM($E58:$F58),"")</f>
        <v>-8.691681346014779E-11</v>
      </c>
      <c r="O58" s="10">
        <f>O57*$C57</f>
        <v>9.1757134856382443</v>
      </c>
    </row>
    <row r="59" spans="1:15" x14ac:dyDescent="0.55000000000000004">
      <c r="A59" s="80">
        <v>28</v>
      </c>
      <c r="B59" s="80" t="s">
        <v>46</v>
      </c>
      <c r="C59" s="78">
        <f>IFERROR(VLOOKUP(A59,'原料標準単価（貼付）'!B:E,3,FALSE),0)</f>
        <v>614.4200626959248</v>
      </c>
      <c r="D59" s="12" t="s">
        <v>18</v>
      </c>
      <c r="E59" s="13">
        <v>2.2648549702353193E-14</v>
      </c>
      <c r="F59" s="6">
        <f>IFERROR(VLOOKUP(A59,'1.2①原材料受入'!A:E,3,FALSE),0)</f>
        <v>31.9</v>
      </c>
      <c r="G59" s="6">
        <f ca="1">SUMIF('1.3②原材料使用'!C:E,A59,'1.3②原材料使用'!E:E)</f>
        <v>21.000000000000004</v>
      </c>
      <c r="H59" s="6">
        <f>SUMIFS('1.4原材料(その他)'!E:E,'1.4原材料(その他)'!C:C,A:A,'1.4原材料(その他)'!H:H,H$3)</f>
        <v>2</v>
      </c>
      <c r="I59" s="6">
        <f>SUMIFS('1.4原材料(その他)'!E:E,'1.4原材料(その他)'!C:C,A:A,'1.4原材料(その他)'!H:H,I$3)</f>
        <v>0</v>
      </c>
      <c r="J59" s="6">
        <f>SUMIFS('1.4原材料(その他)'!E:E,'1.4原材料(その他)'!C:C,A:A,'1.4原材料(その他)'!H:H,J$3)</f>
        <v>0</v>
      </c>
      <c r="K59" s="6">
        <f>SUMIFS('1.4原材料(その他)'!E:E,'1.4原材料(その他)'!C:C,A:A,'1.4原材料(その他)'!H:H,K$3)</f>
        <v>3.14</v>
      </c>
      <c r="L59" s="6">
        <f>SUMIFS('1.4原材料(その他)'!E:E,'1.4原材料(その他)'!C:C,A:A,'1.4原材料(その他)'!H:H,L$3)</f>
        <v>5.85</v>
      </c>
      <c r="M59" s="6">
        <f>SUMIFS('1.4原材料(その他)'!E:E,'1.4原材料(その他)'!C:C,A:A,'1.4原材料(その他)'!H:H,M$3)</f>
        <v>-0.09</v>
      </c>
      <c r="N59" s="7">
        <f ca="1">O59-(E59+F59-SUM(G59:M59))</f>
        <v>8.4376949871511897E-15</v>
      </c>
      <c r="O59" s="8">
        <f>SUMIF('1.5原材料在庫'!A:A,原材料SC明細!A59,'1.5原材料在庫'!D:D)</f>
        <v>2.6201263381153694E-14</v>
      </c>
    </row>
    <row r="60" spans="1:15" x14ac:dyDescent="0.55000000000000004">
      <c r="A60" s="80"/>
      <c r="B60" s="80"/>
      <c r="C60" s="79"/>
      <c r="D60" s="9" t="s">
        <v>19</v>
      </c>
      <c r="E60" s="10">
        <v>1.4385372907981124E-11</v>
      </c>
      <c r="F60" s="10">
        <f>F59*$C59</f>
        <v>19600</v>
      </c>
      <c r="G60" s="10">
        <f ca="1">G59*$C59</f>
        <v>12902.821316614423</v>
      </c>
      <c r="H60" s="10">
        <f t="shared" ref="H60" si="184">H59*$C59</f>
        <v>1228.8401253918496</v>
      </c>
      <c r="I60" s="10">
        <f t="shared" ref="I60" si="185">I59*$C59</f>
        <v>0</v>
      </c>
      <c r="J60" s="10">
        <f t="shared" ref="J60" si="186">J59*$C59</f>
        <v>0</v>
      </c>
      <c r="K60" s="10">
        <f t="shared" ref="K60" si="187">K59*$C59</f>
        <v>1929.2789968652039</v>
      </c>
      <c r="L60" s="10">
        <f t="shared" ref="L60" si="188">L59*$C59</f>
        <v>3594.3573667711598</v>
      </c>
      <c r="M60" s="10">
        <f t="shared" ref="M60" si="189">M59*$C59</f>
        <v>-55.297805642633229</v>
      </c>
      <c r="N60" s="11">
        <f t="shared" ref="N60" ca="1" si="190">IFERROR(N59/SUM($E59:$F59)*SUM($E60:$F60),"")</f>
        <v>5.1842890830145249E-12</v>
      </c>
      <c r="O60" s="10">
        <f>O59*$C59</f>
        <v>1.609858188936089E-11</v>
      </c>
    </row>
    <row r="61" spans="1:15" x14ac:dyDescent="0.55000000000000004">
      <c r="A61" s="80">
        <v>29</v>
      </c>
      <c r="B61" s="80" t="s">
        <v>47</v>
      </c>
      <c r="C61" s="78">
        <f>IFERROR(VLOOKUP(A61,'原料標準単価（貼付）'!B:E,3,FALSE),0)</f>
        <v>1826.9230769230769</v>
      </c>
      <c r="D61" s="12" t="s">
        <v>18</v>
      </c>
      <c r="E61" s="13">
        <v>-1.2434497875801753E-14</v>
      </c>
      <c r="F61" s="6">
        <f>IFERROR(VLOOKUP(A61,'1.2①原材料受入'!A:E,3,FALSE),0)</f>
        <v>36.4</v>
      </c>
      <c r="G61" s="6">
        <f ca="1">SUMIF('1.3②原材料使用'!C:E,A61,'1.3②原材料使用'!E:E)</f>
        <v>21</v>
      </c>
      <c r="H61" s="6">
        <f>SUMIFS('1.4原材料(その他)'!E:E,'1.4原材料(その他)'!C:C,A:A,'1.4原材料(その他)'!H:H,H$3)</f>
        <v>2</v>
      </c>
      <c r="I61" s="6">
        <f>SUMIFS('1.4原材料(その他)'!E:E,'1.4原材料(その他)'!C:C,A:A,'1.4原材料(その他)'!H:H,I$3)</f>
        <v>0</v>
      </c>
      <c r="J61" s="6">
        <f>SUMIFS('1.4原材料(その他)'!E:E,'1.4原材料(その他)'!C:C,A:A,'1.4原材料(その他)'!H:H,J$3)</f>
        <v>0</v>
      </c>
      <c r="K61" s="6">
        <f>SUMIFS('1.4原材料(その他)'!E:E,'1.4原材料(その他)'!C:C,A:A,'1.4原材料(その他)'!H:H,K$3)</f>
        <v>2.8500000000000005</v>
      </c>
      <c r="L61" s="6">
        <f>SUMIFS('1.4原材料(その他)'!E:E,'1.4原材料(その他)'!C:C,A:A,'1.4原材料(その他)'!H:H,L$3)</f>
        <v>10.56</v>
      </c>
      <c r="M61" s="6">
        <f>SUMIFS('1.4原材料(その他)'!E:E,'1.4原材料(その他)'!C:C,A:A,'1.4原材料(その他)'!H:H,M$3)</f>
        <v>-0.01</v>
      </c>
      <c r="N61" s="7">
        <f ca="1">O61-(E61+F61-SUM(G61:M61))</f>
        <v>8.8817841970012523E-15</v>
      </c>
      <c r="O61" s="8">
        <f>SUMIF('1.5原材料在庫'!A:A,原材料SC明細!A61,'1.5原材料在庫'!D:D)</f>
        <v>-1.2434497875801753E-14</v>
      </c>
    </row>
    <row r="62" spans="1:15" x14ac:dyDescent="0.55000000000000004">
      <c r="A62" s="80"/>
      <c r="B62" s="80"/>
      <c r="C62" s="79"/>
      <c r="D62" s="9" t="s">
        <v>19</v>
      </c>
      <c r="E62" s="10">
        <v>-2.3468328174789055E-11</v>
      </c>
      <c r="F62" s="10">
        <f>F61*$C61</f>
        <v>66500</v>
      </c>
      <c r="G62" s="10">
        <f ca="1">G61*$C61</f>
        <v>38365.384615384617</v>
      </c>
      <c r="H62" s="10">
        <f t="shared" ref="H62" si="191">H61*$C61</f>
        <v>3653.8461538461538</v>
      </c>
      <c r="I62" s="10">
        <f t="shared" ref="I62" si="192">I61*$C61</f>
        <v>0</v>
      </c>
      <c r="J62" s="10">
        <f t="shared" ref="J62" si="193">J61*$C61</f>
        <v>0</v>
      </c>
      <c r="K62" s="10">
        <f t="shared" ref="K62" si="194">K61*$C61</f>
        <v>5206.7307692307704</v>
      </c>
      <c r="L62" s="10">
        <f t="shared" ref="L62" si="195">L61*$C61</f>
        <v>19292.307692307691</v>
      </c>
      <c r="M62" s="10">
        <f t="shared" ref="M62" si="196">M61*$C61</f>
        <v>-18.26923076923077</v>
      </c>
      <c r="N62" s="11">
        <f t="shared" ref="N62" ca="1" si="197">IFERROR(N61/SUM($E61:$F61)*SUM($E62:$F62),"")</f>
        <v>1.6226336513752288E-11</v>
      </c>
      <c r="O62" s="10">
        <f>O61*$C61</f>
        <v>-2.2716871119253204E-11</v>
      </c>
    </row>
    <row r="63" spans="1:15" x14ac:dyDescent="0.55000000000000004">
      <c r="A63" s="80">
        <v>30</v>
      </c>
      <c r="B63" s="80" t="s">
        <v>48</v>
      </c>
      <c r="C63" s="78">
        <f>IFERROR(VLOOKUP(A63,'原料標準単価（貼付）'!B:E,3,FALSE),0)</f>
        <v>459</v>
      </c>
      <c r="D63" s="12" t="s">
        <v>18</v>
      </c>
      <c r="E63" s="13">
        <v>19.94400000000195</v>
      </c>
      <c r="F63" s="6">
        <f>IFERROR(VLOOKUP(A63,'1.2①原材料受入'!A:E,3,FALSE),0)</f>
        <v>2430</v>
      </c>
      <c r="G63" s="6">
        <f ca="1">SUMIF('1.3②原材料使用'!C:E,A63,'1.3②原材料使用'!E:E)</f>
        <v>2419.1999999999998</v>
      </c>
      <c r="H63" s="6">
        <f>SUMIFS('1.4原材料(その他)'!E:E,'1.4原材料(その他)'!C:C,A:A,'1.4原材料(その他)'!H:H,H$3)</f>
        <v>2</v>
      </c>
      <c r="I63" s="6">
        <f>SUMIFS('1.4原材料(その他)'!E:E,'1.4原材料(その他)'!C:C,A:A,'1.4原材料(その他)'!H:H,I$3)</f>
        <v>0</v>
      </c>
      <c r="J63" s="6">
        <f>SUMIFS('1.4原材料(その他)'!E:E,'1.4原材料(その他)'!C:C,A:A,'1.4原材料(その他)'!H:H,J$3)</f>
        <v>0</v>
      </c>
      <c r="K63" s="6">
        <f>SUMIFS('1.4原材料(その他)'!E:E,'1.4原材料(その他)'!C:C,A:A,'1.4原材料(その他)'!H:H,K$3)</f>
        <v>0</v>
      </c>
      <c r="L63" s="6">
        <f>SUMIFS('1.4原材料(その他)'!E:E,'1.4原材料(その他)'!C:C,A:A,'1.4原材料(その他)'!H:H,L$3)</f>
        <v>0</v>
      </c>
      <c r="M63" s="6">
        <f>SUMIFS('1.4原材料(その他)'!E:E,'1.4原材料(その他)'!C:C,A:A,'1.4原材料(その他)'!H:H,M$3)</f>
        <v>0.64</v>
      </c>
      <c r="N63" s="7">
        <f ca="1">O63-(E63+F63-SUM(G63:M63))</f>
        <v>-1.9895196601282805E-13</v>
      </c>
      <c r="O63" s="8">
        <f>SUMIF('1.5原材料在庫'!A:A,原材料SC明細!A63,'1.5原材料在庫'!D:D)</f>
        <v>28.104000000001889</v>
      </c>
    </row>
    <row r="64" spans="1:15" x14ac:dyDescent="0.55000000000000004">
      <c r="A64" s="80"/>
      <c r="B64" s="80"/>
      <c r="C64" s="79"/>
      <c r="D64" s="9" t="s">
        <v>19</v>
      </c>
      <c r="E64" s="10">
        <v>9151.3980147846869</v>
      </c>
      <c r="F64" s="10">
        <f>F63*$C63</f>
        <v>1115370</v>
      </c>
      <c r="G64" s="10">
        <f ca="1">G63*$C63</f>
        <v>1110412.7999999998</v>
      </c>
      <c r="H64" s="10">
        <f t="shared" ref="H64" si="198">H63*$C63</f>
        <v>918</v>
      </c>
      <c r="I64" s="10">
        <f t="shared" ref="I64" si="199">I63*$C63</f>
        <v>0</v>
      </c>
      <c r="J64" s="10">
        <f t="shared" ref="J64" si="200">J63*$C63</f>
        <v>0</v>
      </c>
      <c r="K64" s="10">
        <f t="shared" ref="K64" si="201">K63*$C63</f>
        <v>0</v>
      </c>
      <c r="L64" s="10">
        <f t="shared" ref="L64" si="202">L63*$C63</f>
        <v>0</v>
      </c>
      <c r="M64" s="10">
        <f t="shared" ref="M64" si="203">M63*$C63</f>
        <v>293.76</v>
      </c>
      <c r="N64" s="11">
        <f t="shared" ref="N64" ca="1" si="204">IFERROR(N63/SUM($E63:$F63)*SUM($E64:$F64),"")</f>
        <v>-9.1318717063955424E-11</v>
      </c>
      <c r="O64" s="10">
        <f>O63*$C63</f>
        <v>12899.736000000867</v>
      </c>
    </row>
    <row r="65" spans="1:15" x14ac:dyDescent="0.55000000000000004">
      <c r="A65" s="80">
        <v>31</v>
      </c>
      <c r="B65" s="80" t="s">
        <v>49</v>
      </c>
      <c r="C65" s="78">
        <f>IFERROR(VLOOKUP(A65,'原料標準単価（貼付）'!B:E,3,FALSE),0)</f>
        <v>638</v>
      </c>
      <c r="D65" s="12" t="s">
        <v>18</v>
      </c>
      <c r="E65" s="13">
        <v>21.9500000000005</v>
      </c>
      <c r="F65" s="6">
        <f>IFERROR(VLOOKUP(A65,'1.2①原材料受入'!A:E,3,FALSE),0)</f>
        <v>1530</v>
      </c>
      <c r="G65" s="6">
        <f ca="1">SUMIF('1.3②原材料使用'!C:E,A65,'1.3②原材料使用'!E:E)</f>
        <v>1519.5</v>
      </c>
      <c r="H65" s="6">
        <f>SUMIFS('1.4原材料(その他)'!E:E,'1.4原材料(その他)'!C:C,A:A,'1.4原材料(その他)'!H:H,H$3)</f>
        <v>2</v>
      </c>
      <c r="I65" s="6">
        <f>SUMIFS('1.4原材料(その他)'!E:E,'1.4原材料(その他)'!C:C,A:A,'1.4原材料(その他)'!H:H,I$3)</f>
        <v>0</v>
      </c>
      <c r="J65" s="6">
        <f>SUMIFS('1.4原材料(その他)'!E:E,'1.4原材料(その他)'!C:C,A:A,'1.4原材料(その他)'!H:H,J$3)</f>
        <v>0</v>
      </c>
      <c r="K65" s="6">
        <f>SUMIFS('1.4原材料(その他)'!E:E,'1.4原材料(その他)'!C:C,A:A,'1.4原材料(その他)'!H:H,K$3)</f>
        <v>0</v>
      </c>
      <c r="L65" s="6">
        <f>SUMIFS('1.4原材料(その他)'!E:E,'1.4原材料(その他)'!C:C,A:A,'1.4原材料(その他)'!H:H,L$3)</f>
        <v>0</v>
      </c>
      <c r="M65" s="6">
        <f>SUMIFS('1.4原材料(その他)'!E:E,'1.4原材料(その他)'!C:C,A:A,'1.4原材料(その他)'!H:H,M$3)</f>
        <v>5.55</v>
      </c>
      <c r="N65" s="7">
        <f ca="1">O65-(E65+F65-SUM(G65:M65))</f>
        <v>0</v>
      </c>
      <c r="O65" s="8">
        <f>SUMIF('1.5原材料在庫'!A:A,原材料SC明細!A65,'1.5原材料在庫'!D:D)</f>
        <v>24.900000000000546</v>
      </c>
    </row>
    <row r="66" spans="1:15" x14ac:dyDescent="0.55000000000000004">
      <c r="A66" s="80"/>
      <c r="B66" s="80"/>
      <c r="C66" s="79"/>
      <c r="D66" s="9" t="s">
        <v>19</v>
      </c>
      <c r="E66" s="10">
        <v>14004.100000000321</v>
      </c>
      <c r="F66" s="10">
        <f>F65*$C65</f>
        <v>976140</v>
      </c>
      <c r="G66" s="10">
        <f ca="1">G65*$C65</f>
        <v>969441</v>
      </c>
      <c r="H66" s="10">
        <f t="shared" ref="H66" si="205">H65*$C65</f>
        <v>1276</v>
      </c>
      <c r="I66" s="10">
        <f t="shared" ref="I66" si="206">I65*$C65</f>
        <v>0</v>
      </c>
      <c r="J66" s="10">
        <f t="shared" ref="J66" si="207">J65*$C65</f>
        <v>0</v>
      </c>
      <c r="K66" s="10">
        <f t="shared" ref="K66" si="208">K65*$C65</f>
        <v>0</v>
      </c>
      <c r="L66" s="10">
        <f t="shared" ref="L66" si="209">L65*$C65</f>
        <v>0</v>
      </c>
      <c r="M66" s="10">
        <f t="shared" ref="M66" si="210">M65*$C65</f>
        <v>3540.9</v>
      </c>
      <c r="N66" s="11">
        <f t="shared" ref="N66" ca="1" si="211">IFERROR(N65/SUM($E65:$F65)*SUM($E66:$F66),"")</f>
        <v>0</v>
      </c>
      <c r="O66" s="10">
        <f>O65*$C65</f>
        <v>15886.200000000348</v>
      </c>
    </row>
    <row r="67" spans="1:15" x14ac:dyDescent="0.55000000000000004">
      <c r="A67" s="80">
        <v>32</v>
      </c>
      <c r="B67" s="80" t="s">
        <v>50</v>
      </c>
      <c r="C67" s="78">
        <f>IFERROR(VLOOKUP(A67,'原料標準単価（貼付）'!B:E,3,FALSE),0)</f>
        <v>459</v>
      </c>
      <c r="D67" s="12" t="s">
        <v>18</v>
      </c>
      <c r="E67" s="13">
        <v>20.569999999999709</v>
      </c>
      <c r="F67" s="6">
        <f>IFERROR(VLOOKUP(A67,'1.2①原材料受入'!A:E,3,FALSE),0)</f>
        <v>3090</v>
      </c>
      <c r="G67" s="6">
        <f ca="1">SUMIF('1.3②原材料使用'!C:E,A67,'1.3②原材料使用'!E:E)</f>
        <v>3094.5</v>
      </c>
      <c r="H67" s="6">
        <f>SUMIFS('1.4原材料(その他)'!E:E,'1.4原材料(その他)'!C:C,A:A,'1.4原材料(その他)'!H:H,H$3)</f>
        <v>2</v>
      </c>
      <c r="I67" s="6">
        <f>SUMIFS('1.4原材料(その他)'!E:E,'1.4原材料(その他)'!C:C,A:A,'1.4原材料(その他)'!H:H,I$3)</f>
        <v>0</v>
      </c>
      <c r="J67" s="6">
        <f>SUMIFS('1.4原材料(その他)'!E:E,'1.4原材料(その他)'!C:C,A:A,'1.4原材料(その他)'!H:H,J$3)</f>
        <v>0</v>
      </c>
      <c r="K67" s="6">
        <f>SUMIFS('1.4原材料(その他)'!E:E,'1.4原材料(その他)'!C:C,A:A,'1.4原材料(その他)'!H:H,K$3)</f>
        <v>0</v>
      </c>
      <c r="L67" s="6">
        <f>SUMIFS('1.4原材料(その他)'!E:E,'1.4原材料(その他)'!C:C,A:A,'1.4原材料(その他)'!H:H,L$3)</f>
        <v>0</v>
      </c>
      <c r="M67" s="6">
        <f>SUMIFS('1.4原材料(その他)'!E:E,'1.4原材料(その他)'!C:C,A:A,'1.4原材料(その他)'!H:H,M$3)</f>
        <v>7.0000000000000007E-2</v>
      </c>
      <c r="N67" s="7">
        <f ca="1">O67-(E67+F67-SUM(G67:M67))</f>
        <v>4.5474735088646412E-13</v>
      </c>
      <c r="O67" s="8">
        <f>SUMIF('1.5原材料在庫'!A:A,原材料SC明細!A67,'1.5原材料在庫'!D:D)</f>
        <v>14</v>
      </c>
    </row>
    <row r="68" spans="1:15" x14ac:dyDescent="0.55000000000000004">
      <c r="A68" s="80"/>
      <c r="B68" s="80"/>
      <c r="C68" s="79"/>
      <c r="D68" s="9" t="s">
        <v>19</v>
      </c>
      <c r="E68" s="10">
        <v>9305.766013427472</v>
      </c>
      <c r="F68" s="10">
        <f>F67*$C67</f>
        <v>1418310</v>
      </c>
      <c r="G68" s="10">
        <f ca="1">G67*$C67</f>
        <v>1420375.5</v>
      </c>
      <c r="H68" s="10">
        <f t="shared" ref="H68" si="212">H67*$C67</f>
        <v>918</v>
      </c>
      <c r="I68" s="10">
        <f t="shared" ref="I68" si="213">I67*$C67</f>
        <v>0</v>
      </c>
      <c r="J68" s="10">
        <f t="shared" ref="J68" si="214">J67*$C67</f>
        <v>0</v>
      </c>
      <c r="K68" s="10">
        <f t="shared" ref="K68" si="215">K67*$C67</f>
        <v>0</v>
      </c>
      <c r="L68" s="10">
        <f t="shared" ref="L68" si="216">L67*$C67</f>
        <v>0</v>
      </c>
      <c r="M68" s="10">
        <f t="shared" ref="M68" si="217">M67*$C67</f>
        <v>32.130000000000003</v>
      </c>
      <c r="N68" s="11">
        <f t="shared" ref="N68" ca="1" si="218">IFERROR(N67/SUM($E67:$F67)*SUM($E68:$F68),"")</f>
        <v>2.0870917152751951E-10</v>
      </c>
      <c r="O68" s="10">
        <f>O67*$C67</f>
        <v>6426</v>
      </c>
    </row>
    <row r="69" spans="1:15" x14ac:dyDescent="0.55000000000000004">
      <c r="A69" s="80">
        <v>33</v>
      </c>
      <c r="B69" s="80" t="s">
        <v>51</v>
      </c>
      <c r="C69" s="78">
        <f>IFERROR(VLOOKUP(A69,'原料標準単価（貼付）'!B:E,3,FALSE),0)</f>
        <v>2040</v>
      </c>
      <c r="D69" s="12" t="s">
        <v>18</v>
      </c>
      <c r="E69" s="13">
        <v>5.0570000000000039</v>
      </c>
      <c r="F69" s="6">
        <f>IFERROR(VLOOKUP(A69,'1.2①原材料受入'!A:E,3,FALSE),0)</f>
        <v>20</v>
      </c>
      <c r="G69" s="6">
        <f ca="1">SUMIF('1.3②原材料使用'!C:E,A69,'1.3②原材料使用'!E:E)</f>
        <v>21</v>
      </c>
      <c r="H69" s="6">
        <f>SUMIFS('1.4原材料(その他)'!E:E,'1.4原材料(その他)'!C:C,A:A,'1.4原材料(その他)'!H:H,H$3)</f>
        <v>2</v>
      </c>
      <c r="I69" s="6">
        <f>SUMIFS('1.4原材料(その他)'!E:E,'1.4原材料(その他)'!C:C,A:A,'1.4原材料(その他)'!H:H,I$3)</f>
        <v>0</v>
      </c>
      <c r="J69" s="6">
        <f>SUMIFS('1.4原材料(その他)'!E:E,'1.4原材料(その他)'!C:C,A:A,'1.4原材料(その他)'!H:H,J$3)</f>
        <v>0</v>
      </c>
      <c r="K69" s="6">
        <f>SUMIFS('1.4原材料(その他)'!E:E,'1.4原材料(その他)'!C:C,A:A,'1.4原材料(その他)'!H:H,K$3)</f>
        <v>0</v>
      </c>
      <c r="L69" s="6">
        <f>SUMIFS('1.4原材料(その他)'!E:E,'1.4原材料(その他)'!C:C,A:A,'1.4原材料(その他)'!H:H,L$3)</f>
        <v>0</v>
      </c>
      <c r="M69" s="6">
        <f>SUMIFS('1.4原材料(その他)'!E:E,'1.4原材料(その他)'!C:C,A:A,'1.4原材料(その他)'!H:H,M$3)</f>
        <v>-0.24000000000000002</v>
      </c>
      <c r="N69" s="7">
        <f ca="1">O69-(E69+F69-SUM(G69:M69))</f>
        <v>0</v>
      </c>
      <c r="O69" s="8">
        <f>SUMIF('1.5原材料在庫'!A:A,原材料SC明細!A69,'1.5原材料在庫'!D:D)</f>
        <v>2.2970000000000006</v>
      </c>
    </row>
    <row r="70" spans="1:15" x14ac:dyDescent="0.55000000000000004">
      <c r="A70" s="80"/>
      <c r="B70" s="80"/>
      <c r="C70" s="79"/>
      <c r="D70" s="9" t="s">
        <v>19</v>
      </c>
      <c r="E70" s="10">
        <v>9993.1734427215852</v>
      </c>
      <c r="F70" s="10">
        <f>F69*$C69</f>
        <v>40800</v>
      </c>
      <c r="G70" s="10">
        <f ca="1">G69*$C69</f>
        <v>42840</v>
      </c>
      <c r="H70" s="10">
        <f t="shared" ref="H70" si="219">H69*$C69</f>
        <v>4080</v>
      </c>
      <c r="I70" s="10">
        <f t="shared" ref="I70" si="220">I69*$C69</f>
        <v>0</v>
      </c>
      <c r="J70" s="10">
        <f t="shared" ref="J70" si="221">J69*$C69</f>
        <v>0</v>
      </c>
      <c r="K70" s="10">
        <f t="shared" ref="K70" si="222">K69*$C69</f>
        <v>0</v>
      </c>
      <c r="L70" s="10">
        <f t="shared" ref="L70" si="223">L69*$C69</f>
        <v>0</v>
      </c>
      <c r="M70" s="10">
        <f t="shared" ref="M70" si="224">M69*$C69</f>
        <v>-489.6</v>
      </c>
      <c r="N70" s="11">
        <f t="shared" ref="N70" ca="1" si="225">IFERROR(N69/SUM($E69:$F69)*SUM($E70:$F70),"")</f>
        <v>0</v>
      </c>
      <c r="O70" s="10">
        <f>O69*$C69</f>
        <v>4685.880000000001</v>
      </c>
    </row>
    <row r="71" spans="1:15" x14ac:dyDescent="0.55000000000000004">
      <c r="A71" s="80">
        <v>34</v>
      </c>
      <c r="B71" s="80" t="s">
        <v>52</v>
      </c>
      <c r="C71" s="78">
        <f>IFERROR(VLOOKUP(A71,'原料標準単価（貼付）'!B:E,3,FALSE),0)</f>
        <v>0</v>
      </c>
      <c r="D71" s="12" t="s">
        <v>18</v>
      </c>
      <c r="E71" s="13">
        <v>-7.1054273576010019E-15</v>
      </c>
      <c r="F71" s="6">
        <f>IFERROR(VLOOKUP(A71,'1.2①原材料受入'!A:E,3,FALSE),0)</f>
        <v>42.8</v>
      </c>
      <c r="G71" s="6">
        <f ca="1">SUMIF('1.3②原材料使用'!C:E,A71,'1.3②原材料使用'!E:E)</f>
        <v>21</v>
      </c>
      <c r="H71" s="6">
        <f>SUMIFS('1.4原材料(その他)'!E:E,'1.4原材料(その他)'!C:C,A:A,'1.4原材料(その他)'!H:H,H$3)</f>
        <v>2.6</v>
      </c>
      <c r="I71" s="6">
        <f>SUMIFS('1.4原材料(その他)'!E:E,'1.4原材料(その他)'!C:C,A:A,'1.4原材料(その他)'!H:H,I$3)</f>
        <v>0</v>
      </c>
      <c r="J71" s="6">
        <f>SUMIFS('1.4原材料(その他)'!E:E,'1.4原材料(その他)'!C:C,A:A,'1.4原材料(その他)'!H:H,J$3)</f>
        <v>0</v>
      </c>
      <c r="K71" s="6">
        <f>SUMIFS('1.4原材料(その他)'!E:E,'1.4原材料(その他)'!C:C,A:A,'1.4原材料(その他)'!H:H,K$3)</f>
        <v>2.1999999999999997</v>
      </c>
      <c r="L71" s="6">
        <f>SUMIFS('1.4原材料(その他)'!E:E,'1.4原材料(その他)'!C:C,A:A,'1.4原材料(その他)'!H:H,L$3)</f>
        <v>17.12</v>
      </c>
      <c r="M71" s="6">
        <f>SUMIFS('1.4原材料(その他)'!E:E,'1.4原材料(その他)'!C:C,A:A,'1.4原材料(その他)'!H:H,M$3)</f>
        <v>-0.12</v>
      </c>
      <c r="N71" s="7">
        <f ca="1">O71-(E71+F71-SUM(G71:M71))</f>
        <v>7.1054273576010019E-15</v>
      </c>
      <c r="O71" s="8">
        <f>SUMIF('1.5原材料在庫'!A:A,原材料SC明細!A71,'1.5原材料在庫'!D:D)</f>
        <v>-7.1054273576010019E-15</v>
      </c>
    </row>
    <row r="72" spans="1:15" x14ac:dyDescent="0.55000000000000004">
      <c r="A72" s="80"/>
      <c r="B72" s="80"/>
      <c r="C72" s="79"/>
      <c r="D72" s="9" t="s">
        <v>19</v>
      </c>
      <c r="E72" s="10">
        <v>0</v>
      </c>
      <c r="F72" s="10">
        <f>F71*$C71</f>
        <v>0</v>
      </c>
      <c r="G72" s="10">
        <f ca="1">G71*$C71</f>
        <v>0</v>
      </c>
      <c r="H72" s="10">
        <f t="shared" ref="H72" si="226">H71*$C71</f>
        <v>0</v>
      </c>
      <c r="I72" s="10">
        <f t="shared" ref="I72" si="227">I71*$C71</f>
        <v>0</v>
      </c>
      <c r="J72" s="10">
        <f t="shared" ref="J72" si="228">J71*$C71</f>
        <v>0</v>
      </c>
      <c r="K72" s="10">
        <f t="shared" ref="K72" si="229">K71*$C71</f>
        <v>0</v>
      </c>
      <c r="L72" s="10">
        <f t="shared" ref="L72" si="230">L71*$C71</f>
        <v>0</v>
      </c>
      <c r="M72" s="10">
        <f t="shared" ref="M72" si="231">M71*$C71</f>
        <v>0</v>
      </c>
      <c r="N72" s="11">
        <f t="shared" ref="N72" ca="1" si="232">IFERROR(N71/SUM($E71:$F71)*SUM($E72:$F72),"")</f>
        <v>0</v>
      </c>
      <c r="O72" s="10">
        <f>O71*$C71</f>
        <v>0</v>
      </c>
    </row>
    <row r="73" spans="1:15" x14ac:dyDescent="0.55000000000000004">
      <c r="A73" s="80">
        <v>35</v>
      </c>
      <c r="B73" s="80" t="s">
        <v>53</v>
      </c>
      <c r="C73" s="78">
        <f>IFERROR(VLOOKUP(A73,'原料標準単価（貼付）'!B:E,3,FALSE),0)</f>
        <v>290</v>
      </c>
      <c r="D73" s="12" t="s">
        <v>18</v>
      </c>
      <c r="E73" s="13">
        <v>7.1570000000000036</v>
      </c>
      <c r="F73" s="6">
        <f>IFERROR(VLOOKUP(A73,'1.2①原材料受入'!A:E,3,FALSE),0)</f>
        <v>40</v>
      </c>
      <c r="G73" s="6">
        <f ca="1">SUMIF('1.3②原材料使用'!C:E,A73,'1.3②原材料使用'!E:E)</f>
        <v>21</v>
      </c>
      <c r="H73" s="6">
        <f>SUMIFS('1.4原材料(その他)'!E:E,'1.4原材料(その他)'!C:C,A:A,'1.4原材料(その他)'!H:H,H$3)</f>
        <v>2</v>
      </c>
      <c r="I73" s="6">
        <f>SUMIFS('1.4原材料(その他)'!E:E,'1.4原材料(その他)'!C:C,A:A,'1.4原材料(その他)'!H:H,I$3)</f>
        <v>0</v>
      </c>
      <c r="J73" s="6">
        <f>SUMIFS('1.4原材料(その他)'!E:E,'1.4原材料(その他)'!C:C,A:A,'1.4原材料(その他)'!H:H,J$3)</f>
        <v>0</v>
      </c>
      <c r="K73" s="6">
        <f>SUMIFS('1.4原材料(その他)'!E:E,'1.4原材料(その他)'!C:C,A:A,'1.4原材料(その他)'!H:H,K$3)</f>
        <v>0</v>
      </c>
      <c r="L73" s="6">
        <f>SUMIFS('1.4原材料(その他)'!E:E,'1.4原材料(その他)'!C:C,A:A,'1.4原材料(その他)'!H:H,L$3)</f>
        <v>7.4</v>
      </c>
      <c r="M73" s="6">
        <f>SUMIFS('1.4原材料(その他)'!E:E,'1.4原材料(その他)'!C:C,A:A,'1.4原材料(その他)'!H:H,M$3)</f>
        <v>-0.84</v>
      </c>
      <c r="N73" s="7">
        <f ca="1">O73-(E73+F73-SUM(G73:M73))</f>
        <v>0</v>
      </c>
      <c r="O73" s="8">
        <f>SUMIF('1.5原材料在庫'!A:A,原材料SC明細!A73,'1.5原材料在庫'!D:D)</f>
        <v>17.597000000000008</v>
      </c>
    </row>
    <row r="74" spans="1:15" x14ac:dyDescent="0.55000000000000004">
      <c r="A74" s="80"/>
      <c r="B74" s="80"/>
      <c r="C74" s="79"/>
      <c r="D74" s="9" t="s">
        <v>19</v>
      </c>
      <c r="E74" s="10">
        <v>2531.5129530028521</v>
      </c>
      <c r="F74" s="10">
        <f>F73*$C73</f>
        <v>11600</v>
      </c>
      <c r="G74" s="10">
        <f ca="1">G73*$C73</f>
        <v>6090</v>
      </c>
      <c r="H74" s="10">
        <f t="shared" ref="H74" si="233">H73*$C73</f>
        <v>580</v>
      </c>
      <c r="I74" s="10">
        <f t="shared" ref="I74" si="234">I73*$C73</f>
        <v>0</v>
      </c>
      <c r="J74" s="10">
        <f t="shared" ref="J74" si="235">J73*$C73</f>
        <v>0</v>
      </c>
      <c r="K74" s="10">
        <f t="shared" ref="K74" si="236">K73*$C73</f>
        <v>0</v>
      </c>
      <c r="L74" s="10">
        <f t="shared" ref="L74" si="237">L73*$C73</f>
        <v>2146</v>
      </c>
      <c r="M74" s="10">
        <f t="shared" ref="M74" si="238">M73*$C73</f>
        <v>-243.6</v>
      </c>
      <c r="N74" s="11">
        <f t="shared" ref="N74" ca="1" si="239">IFERROR(N73/SUM($E73:$F73)*SUM($E74:$F74),"")</f>
        <v>0</v>
      </c>
      <c r="O74" s="10">
        <f>O73*$C73</f>
        <v>5103.1300000000028</v>
      </c>
    </row>
    <row r="75" spans="1:15" x14ac:dyDescent="0.55000000000000004">
      <c r="A75" s="80">
        <v>36</v>
      </c>
      <c r="B75" s="80" t="s">
        <v>54</v>
      </c>
      <c r="C75" s="78">
        <f>IFERROR(VLOOKUP(A75,'原料標準単価（貼付）'!B:E,3,FALSE),0)</f>
        <v>2160</v>
      </c>
      <c r="D75" s="12" t="s">
        <v>18</v>
      </c>
      <c r="E75" s="13">
        <v>8.9570000000000043</v>
      </c>
      <c r="F75" s="6">
        <f>IFERROR(VLOOKUP(A75,'1.2①原材料受入'!A:E,3,FALSE),0)</f>
        <v>20</v>
      </c>
      <c r="G75" s="6">
        <f ca="1">SUMIF('1.3②原材料使用'!C:E,A75,'1.3②原材料使用'!E:E)</f>
        <v>21</v>
      </c>
      <c r="H75" s="6">
        <f>SUMIFS('1.4原材料(その他)'!E:E,'1.4原材料(その他)'!C:C,A:A,'1.4原材料(その他)'!H:H,H$3)</f>
        <v>2</v>
      </c>
      <c r="I75" s="6">
        <f>SUMIFS('1.4原材料(その他)'!E:E,'1.4原材料(その他)'!C:C,A:A,'1.4原材料(その他)'!H:H,I$3)</f>
        <v>0</v>
      </c>
      <c r="J75" s="6">
        <f>SUMIFS('1.4原材料(その他)'!E:E,'1.4原材料(その他)'!C:C,A:A,'1.4原材料(その他)'!H:H,J$3)</f>
        <v>0</v>
      </c>
      <c r="K75" s="6">
        <f>SUMIFS('1.4原材料(その他)'!E:E,'1.4原材料(その他)'!C:C,A:A,'1.4原材料(その他)'!H:H,K$3)</f>
        <v>0</v>
      </c>
      <c r="L75" s="6">
        <f>SUMIFS('1.4原材料(その他)'!E:E,'1.4原材料(その他)'!C:C,A:A,'1.4原材料(その他)'!H:H,L$3)</f>
        <v>0</v>
      </c>
      <c r="M75" s="6">
        <f>SUMIFS('1.4原材料(その他)'!E:E,'1.4原材料(その他)'!C:C,A:A,'1.4原材料(その他)'!H:H,M$3)</f>
        <v>-0.04</v>
      </c>
      <c r="N75" s="7">
        <f ca="1">O75-(E75+F75-SUM(G75:M75))</f>
        <v>0</v>
      </c>
      <c r="O75" s="8">
        <f>SUMIF('1.5原材料在庫'!A:A,原材料SC明細!A75,'1.5原材料在庫'!D:D)</f>
        <v>5.9970000000000034</v>
      </c>
    </row>
    <row r="76" spans="1:15" x14ac:dyDescent="0.55000000000000004">
      <c r="A76" s="80"/>
      <c r="B76" s="80"/>
      <c r="C76" s="79"/>
      <c r="D76" s="9" t="s">
        <v>19</v>
      </c>
      <c r="E76" s="10">
        <v>19340.962392310863</v>
      </c>
      <c r="F76" s="10">
        <f>F75*$C75</f>
        <v>43200</v>
      </c>
      <c r="G76" s="10">
        <f ca="1">G75*$C75</f>
        <v>45360</v>
      </c>
      <c r="H76" s="10">
        <f t="shared" ref="H76" si="240">H75*$C75</f>
        <v>4320</v>
      </c>
      <c r="I76" s="10">
        <f t="shared" ref="I76" si="241">I75*$C75</f>
        <v>0</v>
      </c>
      <c r="J76" s="10">
        <f t="shared" ref="J76" si="242">J75*$C75</f>
        <v>0</v>
      </c>
      <c r="K76" s="10">
        <f t="shared" ref="K76" si="243">K75*$C75</f>
        <v>0</v>
      </c>
      <c r="L76" s="10">
        <f t="shared" ref="L76" si="244">L75*$C75</f>
        <v>0</v>
      </c>
      <c r="M76" s="10">
        <f t="shared" ref="M76" si="245">M75*$C75</f>
        <v>-86.4</v>
      </c>
      <c r="N76" s="11">
        <f t="shared" ref="N76" ca="1" si="246">IFERROR(N75/SUM($E75:$F75)*SUM($E76:$F76),"")</f>
        <v>0</v>
      </c>
      <c r="O76" s="10">
        <f>O75*$C75</f>
        <v>12953.520000000008</v>
      </c>
    </row>
    <row r="77" spans="1:15" x14ac:dyDescent="0.55000000000000004">
      <c r="A77" s="80">
        <v>37</v>
      </c>
      <c r="B77" s="80" t="s">
        <v>55</v>
      </c>
      <c r="C77" s="78">
        <f>IFERROR(VLOOKUP(A77,'原料標準単価（貼付）'!B:E,3,FALSE),0)</f>
        <v>250</v>
      </c>
      <c r="D77" s="12" t="s">
        <v>18</v>
      </c>
      <c r="E77" s="13">
        <v>22.40000000000034</v>
      </c>
      <c r="F77" s="6">
        <f>IFERROR(VLOOKUP(A77,'1.2①原材料受入'!A:E,3,FALSE),0)</f>
        <v>630</v>
      </c>
      <c r="G77" s="6">
        <f ca="1">SUMIF('1.3②原材料使用'!C:E,A77,'1.3②原材料使用'!E:E)</f>
        <v>629.47</v>
      </c>
      <c r="H77" s="6">
        <f>SUMIFS('1.4原材料(その他)'!E:E,'1.4原材料(その他)'!C:C,A:A,'1.4原材料(その他)'!H:H,H$3)</f>
        <v>2</v>
      </c>
      <c r="I77" s="6">
        <f>SUMIFS('1.4原材料(その他)'!E:E,'1.4原材料(その他)'!C:C,A:A,'1.4原材料(その他)'!H:H,I$3)</f>
        <v>0</v>
      </c>
      <c r="J77" s="6">
        <f>SUMIFS('1.4原材料(その他)'!E:E,'1.4原材料(その他)'!C:C,A:A,'1.4原材料(その他)'!H:H,J$3)</f>
        <v>0</v>
      </c>
      <c r="K77" s="6">
        <f>SUMIFS('1.4原材料(その他)'!E:E,'1.4原材料(その他)'!C:C,A:A,'1.4原材料(その他)'!H:H,K$3)</f>
        <v>0</v>
      </c>
      <c r="L77" s="6">
        <f>SUMIFS('1.4原材料(その他)'!E:E,'1.4原材料(その他)'!C:C,A:A,'1.4原材料(その他)'!H:H,L$3)</f>
        <v>0</v>
      </c>
      <c r="M77" s="6">
        <f>SUMIFS('1.4原材料(その他)'!E:E,'1.4原材料(その他)'!C:C,A:A,'1.4原材料(その他)'!H:H,M$3)</f>
        <v>0.33000000000000007</v>
      </c>
      <c r="N77" s="7">
        <f ca="1">O77-(E77+F77-SUM(G77:M77))</f>
        <v>0</v>
      </c>
      <c r="O77" s="8">
        <f>SUMIF('1.5原材料在庫'!A:A,原材料SC明細!A77,'1.5原材料在庫'!D:D)</f>
        <v>20.60000000000025</v>
      </c>
    </row>
    <row r="78" spans="1:15" x14ac:dyDescent="0.55000000000000004">
      <c r="A78" s="80"/>
      <c r="B78" s="80"/>
      <c r="C78" s="79"/>
      <c r="D78" s="9" t="s">
        <v>19</v>
      </c>
      <c r="E78" s="10">
        <v>5600.0712338043213</v>
      </c>
      <c r="F78" s="10">
        <f>F77*$C77</f>
        <v>157500</v>
      </c>
      <c r="G78" s="10">
        <f ca="1">G77*$C77</f>
        <v>157367.5</v>
      </c>
      <c r="H78" s="10">
        <f t="shared" ref="H78" si="247">H77*$C77</f>
        <v>500</v>
      </c>
      <c r="I78" s="10">
        <f t="shared" ref="I78" si="248">I77*$C77</f>
        <v>0</v>
      </c>
      <c r="J78" s="10">
        <f t="shared" ref="J78" si="249">J77*$C77</f>
        <v>0</v>
      </c>
      <c r="K78" s="10">
        <f t="shared" ref="K78" si="250">K77*$C77</f>
        <v>0</v>
      </c>
      <c r="L78" s="10">
        <f t="shared" ref="L78" si="251">L77*$C77</f>
        <v>0</v>
      </c>
      <c r="M78" s="10">
        <f t="shared" ref="M78" si="252">M77*$C77</f>
        <v>82.500000000000014</v>
      </c>
      <c r="N78" s="11">
        <f t="shared" ref="N78" ca="1" si="253">IFERROR(N77/SUM($E77:$F77)*SUM($E78:$F78),"")</f>
        <v>0</v>
      </c>
      <c r="O78" s="10">
        <f>O77*$C77</f>
        <v>5150.0000000000628</v>
      </c>
    </row>
    <row r="79" spans="1:15" x14ac:dyDescent="0.55000000000000004">
      <c r="A79" s="80">
        <v>38</v>
      </c>
      <c r="B79" s="80" t="s">
        <v>56</v>
      </c>
      <c r="C79" s="78">
        <f>IFERROR(VLOOKUP(A79,'原料標準単価（貼付）'!B:E,3,FALSE),0)</f>
        <v>400</v>
      </c>
      <c r="D79" s="12" t="s">
        <v>18</v>
      </c>
      <c r="E79" s="13">
        <v>10.900000000000205</v>
      </c>
      <c r="F79" s="6">
        <f>IFERROR(VLOOKUP(A79,'1.2①原材料受入'!A:E,3,FALSE),0)</f>
        <v>960</v>
      </c>
      <c r="G79" s="6">
        <f ca="1">SUMIF('1.3②原材料使用'!C:E,A79,'1.3②原材料使用'!E:E)</f>
        <v>944.21999999999991</v>
      </c>
      <c r="H79" s="6">
        <f>SUMIFS('1.4原材料(その他)'!E:E,'1.4原材料(その他)'!C:C,A:A,'1.4原材料(その他)'!H:H,H$3)</f>
        <v>2</v>
      </c>
      <c r="I79" s="6">
        <f>SUMIFS('1.4原材料(その他)'!E:E,'1.4原材料(その他)'!C:C,A:A,'1.4原材料(その他)'!H:H,I$3)</f>
        <v>0</v>
      </c>
      <c r="J79" s="6">
        <f>SUMIFS('1.4原材料(その他)'!E:E,'1.4原材料(その他)'!C:C,A:A,'1.4原材料(その他)'!H:H,J$3)</f>
        <v>0</v>
      </c>
      <c r="K79" s="6">
        <f>SUMIFS('1.4原材料(その他)'!E:E,'1.4原材料(その他)'!C:C,A:A,'1.4原材料(その他)'!H:H,K$3)</f>
        <v>0</v>
      </c>
      <c r="L79" s="6">
        <f>SUMIFS('1.4原材料(その他)'!E:E,'1.4原材料(その他)'!C:C,A:A,'1.4原材料(その他)'!H:H,L$3)</f>
        <v>0</v>
      </c>
      <c r="M79" s="6">
        <f>SUMIFS('1.4原材料(その他)'!E:E,'1.4原材料(その他)'!C:C,A:A,'1.4原材料(その他)'!H:H,M$3)</f>
        <v>3.08</v>
      </c>
      <c r="N79" s="7">
        <f ca="1">O79-(E79+F79-SUM(G79:M79))</f>
        <v>1.1368683772161603E-13</v>
      </c>
      <c r="O79" s="8">
        <f>SUMIF('1.5原材料在庫'!A:A,原材料SC明細!A79,'1.5原材料在庫'!D:D)</f>
        <v>21.600000000000364</v>
      </c>
    </row>
    <row r="80" spans="1:15" x14ac:dyDescent="0.55000000000000004">
      <c r="A80" s="80"/>
      <c r="B80" s="80"/>
      <c r="C80" s="79"/>
      <c r="D80" s="9" t="s">
        <v>19</v>
      </c>
      <c r="E80" s="10">
        <v>3633.3927093249595</v>
      </c>
      <c r="F80" s="10">
        <f>F79*$C79</f>
        <v>384000</v>
      </c>
      <c r="G80" s="10">
        <f ca="1">G79*$C79</f>
        <v>377687.99999999994</v>
      </c>
      <c r="H80" s="10">
        <f t="shared" ref="H80" si="254">H79*$C79</f>
        <v>800</v>
      </c>
      <c r="I80" s="10">
        <f t="shared" ref="I80" si="255">I79*$C79</f>
        <v>0</v>
      </c>
      <c r="J80" s="10">
        <f t="shared" ref="J80" si="256">J79*$C79</f>
        <v>0</v>
      </c>
      <c r="K80" s="10">
        <f t="shared" ref="K80" si="257">K79*$C79</f>
        <v>0</v>
      </c>
      <c r="L80" s="10">
        <f t="shared" ref="L80" si="258">L79*$C79</f>
        <v>0</v>
      </c>
      <c r="M80" s="10">
        <f t="shared" ref="M80" si="259">M79*$C79</f>
        <v>1232</v>
      </c>
      <c r="N80" s="11">
        <f t="shared" ref="N80" ca="1" si="260">IFERROR(N79/SUM($E79:$F79)*SUM($E80:$F80),"")</f>
        <v>4.5389653530151891E-11</v>
      </c>
      <c r="O80" s="10">
        <f>O79*$C79</f>
        <v>8640.0000000001455</v>
      </c>
    </row>
    <row r="81" spans="1:15" x14ac:dyDescent="0.55000000000000004">
      <c r="A81" s="80">
        <v>39</v>
      </c>
      <c r="B81" s="80" t="s">
        <v>57</v>
      </c>
      <c r="C81" s="78">
        <f>IFERROR(VLOOKUP(A81,'原料標準単価（貼付）'!B:E,3,FALSE),0)</f>
        <v>1034.6666666666667</v>
      </c>
      <c r="D81" s="12" t="s">
        <v>18</v>
      </c>
      <c r="E81" s="13">
        <v>-2.2915003228263231E-13</v>
      </c>
      <c r="F81" s="6">
        <f>IFERROR(VLOOKUP(A81,'1.2①原材料受入'!A:E,3,FALSE),0)</f>
        <v>1575</v>
      </c>
      <c r="G81" s="6">
        <f ca="1">SUMIF('1.3②原材料使用'!C:E,A81,'1.3②原材料使用'!E:E)</f>
        <v>1562</v>
      </c>
      <c r="H81" s="6">
        <f>SUMIFS('1.4原材料(その他)'!E:E,'1.4原材料(その他)'!C:C,A:A,'1.4原材料(その他)'!H:H,H$3)</f>
        <v>5</v>
      </c>
      <c r="I81" s="6">
        <f>SUMIFS('1.4原材料(その他)'!E:E,'1.4原材料(その他)'!C:C,A:A,'1.4原材料(その他)'!H:H,I$3)</f>
        <v>0</v>
      </c>
      <c r="J81" s="6">
        <f>SUMIFS('1.4原材料(その他)'!E:E,'1.4原材料(その他)'!C:C,A:A,'1.4原材料(その他)'!H:H,J$3)</f>
        <v>0</v>
      </c>
      <c r="K81" s="6">
        <f>SUMIFS('1.4原材料(その他)'!E:E,'1.4原材料(その他)'!C:C,A:A,'1.4原材料(その他)'!H:H,K$3)</f>
        <v>0</v>
      </c>
      <c r="L81" s="6">
        <f>SUMIFS('1.4原材料(その他)'!E:E,'1.4原材料(その他)'!C:C,A:A,'1.4原材料(その他)'!H:H,L$3)</f>
        <v>8.1</v>
      </c>
      <c r="M81" s="6">
        <f>SUMIFS('1.4原材料(その他)'!E:E,'1.4原材料(その他)'!C:C,A:A,'1.4原材料(その他)'!H:H,M$3)</f>
        <v>-0.1</v>
      </c>
      <c r="N81" s="7">
        <f ca="1">O81-(E81+F81-SUM(G81:M81))</f>
        <v>-1.7763568394002505E-15</v>
      </c>
      <c r="O81" s="8">
        <f>SUMIF('1.5原材料在庫'!A:A,原材料SC明細!A81,'1.5原材料在庫'!D:D)</f>
        <v>-2.2915003228263231E-13</v>
      </c>
    </row>
    <row r="82" spans="1:15" x14ac:dyDescent="0.55000000000000004">
      <c r="A82" s="80"/>
      <c r="B82" s="80"/>
      <c r="C82" s="79"/>
      <c r="D82" s="9" t="s">
        <v>19</v>
      </c>
      <c r="E82" s="10">
        <v>-2.3985882587049393E-10</v>
      </c>
      <c r="F82" s="10">
        <f>F81*$C81</f>
        <v>1629600.0000000002</v>
      </c>
      <c r="G82" s="10">
        <f ca="1">G81*$C81</f>
        <v>1616149.3333333335</v>
      </c>
      <c r="H82" s="10">
        <f t="shared" ref="H82" si="261">H81*$C81</f>
        <v>5173.3333333333339</v>
      </c>
      <c r="I82" s="10">
        <f t="shared" ref="I82" si="262">I81*$C81</f>
        <v>0</v>
      </c>
      <c r="J82" s="10">
        <f t="shared" ref="J82" si="263">J81*$C81</f>
        <v>0</v>
      </c>
      <c r="K82" s="10">
        <f t="shared" ref="K82" si="264">K81*$C81</f>
        <v>0</v>
      </c>
      <c r="L82" s="10">
        <f t="shared" ref="L82" si="265">L81*$C81</f>
        <v>8380.8000000000011</v>
      </c>
      <c r="M82" s="10">
        <f t="shared" ref="M82" si="266">M81*$C81</f>
        <v>-103.46666666666668</v>
      </c>
      <c r="N82" s="11">
        <f t="shared" ref="N82" ca="1" si="267">IFERROR(N81/SUM($E81:$F81)*SUM($E82:$F82),"")</f>
        <v>-1.8379372098327926E-12</v>
      </c>
      <c r="O82" s="10">
        <f>O81*$C81</f>
        <v>-2.3709390006843023E-10</v>
      </c>
    </row>
    <row r="83" spans="1:15" x14ac:dyDescent="0.55000000000000004">
      <c r="A83" s="80">
        <v>40</v>
      </c>
      <c r="B83" s="80" t="s">
        <v>58</v>
      </c>
      <c r="C83" s="78">
        <f>IFERROR(VLOOKUP(A83,'原料標準単価（貼付）'!B:E,3,FALSE),0)</f>
        <v>987.52380952380952</v>
      </c>
      <c r="D83" s="12" t="s">
        <v>18</v>
      </c>
      <c r="E83" s="13">
        <v>-2.2915003228263231E-13</v>
      </c>
      <c r="F83" s="6">
        <f>IFERROR(VLOOKUP(A83,'1.2①原材料受入'!A:E,3,FALSE),0)</f>
        <v>1575</v>
      </c>
      <c r="G83" s="6">
        <f ca="1">SUMIF('1.3②原材料使用'!C:E,A83,'1.3②原材料使用'!E:E)</f>
        <v>1562</v>
      </c>
      <c r="H83" s="6">
        <f>SUMIFS('1.4原材料(その他)'!E:E,'1.4原材料(その他)'!C:C,A:A,'1.4原材料(その他)'!H:H,H$3)</f>
        <v>5</v>
      </c>
      <c r="I83" s="6">
        <f>SUMIFS('1.4原材料(その他)'!E:E,'1.4原材料(その他)'!C:C,A:A,'1.4原材料(その他)'!H:H,I$3)</f>
        <v>0</v>
      </c>
      <c r="J83" s="6">
        <f>SUMIFS('1.4原材料(その他)'!E:E,'1.4原材料(その他)'!C:C,A:A,'1.4原材料(その他)'!H:H,J$3)</f>
        <v>0</v>
      </c>
      <c r="K83" s="6">
        <f>SUMIFS('1.4原材料(その他)'!E:E,'1.4原材料(その他)'!C:C,A:A,'1.4原材料(その他)'!H:H,K$3)</f>
        <v>0</v>
      </c>
      <c r="L83" s="6">
        <f>SUMIFS('1.4原材料(その他)'!E:E,'1.4原材料(その他)'!C:C,A:A,'1.4原材料(その他)'!H:H,L$3)</f>
        <v>8.1</v>
      </c>
      <c r="M83" s="6">
        <f>SUMIFS('1.4原材料(その他)'!E:E,'1.4原材料(その他)'!C:C,A:A,'1.4原材料(その他)'!H:H,M$3)</f>
        <v>-0.1</v>
      </c>
      <c r="N83" s="7">
        <f ca="1">O83-(E83+F83-SUM(G83:M83))</f>
        <v>-1.7763568394002505E-15</v>
      </c>
      <c r="O83" s="8">
        <f>SUMIF('1.5原材料在庫'!A:A,原材料SC明細!A83,'1.5原材料在庫'!D:D)</f>
        <v>-2.2915003228263231E-13</v>
      </c>
    </row>
    <row r="84" spans="1:15" x14ac:dyDescent="0.55000000000000004">
      <c r="A84" s="80"/>
      <c r="B84" s="80"/>
      <c r="C84" s="79"/>
      <c r="D84" s="9" t="s">
        <v>19</v>
      </c>
      <c r="E84" s="10">
        <v>-2.2907877804189029E-10</v>
      </c>
      <c r="F84" s="10">
        <f>F83*$C83</f>
        <v>1555350</v>
      </c>
      <c r="G84" s="10">
        <f ca="1">G83*$C83</f>
        <v>1542512.1904761905</v>
      </c>
      <c r="H84" s="10">
        <f t="shared" ref="H84" si="268">H83*$C83</f>
        <v>4937.6190476190477</v>
      </c>
      <c r="I84" s="10">
        <f t="shared" ref="I84" si="269">I83*$C83</f>
        <v>0</v>
      </c>
      <c r="J84" s="10">
        <f t="shared" ref="J84" si="270">J83*$C83</f>
        <v>0</v>
      </c>
      <c r="K84" s="10">
        <f t="shared" ref="K84" si="271">K83*$C83</f>
        <v>0</v>
      </c>
      <c r="L84" s="10">
        <f t="shared" ref="L84" si="272">L83*$C83</f>
        <v>7998.9428571428571</v>
      </c>
      <c r="M84" s="10">
        <f t="shared" ref="M84" si="273">M83*$C83</f>
        <v>-98.75238095238096</v>
      </c>
      <c r="N84" s="11">
        <f t="shared" ref="N84" ca="1" si="274">IFERROR(N83/SUM($E83:$F83)*SUM($E84:$F84),"")</f>
        <v>-1.7541946731182092E-12</v>
      </c>
      <c r="O84" s="10">
        <f>O83*$C83</f>
        <v>-2.26291112832249E-10</v>
      </c>
    </row>
    <row r="85" spans="1:15" x14ac:dyDescent="0.55000000000000004">
      <c r="A85" s="80">
        <v>41</v>
      </c>
      <c r="B85" s="80" t="s">
        <v>59</v>
      </c>
      <c r="C85" s="78">
        <f>IFERROR(VLOOKUP(A85,'原料標準単価（貼付）'!B:E,3,FALSE),0)</f>
        <v>3700</v>
      </c>
      <c r="D85" s="12" t="s">
        <v>18</v>
      </c>
      <c r="E85" s="13">
        <v>-3.9999999999977831E-3</v>
      </c>
      <c r="F85" s="6">
        <f>IFERROR(VLOOKUP(A85,'1.2①原材料受入'!A:E,3,FALSE),0)</f>
        <v>20</v>
      </c>
      <c r="G85" s="6">
        <f ca="1">SUMIF('1.3②原材料使用'!C:E,A85,'1.3②原材料使用'!E:E)</f>
        <v>10.502000000000001</v>
      </c>
      <c r="H85" s="6">
        <f>SUMIFS('1.4原材料(その他)'!E:E,'1.4原材料(その他)'!C:C,A:A,'1.4原材料(その他)'!H:H,H$3)</f>
        <v>2</v>
      </c>
      <c r="I85" s="6">
        <f>SUMIFS('1.4原材料(その他)'!E:E,'1.4原材料(その他)'!C:C,A:A,'1.4原材料(その他)'!H:H,I$3)</f>
        <v>0</v>
      </c>
      <c r="J85" s="6">
        <f>SUMIFS('1.4原材料(その他)'!E:E,'1.4原材料(その他)'!C:C,A:A,'1.4原材料(その他)'!H:H,J$3)</f>
        <v>0</v>
      </c>
      <c r="K85" s="6">
        <f>SUMIFS('1.4原材料(その他)'!E:E,'1.4原材料(その他)'!C:C,A:A,'1.4原材料(その他)'!H:H,K$3)</f>
        <v>0</v>
      </c>
      <c r="L85" s="6">
        <f>SUMIFS('1.4原材料(その他)'!E:E,'1.4原材料(その他)'!C:C,A:A,'1.4原材料(その他)'!H:H,L$3)</f>
        <v>7.5</v>
      </c>
      <c r="M85" s="6">
        <f>SUMIFS('1.4原材料(その他)'!E:E,'1.4原材料(その他)'!C:C,A:A,'1.4原材料(その他)'!H:H,M$3)</f>
        <v>0</v>
      </c>
      <c r="N85" s="7">
        <f ca="1">O85-(E85+F85-SUM(G85:M85))</f>
        <v>3.5527136788005009E-15</v>
      </c>
      <c r="O85" s="8">
        <f>SUMIF('1.5原材料在庫'!A:A,原材料SC明細!A85,'1.5原材料在庫'!D:D)</f>
        <v>-5.9999999999966747E-3</v>
      </c>
    </row>
    <row r="86" spans="1:15" x14ac:dyDescent="0.55000000000000004">
      <c r="A86" s="80"/>
      <c r="B86" s="80"/>
      <c r="C86" s="79"/>
      <c r="D86" s="9" t="s">
        <v>19</v>
      </c>
      <c r="E86" s="10">
        <v>-14.184903072407907</v>
      </c>
      <c r="F86" s="10">
        <f>F85*$C85</f>
        <v>74000</v>
      </c>
      <c r="G86" s="10">
        <f ca="1">G85*$C85</f>
        <v>38857.4</v>
      </c>
      <c r="H86" s="10">
        <f t="shared" ref="H86" si="275">H85*$C85</f>
        <v>7400</v>
      </c>
      <c r="I86" s="10">
        <f t="shared" ref="I86" si="276">I85*$C85</f>
        <v>0</v>
      </c>
      <c r="J86" s="10">
        <f t="shared" ref="J86" si="277">J85*$C85</f>
        <v>0</v>
      </c>
      <c r="K86" s="10">
        <f t="shared" ref="K86" si="278">K85*$C85</f>
        <v>0</v>
      </c>
      <c r="L86" s="10">
        <f t="shared" ref="L86" si="279">L85*$C85</f>
        <v>27750</v>
      </c>
      <c r="M86" s="10">
        <f t="shared" ref="M86" si="280">M85*$C85</f>
        <v>0</v>
      </c>
      <c r="N86" s="11">
        <f t="shared" ref="N86" ca="1" si="281">IFERROR(N85/SUM($E85:$F85)*SUM($E86:$F86),"")</f>
        <v>1.3145149896582277E-11</v>
      </c>
      <c r="O86" s="10">
        <f>O85*$C85</f>
        <v>-22.199999999987696</v>
      </c>
    </row>
    <row r="87" spans="1:15" x14ac:dyDescent="0.55000000000000004">
      <c r="A87" s="80">
        <v>42</v>
      </c>
      <c r="B87" s="80" t="s">
        <v>60</v>
      </c>
      <c r="C87" s="78">
        <f>IFERROR(VLOOKUP(A87,'原料標準単価（貼付）'!B:E,3,FALSE),0)</f>
        <v>4200</v>
      </c>
      <c r="D87" s="12" t="s">
        <v>18</v>
      </c>
      <c r="E87" s="13">
        <v>0.30400000000008731</v>
      </c>
      <c r="F87" s="6">
        <f>IFERROR(VLOOKUP(A87,'1.2①原材料受入'!A:E,3,FALSE),0)</f>
        <v>110</v>
      </c>
      <c r="G87" s="6">
        <f ca="1">SUMIF('1.3②原材料使用'!C:E,A87,'1.3②原材料使用'!E:E)</f>
        <v>105.00200000000001</v>
      </c>
      <c r="H87" s="6">
        <f>SUMIFS('1.4原材料(その他)'!E:E,'1.4原材料(その他)'!C:C,A:A,'1.4原材料(その他)'!H:H,H$3)</f>
        <v>2</v>
      </c>
      <c r="I87" s="6">
        <f>SUMIFS('1.4原材料(その他)'!E:E,'1.4原材料(その他)'!C:C,A:A,'1.4原材料(その他)'!H:H,I$3)</f>
        <v>0</v>
      </c>
      <c r="J87" s="6">
        <f>SUMIFS('1.4原材料(その他)'!E:E,'1.4原材料(その他)'!C:C,A:A,'1.4原材料(その他)'!H:H,J$3)</f>
        <v>0</v>
      </c>
      <c r="K87" s="6">
        <f>SUMIFS('1.4原材料(その他)'!E:E,'1.4原材料(その他)'!C:C,A:A,'1.4原材料(その他)'!H:H,K$3)</f>
        <v>0</v>
      </c>
      <c r="L87" s="6">
        <f>SUMIFS('1.4原材料(その他)'!E:E,'1.4原材料(その他)'!C:C,A:A,'1.4原材料(その他)'!H:H,L$3)</f>
        <v>0</v>
      </c>
      <c r="M87" s="6">
        <f>SUMIFS('1.4原材料(その他)'!E:E,'1.4原材料(その他)'!C:C,A:A,'1.4原材料(その他)'!H:H,M$3)</f>
        <v>-0.60199999999999998</v>
      </c>
      <c r="N87" s="7">
        <f ca="1">O87-(E87+F87-SUM(G87:M87))</f>
        <v>-1.4210854715202004E-14</v>
      </c>
      <c r="O87" s="8">
        <f>SUMIF('1.5原材料在庫'!A:A,原材料SC明細!A87,'1.5原材料在庫'!D:D)</f>
        <v>3.9040000000000674</v>
      </c>
    </row>
    <row r="88" spans="1:15" x14ac:dyDescent="0.55000000000000004">
      <c r="A88" s="80"/>
      <c r="B88" s="80"/>
      <c r="C88" s="79"/>
      <c r="D88" s="9" t="s">
        <v>19</v>
      </c>
      <c r="E88" s="10">
        <v>1275.6479801366991</v>
      </c>
      <c r="F88" s="10">
        <f>F87*$C87</f>
        <v>462000</v>
      </c>
      <c r="G88" s="10">
        <f ca="1">G87*$C87</f>
        <v>441008.4</v>
      </c>
      <c r="H88" s="10">
        <f t="shared" ref="H88" si="282">H87*$C87</f>
        <v>8400</v>
      </c>
      <c r="I88" s="10">
        <f t="shared" ref="I88" si="283">I87*$C87</f>
        <v>0</v>
      </c>
      <c r="J88" s="10">
        <f t="shared" ref="J88" si="284">J87*$C87</f>
        <v>0</v>
      </c>
      <c r="K88" s="10">
        <f t="shared" ref="K88" si="285">K87*$C87</f>
        <v>0</v>
      </c>
      <c r="L88" s="10">
        <f t="shared" ref="L88" si="286">L87*$C87</f>
        <v>0</v>
      </c>
      <c r="M88" s="10">
        <f t="shared" ref="M88" si="287">M87*$C87</f>
        <v>-2528.4</v>
      </c>
      <c r="N88" s="11">
        <f t="shared" ref="N88" ca="1" si="288">IFERROR(N87/SUM($E87:$F87)*SUM($E88:$F88),"")</f>
        <v>-5.9685441385052072E-11</v>
      </c>
      <c r="O88" s="10">
        <f>O87*$C87</f>
        <v>16396.800000000283</v>
      </c>
    </row>
    <row r="89" spans="1:15" x14ac:dyDescent="0.55000000000000004">
      <c r="A89" s="80">
        <v>43</v>
      </c>
      <c r="B89" s="80" t="s">
        <v>61</v>
      </c>
      <c r="C89" s="78">
        <f>IFERROR(VLOOKUP(A89,'原料標準単価（貼付）'!B:E,3,FALSE),0)</f>
        <v>4129.6208530805688</v>
      </c>
      <c r="D89" s="12" t="s">
        <v>18</v>
      </c>
      <c r="E89" s="13">
        <v>3.0620000000001326</v>
      </c>
      <c r="F89" s="6">
        <f>IFERROR(VLOOKUP(A89,'1.2①原材料受入'!A:E,3,FALSE),0)</f>
        <v>1266</v>
      </c>
      <c r="G89" s="6">
        <f ca="1">SUMIF('1.3②原材料使用'!C:E,A89,'1.3②原材料使用'!E:E)</f>
        <v>1260.01</v>
      </c>
      <c r="H89" s="6">
        <f>SUMIFS('1.4原材料(その他)'!E:E,'1.4原材料(その他)'!C:C,A:A,'1.4原材料(その他)'!H:H,H$3)</f>
        <v>4</v>
      </c>
      <c r="I89" s="6">
        <f>SUMIFS('1.4原材料(その他)'!E:E,'1.4原材料(その他)'!C:C,A:A,'1.4原材料(その他)'!H:H,I$3)</f>
        <v>0</v>
      </c>
      <c r="J89" s="6">
        <f>SUMIFS('1.4原材料(その他)'!E:E,'1.4原材料(その他)'!C:C,A:A,'1.4原材料(その他)'!H:H,J$3)</f>
        <v>0</v>
      </c>
      <c r="K89" s="6">
        <f>SUMIFS('1.4原材料(その他)'!E:E,'1.4原材料(その他)'!C:C,A:A,'1.4原材料(その他)'!H:H,K$3)</f>
        <v>0</v>
      </c>
      <c r="L89" s="6">
        <f>SUMIFS('1.4原材料(その他)'!E:E,'1.4原材料(その他)'!C:C,A:A,'1.4原材料(その他)'!H:H,L$3)</f>
        <v>0</v>
      </c>
      <c r="M89" s="6">
        <f>SUMIFS('1.4原材料(その他)'!E:E,'1.4原材料(その他)'!C:C,A:A,'1.4原材料(その他)'!H:H,M$3)</f>
        <v>-0.43999999999999995</v>
      </c>
      <c r="N89" s="7">
        <f ca="1">O89-(E89+F89-SUM(G89:M89))</f>
        <v>-5.6843418860808015E-14</v>
      </c>
      <c r="O89" s="8">
        <f>SUMIF('1.5原材料在庫'!A:A,原材料SC明細!A89,'1.5原材料在庫'!D:D)</f>
        <v>5.4920000000001323</v>
      </c>
    </row>
    <row r="90" spans="1:15" x14ac:dyDescent="0.55000000000000004">
      <c r="A90" s="80"/>
      <c r="B90" s="80"/>
      <c r="C90" s="79"/>
      <c r="D90" s="9" t="s">
        <v>19</v>
      </c>
      <c r="E90" s="10">
        <v>12492.264618421059</v>
      </c>
      <c r="F90" s="10">
        <f>F89*$C89</f>
        <v>5228100</v>
      </c>
      <c r="G90" s="10">
        <f ca="1">G89*$C89</f>
        <v>5203363.5710900472</v>
      </c>
      <c r="H90" s="10">
        <f t="shared" ref="H90" si="289">H89*$C89</f>
        <v>16518.483412322275</v>
      </c>
      <c r="I90" s="10">
        <f t="shared" ref="I90" si="290">I89*$C89</f>
        <v>0</v>
      </c>
      <c r="J90" s="10">
        <f t="shared" ref="J90" si="291">J89*$C89</f>
        <v>0</v>
      </c>
      <c r="K90" s="10">
        <f t="shared" ref="K90" si="292">K89*$C89</f>
        <v>0</v>
      </c>
      <c r="L90" s="10">
        <f t="shared" ref="L90" si="293">L89*$C89</f>
        <v>0</v>
      </c>
      <c r="M90" s="10">
        <f t="shared" ref="M90" si="294">M89*$C89</f>
        <v>-1817.0331753554501</v>
      </c>
      <c r="N90" s="11">
        <f t="shared" ref="N90" ca="1" si="295">IFERROR(N89/SUM($E89:$F89)*SUM($E90:$F90),"")</f>
        <v>-2.347349311352915E-10</v>
      </c>
      <c r="O90" s="10">
        <f>O89*$C89</f>
        <v>22679.877725119029</v>
      </c>
    </row>
    <row r="91" spans="1:15" x14ac:dyDescent="0.55000000000000004">
      <c r="A91" s="80">
        <v>44</v>
      </c>
      <c r="B91" s="80" t="s">
        <v>62</v>
      </c>
      <c r="C91" s="78">
        <f>IFERROR(VLOOKUP(A91,'原料標準単価（貼付）'!B:E,3,FALSE),0)</f>
        <v>8445</v>
      </c>
      <c r="D91" s="12" t="s">
        <v>18</v>
      </c>
      <c r="E91" s="13">
        <v>1.2660000000000053</v>
      </c>
      <c r="F91" s="6">
        <f>IFERROR(VLOOKUP(A91,'1.2①原材料受入'!A:E,3,FALSE),0)</f>
        <v>23</v>
      </c>
      <c r="G91" s="6">
        <f ca="1">SUMIF('1.3②原材料使用'!C:E,A91,'1.3②原材料使用'!E:E)</f>
        <v>21.004000000000001</v>
      </c>
      <c r="H91" s="6">
        <f>SUMIFS('1.4原材料(その他)'!E:E,'1.4原材料(その他)'!C:C,A:A,'1.4原材料(その他)'!H:H,H$3)</f>
        <v>0.5</v>
      </c>
      <c r="I91" s="6">
        <f>SUMIFS('1.4原材料(その他)'!E:E,'1.4原材料(その他)'!C:C,A:A,'1.4原材料(その他)'!H:H,I$3)</f>
        <v>0</v>
      </c>
      <c r="J91" s="6">
        <f>SUMIFS('1.4原材料(その他)'!E:E,'1.4原材料(その他)'!C:C,A:A,'1.4原材料(その他)'!H:H,J$3)</f>
        <v>0</v>
      </c>
      <c r="K91" s="6">
        <f>SUMIFS('1.4原材料(その他)'!E:E,'1.4原材料(その他)'!C:C,A:A,'1.4原材料(その他)'!H:H,K$3)</f>
        <v>0</v>
      </c>
      <c r="L91" s="6">
        <f>SUMIFS('1.4原材料(その他)'!E:E,'1.4原材料(その他)'!C:C,A:A,'1.4原材料(その他)'!H:H,L$3)</f>
        <v>2.6</v>
      </c>
      <c r="M91" s="6">
        <f>SUMIFS('1.4原材料(その他)'!E:E,'1.4原材料(その他)'!C:C,A:A,'1.4原材料(その他)'!H:H,M$3)</f>
        <v>0.15600000000000003</v>
      </c>
      <c r="N91" s="7">
        <f ca="1">O91-(E91+F91-SUM(G91:M91))</f>
        <v>7.1054273576010019E-15</v>
      </c>
      <c r="O91" s="8">
        <f>SUMIF('1.5原材料在庫'!A:A,原材料SC明細!A91,'1.5原材料在庫'!D:D)</f>
        <v>6.0000000000108855E-3</v>
      </c>
    </row>
    <row r="92" spans="1:15" x14ac:dyDescent="0.55000000000000004">
      <c r="A92" s="80"/>
      <c r="B92" s="80"/>
      <c r="C92" s="79"/>
      <c r="D92" s="9" t="s">
        <v>19</v>
      </c>
      <c r="E92" s="10">
        <v>6324.9093751859955</v>
      </c>
      <c r="F92" s="10">
        <f>F91*$C91</f>
        <v>194235</v>
      </c>
      <c r="G92" s="10">
        <f ca="1">G91*$C91</f>
        <v>177378.78</v>
      </c>
      <c r="H92" s="10">
        <f t="shared" ref="H92" si="296">H91*$C91</f>
        <v>4222.5</v>
      </c>
      <c r="I92" s="10">
        <f t="shared" ref="I92" si="297">I91*$C91</f>
        <v>0</v>
      </c>
      <c r="J92" s="10">
        <f t="shared" ref="J92" si="298">J91*$C91</f>
        <v>0</v>
      </c>
      <c r="K92" s="10">
        <f t="shared" ref="K92" si="299">K91*$C91</f>
        <v>0</v>
      </c>
      <c r="L92" s="10">
        <f t="shared" ref="L92" si="300">L91*$C91</f>
        <v>21957</v>
      </c>
      <c r="M92" s="10">
        <f t="shared" ref="M92" si="301">M91*$C91</f>
        <v>1317.4200000000003</v>
      </c>
      <c r="N92" s="11">
        <f t="shared" ref="N92" ca="1" si="302">IFERROR(N91/SUM($E91:$F91)*SUM($E92:$F92),"")</f>
        <v>5.8726772723663726E-11</v>
      </c>
      <c r="O92" s="10">
        <f>O91*$C91</f>
        <v>50.670000000091932</v>
      </c>
    </row>
    <row r="93" spans="1:15" x14ac:dyDescent="0.55000000000000004">
      <c r="A93" s="80">
        <v>45</v>
      </c>
      <c r="B93" s="80" t="s">
        <v>63</v>
      </c>
      <c r="C93" s="78">
        <f>IFERROR(VLOOKUP(A93,'原料標準単価（貼付）'!B:E,3,FALSE),0)</f>
        <v>21300</v>
      </c>
      <c r="D93" s="12" t="s">
        <v>18</v>
      </c>
      <c r="E93" s="13">
        <v>-8.9999999999967883E-3</v>
      </c>
      <c r="F93" s="6">
        <f>IFERROR(VLOOKUP(A93,'1.2①原材料受入'!A:E,3,FALSE),0)</f>
        <v>13</v>
      </c>
      <c r="G93" s="6">
        <f ca="1">SUMIF('1.3②原材料使用'!C:E,A93,'1.3②原材料使用'!E:E)</f>
        <v>10.502000000000001</v>
      </c>
      <c r="H93" s="6">
        <f>SUMIFS('1.4原材料(その他)'!E:E,'1.4原材料(その他)'!C:C,A:A,'1.4原材料(その他)'!H:H,H$3)</f>
        <v>1.2</v>
      </c>
      <c r="I93" s="6">
        <f>SUMIFS('1.4原材料(その他)'!E:E,'1.4原材料(その他)'!C:C,A:A,'1.4原材料(その他)'!H:H,I$3)</f>
        <v>0</v>
      </c>
      <c r="J93" s="6">
        <f>SUMIFS('1.4原材料(その他)'!E:E,'1.4原材料(その他)'!C:C,A:A,'1.4原材料(その他)'!H:H,J$3)</f>
        <v>0</v>
      </c>
      <c r="K93" s="6">
        <f>SUMIFS('1.4原材料(その他)'!E:E,'1.4原材料(その他)'!C:C,A:A,'1.4原材料(その他)'!H:H,K$3)</f>
        <v>0</v>
      </c>
      <c r="L93" s="6">
        <f>SUMIFS('1.4原材料(その他)'!E:E,'1.4原材料(その他)'!C:C,A:A,'1.4原材料(その他)'!H:H,L$3)</f>
        <v>1.4</v>
      </c>
      <c r="M93" s="6">
        <f>SUMIFS('1.4原材料(その他)'!E:E,'1.4原材料(その他)'!C:C,A:A,'1.4原材料(その他)'!H:H,M$3)</f>
        <v>-0.10199999999999999</v>
      </c>
      <c r="N93" s="7">
        <f ca="1">O93-(E93+F93-SUM(G93:M93))</f>
        <v>1.7763568394002505E-15</v>
      </c>
      <c r="O93" s="8">
        <f>SUMIF('1.5原材料在庫'!A:A,原材料SC明細!A93,'1.5原材料在庫'!D:D)</f>
        <v>-8.999999999995012E-3</v>
      </c>
    </row>
    <row r="94" spans="1:15" x14ac:dyDescent="0.55000000000000004">
      <c r="A94" s="80"/>
      <c r="B94" s="80"/>
      <c r="C94" s="79"/>
      <c r="D94" s="9" t="s">
        <v>19</v>
      </c>
      <c r="E94" s="10">
        <v>-199.3500015758743</v>
      </c>
      <c r="F94" s="10">
        <f>F93*$C93</f>
        <v>276900</v>
      </c>
      <c r="G94" s="10">
        <f ca="1">G93*$C93</f>
        <v>223692.6</v>
      </c>
      <c r="H94" s="10">
        <f t="shared" ref="H94" si="303">H93*$C93</f>
        <v>25560</v>
      </c>
      <c r="I94" s="10">
        <f t="shared" ref="I94" si="304">I93*$C93</f>
        <v>0</v>
      </c>
      <c r="J94" s="10">
        <f t="shared" ref="J94" si="305">J93*$C93</f>
        <v>0</v>
      </c>
      <c r="K94" s="10">
        <f t="shared" ref="K94" si="306">K93*$C93</f>
        <v>0</v>
      </c>
      <c r="L94" s="10">
        <f t="shared" ref="L94" si="307">L93*$C93</f>
        <v>29819.999999999996</v>
      </c>
      <c r="M94" s="10">
        <f t="shared" ref="M94" si="308">M93*$C93</f>
        <v>-2172.6</v>
      </c>
      <c r="N94" s="11">
        <f t="shared" ref="N94" ca="1" si="309">IFERROR(N93/SUM($E93:$F93)*SUM($E94:$F94),"")</f>
        <v>3.7835354637148444E-11</v>
      </c>
      <c r="O94" s="10">
        <f>O93*$C93</f>
        <v>-191.69999999989375</v>
      </c>
    </row>
    <row r="95" spans="1:15" x14ac:dyDescent="0.55000000000000004">
      <c r="A95" s="80">
        <v>46</v>
      </c>
      <c r="B95" s="80" t="s">
        <v>64</v>
      </c>
      <c r="C95" s="78">
        <f>IFERROR(VLOOKUP(A95,'原料標準単価（貼付）'!B:E,3,FALSE),0)</f>
        <v>494.61206896551727</v>
      </c>
      <c r="D95" s="12" t="s">
        <v>18</v>
      </c>
      <c r="E95" s="13">
        <v>2.1316282072803006E-14</v>
      </c>
      <c r="F95" s="6">
        <f>IFERROR(VLOOKUP(A95,'1.2①原材料受入'!A:E,3,FALSE),0)</f>
        <v>46.4</v>
      </c>
      <c r="G95" s="6">
        <f ca="1">SUMIF('1.3②原材料使用'!C:E,A95,'1.3②原材料使用'!E:E)</f>
        <v>31.24</v>
      </c>
      <c r="H95" s="6">
        <f>SUMIFS('1.4原材料(その他)'!E:E,'1.4原材料(その他)'!C:C,A:A,'1.4原材料(その他)'!H:H,H$3)</f>
        <v>2.1</v>
      </c>
      <c r="I95" s="6">
        <f>SUMIFS('1.4原材料(その他)'!E:E,'1.4原材料(その他)'!C:C,A:A,'1.4原材料(その他)'!H:H,I$3)</f>
        <v>0</v>
      </c>
      <c r="J95" s="6">
        <f>SUMIFS('1.4原材料(その他)'!E:E,'1.4原材料(その他)'!C:C,A:A,'1.4原材料(その他)'!H:H,J$3)</f>
        <v>0</v>
      </c>
      <c r="K95" s="6">
        <f>SUMIFS('1.4原材料(その他)'!E:E,'1.4原材料(その他)'!C:C,A:A,'1.4原材料(その他)'!H:H,K$3)</f>
        <v>2.66</v>
      </c>
      <c r="L95" s="6">
        <f>SUMIFS('1.4原材料(その他)'!E:E,'1.4原材料(その他)'!C:C,A:A,'1.4原材料(その他)'!H:H,L$3)</f>
        <v>10.4</v>
      </c>
      <c r="M95" s="6">
        <f>SUMIFS('1.4原材料(その他)'!E:E,'1.4原材料(その他)'!C:C,A:A,'1.4原材料(その他)'!H:H,M$3)</f>
        <v>0</v>
      </c>
      <c r="N95" s="7">
        <f ca="1">O95-(E95+F95-SUM(G95:M95))</f>
        <v>0</v>
      </c>
      <c r="O95" s="8">
        <f>SUMIF('1.5原材料在庫'!A:A,原材料SC明細!A95,'1.5原材料在庫'!D:D)</f>
        <v>2.1316282072803006E-14</v>
      </c>
    </row>
    <row r="96" spans="1:15" x14ac:dyDescent="0.55000000000000004">
      <c r="A96" s="80"/>
      <c r="B96" s="80"/>
      <c r="C96" s="79"/>
      <c r="D96" s="9" t="s">
        <v>19</v>
      </c>
      <c r="E96" s="10">
        <v>7.8774139219523293E-12</v>
      </c>
      <c r="F96" s="10">
        <f>F95*$C95</f>
        <v>22950</v>
      </c>
      <c r="G96" s="10">
        <f ca="1">G95*$C95</f>
        <v>15451.681034482759</v>
      </c>
      <c r="H96" s="10">
        <f t="shared" ref="H96" si="310">H95*$C95</f>
        <v>1038.6853448275863</v>
      </c>
      <c r="I96" s="10">
        <f t="shared" ref="I96" si="311">I95*$C95</f>
        <v>0</v>
      </c>
      <c r="J96" s="10">
        <f t="shared" ref="J96" si="312">J95*$C95</f>
        <v>0</v>
      </c>
      <c r="K96" s="10">
        <f t="shared" ref="K96" si="313">K95*$C95</f>
        <v>1315.668103448276</v>
      </c>
      <c r="L96" s="10">
        <f t="shared" ref="L96" si="314">L95*$C95</f>
        <v>5143.9655172413795</v>
      </c>
      <c r="M96" s="10">
        <f t="shared" ref="M96" si="315">M95*$C95</f>
        <v>0</v>
      </c>
      <c r="N96" s="11">
        <f t="shared" ref="N96" ca="1" si="316">IFERROR(N95/SUM($E95:$F95)*SUM($E96:$F96),"")</f>
        <v>0</v>
      </c>
      <c r="O96" s="10">
        <f>O95*$C95</f>
        <v>1.054329037868166E-11</v>
      </c>
    </row>
    <row r="97" spans="1:15" x14ac:dyDescent="0.55000000000000004">
      <c r="A97" s="80">
        <v>47</v>
      </c>
      <c r="B97" s="80" t="s">
        <v>65</v>
      </c>
      <c r="C97" s="78">
        <f>IFERROR(VLOOKUP(A97,'原料標準単価（貼付）'!B:E,3,FALSE),0)</f>
        <v>1666.6666666666667</v>
      </c>
      <c r="D97" s="12" t="s">
        <v>18</v>
      </c>
      <c r="E97" s="13">
        <v>-2.0000000000006124E-3</v>
      </c>
      <c r="F97" s="6">
        <f>IFERROR(VLOOKUP(A97,'1.2①原材料受入'!A:E,3,FALSE),0)</f>
        <v>10.5</v>
      </c>
      <c r="G97" s="6">
        <f ca="1">SUMIF('1.3②原材料使用'!C:E,A97,'1.3②原材料使用'!E:E)</f>
        <v>3.1239999999999997</v>
      </c>
      <c r="H97" s="6">
        <f>SUMIFS('1.4原材料(その他)'!E:E,'1.4原材料(その他)'!C:C,A:A,'1.4原材料(その他)'!H:H,H$3)</f>
        <v>0.6</v>
      </c>
      <c r="I97" s="6">
        <f>SUMIFS('1.4原材料(その他)'!E:E,'1.4原材料(その他)'!C:C,A:A,'1.4原材料(その他)'!H:H,I$3)</f>
        <v>0</v>
      </c>
      <c r="J97" s="6">
        <f>SUMIFS('1.4原材料(その他)'!E:E,'1.4原材料(その他)'!C:C,A:A,'1.4原材料(その他)'!H:H,J$3)</f>
        <v>0</v>
      </c>
      <c r="K97" s="6">
        <f>SUMIFS('1.4原材料(その他)'!E:E,'1.4原材料(その他)'!C:C,A:A,'1.4原材料(その他)'!H:H,K$3)</f>
        <v>1.6759999999999999</v>
      </c>
      <c r="L97" s="6">
        <f>SUMIFS('1.4原材料(その他)'!E:E,'1.4原材料(その他)'!C:C,A:A,'1.4原材料(その他)'!H:H,L$3)</f>
        <v>5.0999999999999996</v>
      </c>
      <c r="M97" s="6">
        <f>SUMIFS('1.4原材料(その他)'!E:E,'1.4原材料(その他)'!C:C,A:A,'1.4原材料(その他)'!H:H,M$3)</f>
        <v>0</v>
      </c>
      <c r="N97" s="7">
        <f ca="1">O97-(E97+F97-SUM(G97:M97))</f>
        <v>1.8318679906315083E-15</v>
      </c>
      <c r="O97" s="8">
        <f>SUMIF('1.5原材料在庫'!A:A,原材料SC明細!A97,'1.5原材料在庫'!D:D)</f>
        <v>-1.999999999998836E-3</v>
      </c>
    </row>
    <row r="98" spans="1:15" x14ac:dyDescent="0.55000000000000004">
      <c r="A98" s="80"/>
      <c r="B98" s="80"/>
      <c r="C98" s="79"/>
      <c r="D98" s="9" t="s">
        <v>19</v>
      </c>
      <c r="E98" s="10">
        <v>-1.1782925979111815E-32</v>
      </c>
      <c r="F98" s="10">
        <f>F97*$C97</f>
        <v>17500</v>
      </c>
      <c r="G98" s="10">
        <f ca="1">G97*$C97</f>
        <v>5206.6666666666661</v>
      </c>
      <c r="H98" s="10">
        <f t="shared" ref="H98" si="317">H97*$C97</f>
        <v>1000</v>
      </c>
      <c r="I98" s="10">
        <f t="shared" ref="I98" si="318">I97*$C97</f>
        <v>0</v>
      </c>
      <c r="J98" s="10">
        <f t="shared" ref="J98" si="319">J97*$C97</f>
        <v>0</v>
      </c>
      <c r="K98" s="10">
        <f t="shared" ref="K98" si="320">K97*$C97</f>
        <v>2793.3333333333335</v>
      </c>
      <c r="L98" s="10">
        <f t="shared" ref="L98" si="321">L97*$C97</f>
        <v>8500</v>
      </c>
      <c r="M98" s="10">
        <f t="shared" ref="M98" si="322">M97*$C97</f>
        <v>0</v>
      </c>
      <c r="N98" s="11">
        <f t="shared" ref="N98" ca="1" si="323">IFERROR(N97/SUM($E97:$F97)*SUM($E98:$F98),"")</f>
        <v>3.0536949739046862E-12</v>
      </c>
      <c r="O98" s="10">
        <f>O97*$C97</f>
        <v>-3.3333333333313937</v>
      </c>
    </row>
    <row r="99" spans="1:15" x14ac:dyDescent="0.55000000000000004">
      <c r="A99" s="80">
        <v>48</v>
      </c>
      <c r="B99" s="80" t="s">
        <v>66</v>
      </c>
      <c r="C99" s="78">
        <f>IFERROR(VLOOKUP(A99,'原料標準単価（貼付）'!B:E,3,FALSE),0)</f>
        <v>786.43724696356276</v>
      </c>
      <c r="D99" s="12" t="s">
        <v>18</v>
      </c>
      <c r="E99" s="13">
        <v>6.2172489379008766E-15</v>
      </c>
      <c r="F99" s="6">
        <f>IFERROR(VLOOKUP(A99,'1.2①原材料受入'!A:E,3,FALSE),0)</f>
        <v>49.4</v>
      </c>
      <c r="G99" s="6">
        <f ca="1">SUMIF('1.3②原材料使用'!C:E,A99,'1.3②原材料使用'!E:E)</f>
        <v>31.24</v>
      </c>
      <c r="H99" s="6">
        <f>SUMIFS('1.4原材料(その他)'!E:E,'1.4原材料(その他)'!C:C,A:A,'1.4原材料(その他)'!H:H,H$3)</f>
        <v>2.3000000000000003</v>
      </c>
      <c r="I99" s="6">
        <f>SUMIFS('1.4原材料(その他)'!E:E,'1.4原材料(その他)'!C:C,A:A,'1.4原材料(その他)'!H:H,I$3)</f>
        <v>0</v>
      </c>
      <c r="J99" s="6">
        <f>SUMIFS('1.4原材料(その他)'!E:E,'1.4原材料(その他)'!C:C,A:A,'1.4原材料(その他)'!H:H,J$3)</f>
        <v>0</v>
      </c>
      <c r="K99" s="6">
        <f>SUMIFS('1.4原材料(その他)'!E:E,'1.4原材料(その他)'!C:C,A:A,'1.4原材料(その他)'!H:H,K$3)</f>
        <v>5.66</v>
      </c>
      <c r="L99" s="6">
        <f>SUMIFS('1.4原材料(その他)'!E:E,'1.4原材料(その他)'!C:C,A:A,'1.4原材料(その他)'!H:H,L$3)</f>
        <v>10.200000000000001</v>
      </c>
      <c r="M99" s="6">
        <f>SUMIFS('1.4原材料(その他)'!E:E,'1.4原材料(その他)'!C:C,A:A,'1.4原材料(その他)'!H:H,M$3)</f>
        <v>0</v>
      </c>
      <c r="N99" s="7">
        <f ca="1">O99-(E99+F99-SUM(G99:M99))</f>
        <v>5.9952043329758453E-15</v>
      </c>
      <c r="O99" s="8">
        <f>SUMIF('1.5原材料在庫'!A:A,原材料SC明細!A99,'1.5原材料在庫'!D:D)</f>
        <v>5.9952043329758453E-15</v>
      </c>
    </row>
    <row r="100" spans="1:15" x14ac:dyDescent="0.55000000000000004">
      <c r="A100" s="80"/>
      <c r="B100" s="80"/>
      <c r="C100" s="79"/>
      <c r="D100" s="9" t="s">
        <v>19</v>
      </c>
      <c r="E100" s="10">
        <v>4.2390333667505979E-12</v>
      </c>
      <c r="F100" s="10">
        <f>F99*$C99</f>
        <v>38850</v>
      </c>
      <c r="G100" s="10">
        <f ca="1">G99*$C99</f>
        <v>24568.2995951417</v>
      </c>
      <c r="H100" s="10">
        <f t="shared" ref="H100" si="324">H99*$C99</f>
        <v>1808.8056680161947</v>
      </c>
      <c r="I100" s="10">
        <f t="shared" ref="I100" si="325">I99*$C99</f>
        <v>0</v>
      </c>
      <c r="J100" s="10">
        <f t="shared" ref="J100" si="326">J99*$C99</f>
        <v>0</v>
      </c>
      <c r="K100" s="10">
        <f t="shared" ref="K100" si="327">K99*$C99</f>
        <v>4451.2348178137654</v>
      </c>
      <c r="L100" s="10">
        <f t="shared" ref="L100" si="328">L99*$C99</f>
        <v>8021.6599190283414</v>
      </c>
      <c r="M100" s="10">
        <f t="shared" ref="M100" si="329">M99*$C99</f>
        <v>0</v>
      </c>
      <c r="N100" s="11">
        <f t="shared" ref="N100" ca="1" si="330">IFERROR(N99/SUM($E99:$F99)*SUM($E100:$F100),"")</f>
        <v>4.714851990609547E-12</v>
      </c>
      <c r="O100" s="10">
        <f>O99*$C99</f>
        <v>4.7148519906095462E-12</v>
      </c>
    </row>
    <row r="101" spans="1:15" x14ac:dyDescent="0.55000000000000004">
      <c r="A101" s="80">
        <v>49</v>
      </c>
      <c r="B101" s="80" t="s">
        <v>67</v>
      </c>
      <c r="C101" s="78">
        <f>IFERROR(VLOOKUP(A101,'原料標準単価（貼付）'!B:E,3,FALSE),0)</f>
        <v>0</v>
      </c>
      <c r="D101" s="12" t="s">
        <v>18</v>
      </c>
      <c r="E101" s="13">
        <v>0</v>
      </c>
      <c r="F101" s="6">
        <f>IFERROR(VLOOKUP(A101,'1.2①原材料受入'!A:E,3,FALSE),0)</f>
        <v>0</v>
      </c>
      <c r="G101" s="6">
        <f ca="1">SUMIF('1.3②原材料使用'!C:E,A101,'1.3②原材料使用'!E:E)</f>
        <v>0</v>
      </c>
      <c r="H101" s="6">
        <f>SUMIFS('1.4原材料(その他)'!E:E,'1.4原材料(その他)'!C:C,A:A,'1.4原材料(その他)'!H:H,H$3)</f>
        <v>0</v>
      </c>
      <c r="I101" s="6">
        <f>SUMIFS('1.4原材料(その他)'!E:E,'1.4原材料(その他)'!C:C,A:A,'1.4原材料(その他)'!H:H,I$3)</f>
        <v>0</v>
      </c>
      <c r="J101" s="6">
        <f>SUMIFS('1.4原材料(その他)'!E:E,'1.4原材料(その他)'!C:C,A:A,'1.4原材料(その他)'!H:H,J$3)</f>
        <v>0</v>
      </c>
      <c r="K101" s="6">
        <f>SUMIFS('1.4原材料(その他)'!E:E,'1.4原材料(その他)'!C:C,A:A,'1.4原材料(その他)'!H:H,K$3)</f>
        <v>0</v>
      </c>
      <c r="L101" s="6">
        <f>SUMIFS('1.4原材料(その他)'!E:E,'1.4原材料(その他)'!C:C,A:A,'1.4原材料(その他)'!H:H,L$3)</f>
        <v>0</v>
      </c>
      <c r="M101" s="6">
        <f>SUMIFS('1.4原材料(その他)'!E:E,'1.4原材料(その他)'!C:C,A:A,'1.4原材料(その他)'!H:H,M$3)</f>
        <v>0</v>
      </c>
      <c r="N101" s="7">
        <f ca="1">O101-(E101+F101-SUM(G101:M101))</f>
        <v>0</v>
      </c>
      <c r="O101" s="8">
        <f>SUMIF('1.5原材料在庫'!A:A,原材料SC明細!A101,'1.5原材料在庫'!D:D)</f>
        <v>0</v>
      </c>
    </row>
    <row r="102" spans="1:15" x14ac:dyDescent="0.55000000000000004">
      <c r="A102" s="80"/>
      <c r="B102" s="80"/>
      <c r="C102" s="79"/>
      <c r="D102" s="9" t="s">
        <v>19</v>
      </c>
      <c r="E102" s="10" t="s">
        <v>68</v>
      </c>
      <c r="F102" s="10">
        <f>F101*$C101</f>
        <v>0</v>
      </c>
      <c r="G102" s="10">
        <f ca="1">G101*$C101</f>
        <v>0</v>
      </c>
      <c r="H102" s="10">
        <f t="shared" ref="H102" si="331">H101*$C101</f>
        <v>0</v>
      </c>
      <c r="I102" s="10">
        <f t="shared" ref="I102" si="332">I101*$C101</f>
        <v>0</v>
      </c>
      <c r="J102" s="10">
        <f t="shared" ref="J102" si="333">J101*$C101</f>
        <v>0</v>
      </c>
      <c r="K102" s="10">
        <f t="shared" ref="K102" si="334">K101*$C101</f>
        <v>0</v>
      </c>
      <c r="L102" s="10">
        <f t="shared" ref="L102" si="335">L101*$C101</f>
        <v>0</v>
      </c>
      <c r="M102" s="10">
        <f t="shared" ref="M102" si="336">M101*$C101</f>
        <v>0</v>
      </c>
      <c r="N102" s="11" t="str">
        <f t="shared" ref="N102" ca="1" si="337">IFERROR(N101/SUM($E101:$F101)*SUM($E102:$F102),"")</f>
        <v/>
      </c>
      <c r="O102" s="10">
        <f>O101*$C101</f>
        <v>0</v>
      </c>
    </row>
    <row r="103" spans="1:15" x14ac:dyDescent="0.55000000000000004">
      <c r="A103" s="93">
        <v>50</v>
      </c>
      <c r="B103" s="80" t="s">
        <v>69</v>
      </c>
      <c r="C103" s="78">
        <f>IFERROR(VLOOKUP(A103,'原料標準単価（貼付）'!B:E,3,FALSE),0)</f>
        <v>0</v>
      </c>
      <c r="D103" s="12" t="s">
        <v>18</v>
      </c>
      <c r="E103" s="13">
        <v>0</v>
      </c>
      <c r="F103" s="6">
        <f>IFERROR(VLOOKUP(A103,'1.2①原材料受入'!A:E,3,FALSE),0)</f>
        <v>0</v>
      </c>
      <c r="G103" s="6">
        <f ca="1">SUMIF('1.3②原材料使用'!C:E,A103,'1.3②原材料使用'!E:E)</f>
        <v>0</v>
      </c>
      <c r="H103" s="6">
        <f>SUMIFS('1.4原材料(その他)'!E:E,'1.4原材料(その他)'!C:C,A:A,'1.4原材料(その他)'!H:H,H$3)</f>
        <v>0</v>
      </c>
      <c r="I103" s="6">
        <f>SUMIFS('1.4原材料(その他)'!E:E,'1.4原材料(その他)'!C:C,A:A,'1.4原材料(その他)'!H:H,I$3)</f>
        <v>0</v>
      </c>
      <c r="J103" s="6">
        <f>SUMIFS('1.4原材料(その他)'!E:E,'1.4原材料(その他)'!C:C,A:A,'1.4原材料(その他)'!H:H,J$3)</f>
        <v>0</v>
      </c>
      <c r="K103" s="6">
        <f>SUMIFS('1.4原材料(その他)'!E:E,'1.4原材料(その他)'!C:C,A:A,'1.4原材料(その他)'!H:H,K$3)</f>
        <v>0</v>
      </c>
      <c r="L103" s="6">
        <f>SUMIFS('1.4原材料(その他)'!E:E,'1.4原材料(その他)'!C:C,A:A,'1.4原材料(その他)'!H:H,L$3)</f>
        <v>0</v>
      </c>
      <c r="M103" s="6">
        <f>SUMIFS('1.4原材料(その他)'!E:E,'1.4原材料(その他)'!C:C,A:A,'1.4原材料(その他)'!H:H,M$3)</f>
        <v>0</v>
      </c>
      <c r="N103" s="7">
        <f ca="1">O103-(E103+F103-SUM(G103:M103))</f>
        <v>0</v>
      </c>
      <c r="O103" s="8">
        <f>SUMIF('1.5原材料在庫'!A:A,原材料SC明細!A103,'1.5原材料在庫'!D:D)</f>
        <v>0</v>
      </c>
    </row>
    <row r="104" spans="1:15" x14ac:dyDescent="0.55000000000000004">
      <c r="A104" s="80"/>
      <c r="B104" s="80"/>
      <c r="C104" s="79"/>
      <c r="D104" s="9" t="s">
        <v>19</v>
      </c>
      <c r="E104" s="10" t="s">
        <v>68</v>
      </c>
      <c r="F104" s="10">
        <f>F103*$C103</f>
        <v>0</v>
      </c>
      <c r="G104" s="10">
        <f ca="1">G103*$C103</f>
        <v>0</v>
      </c>
      <c r="H104" s="10">
        <f t="shared" ref="H104" si="338">H103*$C103</f>
        <v>0</v>
      </c>
      <c r="I104" s="10">
        <f t="shared" ref="I104" si="339">I103*$C103</f>
        <v>0</v>
      </c>
      <c r="J104" s="10">
        <f t="shared" ref="J104" si="340">J103*$C103</f>
        <v>0</v>
      </c>
      <c r="K104" s="10">
        <f t="shared" ref="K104" si="341">K103*$C103</f>
        <v>0</v>
      </c>
      <c r="L104" s="10">
        <f t="shared" ref="L104" si="342">L103*$C103</f>
        <v>0</v>
      </c>
      <c r="M104" s="10">
        <f t="shared" ref="M104" si="343">M103*$C103</f>
        <v>0</v>
      </c>
      <c r="N104" s="11" t="str">
        <f t="shared" ref="N104" ca="1" si="344">IFERROR(N103/SUM($E103:$F103)*SUM($E104:$F104),"")</f>
        <v/>
      </c>
      <c r="O104" s="10">
        <f>O103*$C103</f>
        <v>0</v>
      </c>
    </row>
    <row r="105" spans="1:15" x14ac:dyDescent="0.55000000000000004">
      <c r="A105" s="80">
        <v>51</v>
      </c>
      <c r="B105" s="80" t="s">
        <v>70</v>
      </c>
      <c r="C105" s="78">
        <f>IFERROR(VLOOKUP(A105,'原料標準単価（貼付）'!B:E,3,FALSE),0)</f>
        <v>2726.6928833967336</v>
      </c>
      <c r="D105" s="12" t="s">
        <v>18</v>
      </c>
      <c r="E105" s="13">
        <v>114.90000000000182</v>
      </c>
      <c r="F105" s="6">
        <f>IFERROR(VLOOKUP(A105,'1.2①原材料受入'!A:E,3,FALSE),0)</f>
        <v>4358.54</v>
      </c>
      <c r="G105" s="6">
        <f ca="1">SUMIF('1.3②原材料使用'!C:E,A105,'1.3②原材料使用'!E:E)</f>
        <v>4291.8</v>
      </c>
      <c r="H105" s="6">
        <f>SUMIFS('1.4原材料(その他)'!E:E,'1.4原材料(その他)'!C:C,A:A,'1.4原材料(その他)'!H:H,H$3)</f>
        <v>6.3999999999999995</v>
      </c>
      <c r="I105" s="6">
        <f>SUMIFS('1.4原材料(その他)'!E:E,'1.4原材料(その他)'!C:C,A:A,'1.4原材料(その他)'!H:H,I$3)</f>
        <v>0</v>
      </c>
      <c r="J105" s="6">
        <f>SUMIFS('1.4原材料(その他)'!E:E,'1.4原材料(その他)'!C:C,A:A,'1.4原材料(その他)'!H:H,J$3)</f>
        <v>0</v>
      </c>
      <c r="K105" s="6">
        <f>SUMIFS('1.4原材料(その他)'!E:E,'1.4原材料(その他)'!C:C,A:A,'1.4原材料(その他)'!H:H,K$3)</f>
        <v>7.46</v>
      </c>
      <c r="L105" s="6">
        <f>SUMIFS('1.4原材料(その他)'!E:E,'1.4原材料(その他)'!C:C,A:A,'1.4原材料(その他)'!H:H,L$3)</f>
        <v>144.88</v>
      </c>
      <c r="M105" s="6">
        <f>SUMIFS('1.4原材料(その他)'!E:E,'1.4原材料(その他)'!C:C,A:A,'1.4原材料(その他)'!H:H,M$3)</f>
        <v>13.799999999999999</v>
      </c>
      <c r="N105" s="7">
        <f ca="1">O105-(E105+F105-SUM(G105:M105))</f>
        <v>5.3290705182007514E-13</v>
      </c>
      <c r="O105" s="8">
        <f>SUMIF('1.5原材料在庫'!A:A,原材料SC明細!A105,'1.5原材料在庫'!D:D)</f>
        <v>9.1000000000018062</v>
      </c>
    </row>
    <row r="106" spans="1:15" x14ac:dyDescent="0.55000000000000004">
      <c r="A106" s="80"/>
      <c r="B106" s="80"/>
      <c r="C106" s="79"/>
      <c r="D106" s="9" t="s">
        <v>19</v>
      </c>
      <c r="E106" s="10">
        <v>307954.7026338873</v>
      </c>
      <c r="F106" s="10">
        <f>F105*$C105</f>
        <v>11884400</v>
      </c>
      <c r="G106" s="10">
        <f ca="1">G105*$C105</f>
        <v>11702420.516962102</v>
      </c>
      <c r="H106" s="10">
        <f t="shared" ref="H106" si="345">H105*$C105</f>
        <v>17450.834453739095</v>
      </c>
      <c r="I106" s="10">
        <f t="shared" ref="I106" si="346">I105*$C105</f>
        <v>0</v>
      </c>
      <c r="J106" s="10">
        <f t="shared" ref="J106" si="347">J105*$C105</f>
        <v>0</v>
      </c>
      <c r="K106" s="10">
        <f t="shared" ref="K106" si="348">K105*$C105</f>
        <v>20341.128910139632</v>
      </c>
      <c r="L106" s="10">
        <f t="shared" ref="L106" si="349">L105*$C105</f>
        <v>395043.26494651876</v>
      </c>
      <c r="M106" s="10">
        <f t="shared" ref="M106" si="350">M105*$C105</f>
        <v>37628.361790874922</v>
      </c>
      <c r="N106" s="11">
        <f t="shared" ref="N106" ca="1" si="351">IFERROR(N105/SUM($E105:$F105)*SUM($E106:$F106),"")</f>
        <v>1.4524374529054266E-9</v>
      </c>
      <c r="O106" s="10">
        <f>O105*$C105</f>
        <v>24812.905238915202</v>
      </c>
    </row>
    <row r="107" spans="1:15" x14ac:dyDescent="0.55000000000000004">
      <c r="A107" s="93">
        <v>52</v>
      </c>
      <c r="B107" s="80" t="s">
        <v>71</v>
      </c>
      <c r="C107" s="78">
        <f>IFERROR(VLOOKUP(A107,'原料標準単価（貼付）'!B:E,3,FALSE),0)</f>
        <v>12000</v>
      </c>
      <c r="D107" s="12" t="s">
        <v>18</v>
      </c>
      <c r="E107" s="13">
        <v>38.700000000000003</v>
      </c>
      <c r="F107" s="6">
        <f>IFERROR(VLOOKUP(A107,'1.2①原材料受入'!A:E,3,FALSE),0)</f>
        <v>0</v>
      </c>
      <c r="G107" s="6">
        <f ca="1">SUMIF('1.3②原材料使用'!C:E,A107,'1.3②原材料使用'!E:E)</f>
        <v>0</v>
      </c>
      <c r="H107" s="6">
        <f>SUMIFS('1.4原材料(その他)'!E:E,'1.4原材料(その他)'!C:C,A:A,'1.4原材料(その他)'!H:H,H$3)</f>
        <v>0</v>
      </c>
      <c r="I107" s="6">
        <f>SUMIFS('1.4原材料(その他)'!E:E,'1.4原材料(その他)'!C:C,A:A,'1.4原材料(その他)'!H:H,I$3)</f>
        <v>0</v>
      </c>
      <c r="J107" s="6">
        <f>SUMIFS('1.4原材料(その他)'!E:E,'1.4原材料(その他)'!C:C,A:A,'1.4原材料(その他)'!H:H,J$3)</f>
        <v>0</v>
      </c>
      <c r="K107" s="6">
        <f>SUMIFS('1.4原材料(その他)'!E:E,'1.4原材料(その他)'!C:C,A:A,'1.4原材料(その他)'!H:H,K$3)</f>
        <v>0</v>
      </c>
      <c r="L107" s="6">
        <f>SUMIFS('1.4原材料(その他)'!E:E,'1.4原材料(その他)'!C:C,A:A,'1.4原材料(その他)'!H:H,L$3)</f>
        <v>0</v>
      </c>
      <c r="M107" s="6">
        <f>SUMIFS('1.4原材料(その他)'!E:E,'1.4原材料(その他)'!C:C,A:A,'1.4原材料(その他)'!H:H,M$3)</f>
        <v>0</v>
      </c>
      <c r="N107" s="7">
        <f ca="1">O107-(E107+F107-SUM(G107:M107))</f>
        <v>0</v>
      </c>
      <c r="O107" s="8">
        <f>SUMIF('1.5原材料在庫'!A:A,原材料SC明細!A107,'1.5原材料在庫'!D:D)</f>
        <v>38.700000000000003</v>
      </c>
    </row>
    <row r="108" spans="1:15" x14ac:dyDescent="0.55000000000000004">
      <c r="A108" s="80"/>
      <c r="B108" s="80"/>
      <c r="C108" s="79"/>
      <c r="D108" s="9" t="s">
        <v>19</v>
      </c>
      <c r="E108" s="10">
        <v>464400.00000000006</v>
      </c>
      <c r="F108" s="10">
        <f>F107*$C107</f>
        <v>0</v>
      </c>
      <c r="G108" s="10">
        <f ca="1">G107*$C107</f>
        <v>0</v>
      </c>
      <c r="H108" s="10">
        <f t="shared" ref="H108" si="352">H107*$C107</f>
        <v>0</v>
      </c>
      <c r="I108" s="10">
        <f t="shared" ref="I108" si="353">I107*$C107</f>
        <v>0</v>
      </c>
      <c r="J108" s="10">
        <f t="shared" ref="J108" si="354">J107*$C107</f>
        <v>0</v>
      </c>
      <c r="K108" s="10">
        <f t="shared" ref="K108" si="355">K107*$C107</f>
        <v>0</v>
      </c>
      <c r="L108" s="10">
        <f t="shared" ref="L108" si="356">L107*$C107</f>
        <v>0</v>
      </c>
      <c r="M108" s="10">
        <f t="shared" ref="M108" si="357">M107*$C107</f>
        <v>0</v>
      </c>
      <c r="N108" s="11">
        <f t="shared" ref="N108" ca="1" si="358">IFERROR(N107/SUM($E107:$F107)*SUM($E108:$F108),"")</f>
        <v>0</v>
      </c>
      <c r="O108" s="10">
        <f>O107*$C107</f>
        <v>464400.00000000006</v>
      </c>
    </row>
    <row r="109" spans="1:15" x14ac:dyDescent="0.55000000000000004">
      <c r="A109" s="94">
        <v>53</v>
      </c>
      <c r="B109" s="80" t="s">
        <v>72</v>
      </c>
      <c r="C109" s="78">
        <f>IFERROR(VLOOKUP(A109,'原料標準単価（貼付）'!B:E,3,FALSE),0)</f>
        <v>395.87628865979383</v>
      </c>
      <c r="D109" s="12" t="s">
        <v>18</v>
      </c>
      <c r="E109" s="13">
        <v>0</v>
      </c>
      <c r="F109" s="6">
        <f>IFERROR(VLOOKUP(A109,'1.2①原材料受入'!A:E,3,FALSE),0)</f>
        <v>9.6999999999999993</v>
      </c>
      <c r="G109" s="6">
        <f ca="1">SUMIF('1.3②原材料使用'!C:E,A109,'1.3②原材料使用'!E:E)</f>
        <v>0</v>
      </c>
      <c r="H109" s="6">
        <f>SUMIFS('1.4原材料(その他)'!E:E,'1.4原材料(その他)'!C:C,A:A,'1.4原材料(その他)'!H:H,H$3)</f>
        <v>1</v>
      </c>
      <c r="I109" s="6">
        <f>SUMIFS('1.4原材料(その他)'!E:E,'1.4原材料(その他)'!C:C,A:A,'1.4原材料(その他)'!H:H,I$3)</f>
        <v>0</v>
      </c>
      <c r="J109" s="6">
        <f>SUMIFS('1.4原材料(その他)'!E:E,'1.4原材料(その他)'!C:C,A:A,'1.4原材料(その他)'!H:H,J$3)</f>
        <v>0</v>
      </c>
      <c r="K109" s="6">
        <f>SUMIFS('1.4原材料(その他)'!E:E,'1.4原材料(その他)'!C:C,A:A,'1.4原材料(その他)'!H:H,K$3)</f>
        <v>0</v>
      </c>
      <c r="L109" s="6">
        <f>SUMIFS('1.4原材料(その他)'!E:E,'1.4原材料(その他)'!C:C,A:A,'1.4原材料(その他)'!H:H,L$3)</f>
        <v>0</v>
      </c>
      <c r="M109" s="6">
        <f>SUMIFS('1.4原材料(その他)'!E:E,'1.4原材料(その他)'!C:C,A:A,'1.4原材料(その他)'!H:H,M$3)</f>
        <v>0.1</v>
      </c>
      <c r="N109" s="7">
        <f ca="1">O109-(E109+F109-SUM(G109:M109))</f>
        <v>0</v>
      </c>
      <c r="O109" s="8">
        <f>SUMIF('1.5原材料在庫'!A:A,原材料SC明細!A109,'1.5原材料在庫'!D:D)</f>
        <v>8.6</v>
      </c>
    </row>
    <row r="110" spans="1:15" x14ac:dyDescent="0.55000000000000004">
      <c r="A110" s="94"/>
      <c r="B110" s="80"/>
      <c r="C110" s="79"/>
      <c r="D110" s="9" t="s">
        <v>19</v>
      </c>
      <c r="E110" s="10">
        <v>0</v>
      </c>
      <c r="F110" s="10">
        <f>F109*$C109</f>
        <v>3840</v>
      </c>
      <c r="G110" s="10">
        <f ca="1">G109*$C109</f>
        <v>0</v>
      </c>
      <c r="H110" s="10">
        <f t="shared" ref="H110" si="359">H109*$C109</f>
        <v>395.87628865979383</v>
      </c>
      <c r="I110" s="10">
        <f t="shared" ref="I110" si="360">I109*$C109</f>
        <v>0</v>
      </c>
      <c r="J110" s="10">
        <f t="shared" ref="J110" si="361">J109*$C109</f>
        <v>0</v>
      </c>
      <c r="K110" s="10">
        <f t="shared" ref="K110" si="362">K109*$C109</f>
        <v>0</v>
      </c>
      <c r="L110" s="10">
        <f t="shared" ref="L110" si="363">L109*$C109</f>
        <v>0</v>
      </c>
      <c r="M110" s="10">
        <f t="shared" ref="M110" si="364">M109*$C109</f>
        <v>39.587628865979383</v>
      </c>
      <c r="N110" s="11">
        <f t="shared" ref="N110" ca="1" si="365">IFERROR(N109/SUM($E109:$F109)*SUM($E110:$F110),"")</f>
        <v>0</v>
      </c>
      <c r="O110" s="10">
        <f>O109*$C109</f>
        <v>3404.536082474227</v>
      </c>
    </row>
    <row r="111" spans="1:15" x14ac:dyDescent="0.55000000000000004">
      <c r="A111" s="94">
        <v>54</v>
      </c>
      <c r="B111" s="80" t="s">
        <v>73</v>
      </c>
      <c r="C111" s="78">
        <f>IFERROR(VLOOKUP(A111,'原料標準単価（貼付）'!B:E,3,FALSE),0)</f>
        <v>0</v>
      </c>
      <c r="D111" s="12" t="s">
        <v>18</v>
      </c>
      <c r="E111" s="13">
        <v>1.7763568394002505E-15</v>
      </c>
      <c r="F111" s="6">
        <f>IFERROR(VLOOKUP(A111,'1.2①原材料受入'!A:E,3,FALSE),0)</f>
        <v>0</v>
      </c>
      <c r="G111" s="6">
        <f ca="1">SUMIF('1.3②原材料使用'!C:E,A111,'1.3②原材料使用'!E:E)</f>
        <v>0</v>
      </c>
      <c r="H111" s="6">
        <f>SUMIFS('1.4原材料(その他)'!E:E,'1.4原材料(その他)'!C:C,A:A,'1.4原材料(その他)'!H:H,H$3)</f>
        <v>0</v>
      </c>
      <c r="I111" s="6">
        <f>SUMIFS('1.4原材料(その他)'!E:E,'1.4原材料(その他)'!C:C,A:A,'1.4原材料(その他)'!H:H,I$3)</f>
        <v>0</v>
      </c>
      <c r="J111" s="6">
        <f>SUMIFS('1.4原材料(その他)'!E:E,'1.4原材料(その他)'!C:C,A:A,'1.4原材料(その他)'!H:H,J$3)</f>
        <v>0</v>
      </c>
      <c r="K111" s="6">
        <f>SUMIFS('1.4原材料(その他)'!E:E,'1.4原材料(その他)'!C:C,A:A,'1.4原材料(その他)'!H:H,K$3)</f>
        <v>0</v>
      </c>
      <c r="L111" s="6">
        <f>SUMIFS('1.4原材料(その他)'!E:E,'1.4原材料(その他)'!C:C,A:A,'1.4原材料(その他)'!H:H,L$3)</f>
        <v>0</v>
      </c>
      <c r="M111" s="6">
        <f>SUMIFS('1.4原材料(その他)'!E:E,'1.4原材料(その他)'!C:C,A:A,'1.4原材料(その他)'!H:H,M$3)</f>
        <v>0</v>
      </c>
      <c r="N111" s="7">
        <f ca="1">O111-(E111+F111-SUM(G111:M111))</f>
        <v>0</v>
      </c>
      <c r="O111" s="8">
        <f>SUMIF('1.5原材料在庫'!A:A,原材料SC明細!A111,'1.5原材料在庫'!D:D)</f>
        <v>1.7763568394002505E-15</v>
      </c>
    </row>
    <row r="112" spans="1:15" x14ac:dyDescent="0.55000000000000004">
      <c r="A112" s="94"/>
      <c r="B112" s="80"/>
      <c r="C112" s="79"/>
      <c r="D112" s="9" t="s">
        <v>19</v>
      </c>
      <c r="E112" s="10">
        <v>5.024039545778486E-12</v>
      </c>
      <c r="F112" s="10">
        <f>F111*$C111</f>
        <v>0</v>
      </c>
      <c r="G112" s="10">
        <f ca="1">G111*$C111</f>
        <v>0</v>
      </c>
      <c r="H112" s="10">
        <f t="shared" ref="H112" si="366">H111*$C111</f>
        <v>0</v>
      </c>
      <c r="I112" s="10">
        <f t="shared" ref="I112" si="367">I111*$C111</f>
        <v>0</v>
      </c>
      <c r="J112" s="10">
        <f t="shared" ref="J112" si="368">J111*$C111</f>
        <v>0</v>
      </c>
      <c r="K112" s="10">
        <f t="shared" ref="K112" si="369">K111*$C111</f>
        <v>0</v>
      </c>
      <c r="L112" s="10">
        <f t="shared" ref="L112" si="370">L111*$C111</f>
        <v>0</v>
      </c>
      <c r="M112" s="10">
        <f t="shared" ref="M112" si="371">M111*$C111</f>
        <v>0</v>
      </c>
      <c r="N112" s="11">
        <f t="shared" ref="N112" ca="1" si="372">IFERROR(N111/SUM($E111:$F111)*SUM($E112:$F112),"")</f>
        <v>0</v>
      </c>
      <c r="O112" s="10">
        <f>O111*$C111</f>
        <v>0</v>
      </c>
    </row>
    <row r="113" spans="1:15" x14ac:dyDescent="0.55000000000000004">
      <c r="A113" s="94">
        <v>55</v>
      </c>
      <c r="B113" s="80" t="s">
        <v>74</v>
      </c>
      <c r="C113" s="78">
        <f>IFERROR(VLOOKUP(A113,'原料標準単価（貼付）'!B:E,3,FALSE),0)</f>
        <v>514.72127856701661</v>
      </c>
      <c r="D113" s="12" t="s">
        <v>18</v>
      </c>
      <c r="E113" s="13">
        <v>-9.9475983006414026E-14</v>
      </c>
      <c r="F113" s="6">
        <f>IFERROR(VLOOKUP(A113,'1.2①原材料受入'!A:E,3,FALSE),0)</f>
        <v>1295.2</v>
      </c>
      <c r="G113" s="6">
        <f ca="1">SUMIF('1.3②原材料使用'!C:E,A113,'1.3②原材料使用'!E:E)</f>
        <v>1272.5</v>
      </c>
      <c r="H113" s="6">
        <f>SUMIFS('1.4原材料(その他)'!E:E,'1.4原材料(その他)'!C:C,A:A,'1.4原材料(その他)'!H:H,H$3)</f>
        <v>1</v>
      </c>
      <c r="I113" s="6">
        <f>SUMIFS('1.4原材料(その他)'!E:E,'1.4原材料(その他)'!C:C,A:A,'1.4原材料(その他)'!H:H,I$3)</f>
        <v>0</v>
      </c>
      <c r="J113" s="6">
        <f>SUMIFS('1.4原材料(その他)'!E:E,'1.4原材料(その他)'!C:C,A:A,'1.4原材料(その他)'!H:H,J$3)</f>
        <v>0</v>
      </c>
      <c r="K113" s="6">
        <f>SUMIFS('1.4原材料(その他)'!E:E,'1.4原材料(その他)'!C:C,A:A,'1.4原材料(その他)'!H:H,K$3)</f>
        <v>10.4</v>
      </c>
      <c r="L113" s="6">
        <f>SUMIFS('1.4原材料(その他)'!E:E,'1.4原材料(その他)'!C:C,A:A,'1.4原材料(その他)'!H:H,L$3)</f>
        <v>12.1</v>
      </c>
      <c r="M113" s="6">
        <f>SUMIFS('1.4原材料(その他)'!E:E,'1.4原材料(その他)'!C:C,A:A,'1.4原材料(その他)'!H:H,M$3)</f>
        <v>-0.8</v>
      </c>
      <c r="N113" s="7">
        <f ca="1">O113-(E113+F113-SUM(G113:M113))</f>
        <v>-9.9475983006414026E-14</v>
      </c>
      <c r="O113" s="8">
        <f>SUMIF('1.5原材料在庫'!A:A,原材料SC明細!A113,'1.5原材料在庫'!D:D)</f>
        <v>-9.9475983006414026E-14</v>
      </c>
    </row>
    <row r="114" spans="1:15" x14ac:dyDescent="0.55000000000000004">
      <c r="A114" s="94"/>
      <c r="B114" s="80"/>
      <c r="C114" s="79"/>
      <c r="D114" s="9" t="s">
        <v>19</v>
      </c>
      <c r="E114" s="10">
        <v>-5.1076552631757047E-11</v>
      </c>
      <c r="F114" s="10">
        <f>F113*$C113</f>
        <v>666666.99999999988</v>
      </c>
      <c r="G114" s="10">
        <f ca="1">G113*$C113</f>
        <v>654982.82697652862</v>
      </c>
      <c r="H114" s="10">
        <f t="shared" ref="H114" si="373">H113*$C113</f>
        <v>514.72127856701661</v>
      </c>
      <c r="I114" s="10">
        <f t="shared" ref="I114" si="374">I113*$C113</f>
        <v>0</v>
      </c>
      <c r="J114" s="10">
        <f t="shared" ref="J114" si="375">J113*$C113</f>
        <v>0</v>
      </c>
      <c r="K114" s="10">
        <f t="shared" ref="K114" si="376">K113*$C113</f>
        <v>5353.1012970969732</v>
      </c>
      <c r="L114" s="10">
        <f t="shared" ref="L114" si="377">L113*$C113</f>
        <v>6228.1274706609011</v>
      </c>
      <c r="M114" s="10">
        <f t="shared" ref="M114" si="378">M113*$C113</f>
        <v>-411.77702285361329</v>
      </c>
      <c r="N114" s="11">
        <f t="shared" ref="N114" ca="1" si="379">IFERROR(N113/SUM($E113:$F113)*SUM($E114:$F114),"")</f>
        <v>-5.1202405159772236E-11</v>
      </c>
      <c r="O114" s="10">
        <f>O113*$C113</f>
        <v>-5.1202405159772243E-11</v>
      </c>
    </row>
    <row r="115" spans="1:15" x14ac:dyDescent="0.55000000000000004">
      <c r="A115" s="94">
        <v>56</v>
      </c>
      <c r="B115" s="80" t="s">
        <v>75</v>
      </c>
      <c r="C115" s="78">
        <f>IFERROR(VLOOKUP(A115,'原料標準単価（貼付）'!B:E,3,FALSE),0)</f>
        <v>3800</v>
      </c>
      <c r="D115" s="12" t="s">
        <v>18</v>
      </c>
      <c r="E115" s="13">
        <v>0</v>
      </c>
      <c r="F115" s="6">
        <f>IFERROR(VLOOKUP(A115,'1.2①原材料受入'!A:E,3,FALSE),0)</f>
        <v>910</v>
      </c>
      <c r="G115" s="6">
        <f ca="1">SUMIF('1.3②原材料使用'!C:E,A115,'1.3②原材料使用'!E:E)</f>
        <v>919.29</v>
      </c>
      <c r="H115" s="6">
        <f>SUMIFS('1.4原材料(その他)'!E:E,'1.4原材料(その他)'!C:C,A:A,'1.4原材料(その他)'!H:H,H$3)</f>
        <v>1</v>
      </c>
      <c r="I115" s="6">
        <f>SUMIFS('1.4原材料(その他)'!E:E,'1.4原材料(その他)'!C:C,A:A,'1.4原材料(その他)'!H:H,I$3)</f>
        <v>0</v>
      </c>
      <c r="J115" s="6">
        <f>SUMIFS('1.4原材料(その他)'!E:E,'1.4原材料(その他)'!C:C,A:A,'1.4原材料(その他)'!H:H,J$3)</f>
        <v>0</v>
      </c>
      <c r="K115" s="6">
        <f>SUMIFS('1.4原材料(その他)'!E:E,'1.4原材料(その他)'!C:C,A:A,'1.4原材料(その他)'!H:H,K$3)</f>
        <v>0.9</v>
      </c>
      <c r="L115" s="6">
        <f>SUMIFS('1.4原材料(その他)'!E:E,'1.4原材料(その他)'!C:C,A:A,'1.4原材料(その他)'!H:H,L$3)</f>
        <v>0</v>
      </c>
      <c r="M115" s="6">
        <f>SUMIFS('1.4原材料(その他)'!E:E,'1.4原材料(その他)'!C:C,A:A,'1.4原材料(その他)'!H:H,M$3)</f>
        <v>-11.19</v>
      </c>
      <c r="N115" s="7">
        <f ca="1">O115-(E115+F115-SUM(G115:M115))</f>
        <v>0</v>
      </c>
      <c r="O115" s="8">
        <f>SUMIF('1.5原材料在庫'!A:A,原材料SC明細!A115,'1.5原材料在庫'!D:D)</f>
        <v>1.1368683772161603E-13</v>
      </c>
    </row>
    <row r="116" spans="1:15" x14ac:dyDescent="0.55000000000000004">
      <c r="A116" s="94"/>
      <c r="B116" s="80"/>
      <c r="C116" s="79"/>
      <c r="D116" s="9" t="s">
        <v>19</v>
      </c>
      <c r="E116" s="10">
        <v>0</v>
      </c>
      <c r="F116" s="10">
        <f>F115*$C115</f>
        <v>3458000</v>
      </c>
      <c r="G116" s="10">
        <f ca="1">G115*$C115</f>
        <v>3493302</v>
      </c>
      <c r="H116" s="10">
        <f t="shared" ref="H116" si="380">H115*$C115</f>
        <v>3800</v>
      </c>
      <c r="I116" s="10">
        <f t="shared" ref="I116" si="381">I115*$C115</f>
        <v>0</v>
      </c>
      <c r="J116" s="10">
        <f t="shared" ref="J116" si="382">J115*$C115</f>
        <v>0</v>
      </c>
      <c r="K116" s="10">
        <f t="shared" ref="K116" si="383">K115*$C115</f>
        <v>3420</v>
      </c>
      <c r="L116" s="10">
        <f t="shared" ref="L116" si="384">L115*$C115</f>
        <v>0</v>
      </c>
      <c r="M116" s="10">
        <f t="shared" ref="M116" si="385">M115*$C115</f>
        <v>-42522</v>
      </c>
      <c r="N116" s="11">
        <f t="shared" ref="N116" ca="1" si="386">IFERROR(N115/SUM($E115:$F115)*SUM($E116:$F116),"")</f>
        <v>0</v>
      </c>
      <c r="O116" s="10">
        <f>O115*$C115</f>
        <v>4.3200998334214091E-10</v>
      </c>
    </row>
    <row r="117" spans="1:15" x14ac:dyDescent="0.55000000000000004">
      <c r="A117" s="80">
        <v>57</v>
      </c>
      <c r="B117" s="95" t="s">
        <v>76</v>
      </c>
      <c r="C117" s="78">
        <f>IFERROR(VLOOKUP(A117,'原料標準単価（貼付）'!B:E,3,FALSE),0)</f>
        <v>2194.5149378986234</v>
      </c>
      <c r="D117" s="12" t="s">
        <v>18</v>
      </c>
      <c r="E117" s="13">
        <v>43.399999999999963</v>
      </c>
      <c r="F117" s="6">
        <f>IFERROR(VLOOKUP(A117,'1.2①原材料受入'!A:E,3,FALSE),0)</f>
        <v>297.90000000000003</v>
      </c>
      <c r="G117" s="6">
        <f ca="1">SUMIF('1.3②原材料使用'!C:E,A117,'1.3②原材料使用'!E:E)</f>
        <v>312.39999999999998</v>
      </c>
      <c r="H117" s="6">
        <f>SUMIFS('1.4原材料(その他)'!E:E,'1.4原材料(その他)'!C:C,A:A,'1.4原材料(その他)'!H:H,H$3)</f>
        <v>4.5999999999999996</v>
      </c>
      <c r="I117" s="6">
        <f>SUMIFS('1.4原材料(その他)'!E:E,'1.4原材料(その他)'!C:C,A:A,'1.4原材料(その他)'!H:H,I$3)</f>
        <v>0</v>
      </c>
      <c r="J117" s="6">
        <f>SUMIFS('1.4原材料(その他)'!E:E,'1.4原材料(その他)'!C:C,A:A,'1.4原材料(その他)'!H:H,J$3)</f>
        <v>0</v>
      </c>
      <c r="K117" s="6">
        <f>SUMIFS('1.4原材料(その他)'!E:E,'1.4原材料(その他)'!C:C,A:A,'1.4原材料(その他)'!H:H,K$3)</f>
        <v>0.22</v>
      </c>
      <c r="L117" s="6">
        <f>SUMIFS('1.4原材料(その他)'!E:E,'1.4原材料(その他)'!C:C,A:A,'1.4原材料(その他)'!H:H,L$3)</f>
        <v>4.3</v>
      </c>
      <c r="M117" s="6">
        <f>SUMIFS('1.4原材料(その他)'!E:E,'1.4原材料(その他)'!C:C,A:A,'1.4原材料(その他)'!H:H,M$3)</f>
        <v>1.48</v>
      </c>
      <c r="N117" s="7">
        <f ca="1">O117-(E117+F117-SUM(G117:M117))</f>
        <v>0</v>
      </c>
      <c r="O117" s="8">
        <f>SUMIF('1.5原材料在庫'!A:A,原材料SC明細!A117,'1.5原材料在庫'!D:D)</f>
        <v>18.299999999999965</v>
      </c>
    </row>
    <row r="118" spans="1:15" x14ac:dyDescent="0.55000000000000004">
      <c r="A118" s="80"/>
      <c r="B118" s="86"/>
      <c r="C118" s="79"/>
      <c r="D118" s="9" t="s">
        <v>19</v>
      </c>
      <c r="E118" s="10">
        <v>266070.234057797</v>
      </c>
      <c r="F118" s="10">
        <f>F117*$C117</f>
        <v>653746</v>
      </c>
      <c r="G118" s="10">
        <f ca="1">G117*$C117</f>
        <v>685566.46659952996</v>
      </c>
      <c r="H118" s="10">
        <f t="shared" ref="H118" si="387">H117*$C117</f>
        <v>10094.768714333666</v>
      </c>
      <c r="I118" s="10">
        <f t="shared" ref="I118" si="388">I117*$C117</f>
        <v>0</v>
      </c>
      <c r="J118" s="10">
        <f t="shared" ref="J118" si="389">J117*$C117</f>
        <v>0</v>
      </c>
      <c r="K118" s="10">
        <f t="shared" ref="K118" si="390">K117*$C117</f>
        <v>482.79328633769717</v>
      </c>
      <c r="L118" s="10">
        <f t="shared" ref="L118" si="391">L117*$C117</f>
        <v>9436.4142329640799</v>
      </c>
      <c r="M118" s="10">
        <f t="shared" ref="M118" si="392">M117*$C117</f>
        <v>3247.8821080899625</v>
      </c>
      <c r="N118" s="11">
        <f t="shared" ref="N118" ca="1" si="393">IFERROR(N117/SUM($E117:$F117)*SUM($E118:$F118),"")</f>
        <v>0</v>
      </c>
      <c r="O118" s="10">
        <f>O117*$C117</f>
        <v>40159.623363544735</v>
      </c>
    </row>
    <row r="119" spans="1:15" x14ac:dyDescent="0.55000000000000004">
      <c r="A119" s="96">
        <v>58</v>
      </c>
      <c r="B119" s="80" t="s">
        <v>77</v>
      </c>
      <c r="C119" s="78">
        <f>IFERROR(VLOOKUP(A119,'原料標準単価（貼付）'!B:E,3,FALSE),0)</f>
        <v>0</v>
      </c>
      <c r="D119" s="12" t="s">
        <v>18</v>
      </c>
      <c r="E119" s="13">
        <v>31</v>
      </c>
      <c r="F119" s="6">
        <f>IFERROR(VLOOKUP(A119,'1.2①原材料受入'!A:E,3,FALSE),0)</f>
        <v>0</v>
      </c>
      <c r="G119" s="6">
        <f ca="1">SUMIF('1.3②原材料使用'!C:E,A119,'1.3②原材料使用'!E:E)</f>
        <v>0</v>
      </c>
      <c r="H119" s="6">
        <f>SUMIFS('1.4原材料(その他)'!E:E,'1.4原材料(その他)'!C:C,A:A,'1.4原材料(その他)'!H:H,H$3)</f>
        <v>0</v>
      </c>
      <c r="I119" s="6">
        <f>SUMIFS('1.4原材料(その他)'!E:E,'1.4原材料(その他)'!C:C,A:A,'1.4原材料(その他)'!H:H,I$3)</f>
        <v>0</v>
      </c>
      <c r="J119" s="6">
        <f>SUMIFS('1.4原材料(その他)'!E:E,'1.4原材料(その他)'!C:C,A:A,'1.4原材料(その他)'!H:H,J$3)</f>
        <v>0</v>
      </c>
      <c r="K119" s="6">
        <f>SUMIFS('1.4原材料(その他)'!E:E,'1.4原材料(その他)'!C:C,A:A,'1.4原材料(その他)'!H:H,K$3)</f>
        <v>0</v>
      </c>
      <c r="L119" s="6">
        <f>SUMIFS('1.4原材料(その他)'!E:E,'1.4原材料(その他)'!C:C,A:A,'1.4原材料(その他)'!H:H,L$3)</f>
        <v>31</v>
      </c>
      <c r="M119" s="6">
        <f>SUMIFS('1.4原材料(その他)'!E:E,'1.4原材料(その他)'!C:C,A:A,'1.4原材料(その他)'!H:H,M$3)</f>
        <v>0</v>
      </c>
      <c r="N119" s="7">
        <f ca="1">O119-(E119+F119-SUM(G119:M119))</f>
        <v>0</v>
      </c>
      <c r="O119" s="8">
        <f>SUMIF('1.5原材料在庫'!A:A,原材料SC明細!A119,'1.5原材料在庫'!D:D)</f>
        <v>0</v>
      </c>
    </row>
    <row r="120" spans="1:15" x14ac:dyDescent="0.55000000000000004">
      <c r="A120" s="94"/>
      <c r="B120" s="80"/>
      <c r="C120" s="79"/>
      <c r="D120" s="9" t="s">
        <v>19</v>
      </c>
      <c r="E120" s="10">
        <v>22406.028708133974</v>
      </c>
      <c r="F120" s="10">
        <f>F119*$C119</f>
        <v>0</v>
      </c>
      <c r="G120" s="10">
        <f ca="1">G119*$C119</f>
        <v>0</v>
      </c>
      <c r="H120" s="10">
        <f t="shared" ref="H120" si="394">H119*$C119</f>
        <v>0</v>
      </c>
      <c r="I120" s="10">
        <f t="shared" ref="I120" si="395">I119*$C119</f>
        <v>0</v>
      </c>
      <c r="J120" s="10">
        <f t="shared" ref="J120" si="396">J119*$C119</f>
        <v>0</v>
      </c>
      <c r="K120" s="10">
        <f t="shared" ref="K120" si="397">K119*$C119</f>
        <v>0</v>
      </c>
      <c r="L120" s="10">
        <f t="shared" ref="L120" si="398">L119*$C119</f>
        <v>0</v>
      </c>
      <c r="M120" s="10">
        <f t="shared" ref="M120" si="399">M119*$C119</f>
        <v>0</v>
      </c>
      <c r="N120" s="11">
        <f t="shared" ref="N120" ca="1" si="400">IFERROR(N119/SUM($E119:$F119)*SUM($E120:$F120),"")</f>
        <v>0</v>
      </c>
      <c r="O120" s="10">
        <f>O119*$C119</f>
        <v>0</v>
      </c>
    </row>
    <row r="121" spans="1:15" x14ac:dyDescent="0.55000000000000004">
      <c r="A121" s="96">
        <v>59</v>
      </c>
      <c r="B121" s="80" t="s">
        <v>78</v>
      </c>
      <c r="C121" s="78">
        <f>IFERROR(VLOOKUP(A121,'原料標準単価（貼付）'!B:E,3,FALSE),0)</f>
        <v>0</v>
      </c>
      <c r="D121" s="12" t="s">
        <v>18</v>
      </c>
      <c r="E121" s="13">
        <v>0</v>
      </c>
      <c r="F121" s="6">
        <f>IFERROR(VLOOKUP(A121,'1.2①原材料受入'!A:E,3,FALSE),0)</f>
        <v>0</v>
      </c>
      <c r="G121" s="6">
        <f ca="1">SUMIF('1.3②原材料使用'!C:E,A121,'1.3②原材料使用'!E:E)</f>
        <v>0</v>
      </c>
      <c r="H121" s="6">
        <f>SUMIFS('1.4原材料(その他)'!E:E,'1.4原材料(その他)'!C:C,A:A,'1.4原材料(その他)'!H:H,H$3)</f>
        <v>0</v>
      </c>
      <c r="I121" s="6">
        <f>SUMIFS('1.4原材料(その他)'!E:E,'1.4原材料(その他)'!C:C,A:A,'1.4原材料(その他)'!H:H,I$3)</f>
        <v>0</v>
      </c>
      <c r="J121" s="6">
        <f>SUMIFS('1.4原材料(その他)'!E:E,'1.4原材料(その他)'!C:C,A:A,'1.4原材料(その他)'!H:H,J$3)</f>
        <v>0</v>
      </c>
      <c r="K121" s="6">
        <f>SUMIFS('1.4原材料(その他)'!E:E,'1.4原材料(その他)'!C:C,A:A,'1.4原材料(その他)'!H:H,K$3)</f>
        <v>0</v>
      </c>
      <c r="L121" s="6">
        <f>SUMIFS('1.4原材料(その他)'!E:E,'1.4原材料(その他)'!C:C,A:A,'1.4原材料(その他)'!H:H,L$3)</f>
        <v>0</v>
      </c>
      <c r="M121" s="6">
        <f>SUMIFS('1.4原材料(その他)'!E:E,'1.4原材料(その他)'!C:C,A:A,'1.4原材料(その他)'!H:H,M$3)</f>
        <v>0</v>
      </c>
      <c r="N121" s="7">
        <f ca="1">O121-(E121+F121-SUM(G121:M121))</f>
        <v>0</v>
      </c>
      <c r="O121" s="8">
        <f>SUMIF('1.5原材料在庫'!A:A,原材料SC明細!A121,'1.5原材料在庫'!D:D)</f>
        <v>0</v>
      </c>
    </row>
    <row r="122" spans="1:15" x14ac:dyDescent="0.55000000000000004">
      <c r="A122" s="94"/>
      <c r="B122" s="80"/>
      <c r="C122" s="79"/>
      <c r="D122" s="9" t="s">
        <v>19</v>
      </c>
      <c r="E122" s="10" t="s">
        <v>68</v>
      </c>
      <c r="F122" s="10">
        <f>F121*$C121</f>
        <v>0</v>
      </c>
      <c r="G122" s="10">
        <f ca="1">G121*$C121</f>
        <v>0</v>
      </c>
      <c r="H122" s="10">
        <f t="shared" ref="H122" si="401">H121*$C121</f>
        <v>0</v>
      </c>
      <c r="I122" s="10">
        <f t="shared" ref="I122" si="402">I121*$C121</f>
        <v>0</v>
      </c>
      <c r="J122" s="10">
        <f t="shared" ref="J122" si="403">J121*$C121</f>
        <v>0</v>
      </c>
      <c r="K122" s="10">
        <f t="shared" ref="K122" si="404">K121*$C121</f>
        <v>0</v>
      </c>
      <c r="L122" s="10">
        <f t="shared" ref="L122" si="405">L121*$C121</f>
        <v>0</v>
      </c>
      <c r="M122" s="10">
        <f t="shared" ref="M122" si="406">M121*$C121</f>
        <v>0</v>
      </c>
      <c r="N122" s="11" t="str">
        <f t="shared" ref="N122" ca="1" si="407">IFERROR(N121/SUM($E121:$F121)*SUM($E122:$F122),"")</f>
        <v/>
      </c>
      <c r="O122" s="10">
        <f>O121*$C121</f>
        <v>0</v>
      </c>
    </row>
    <row r="123" spans="1:15" x14ac:dyDescent="0.55000000000000004">
      <c r="A123" s="93">
        <v>60</v>
      </c>
      <c r="B123" s="95" t="s">
        <v>79</v>
      </c>
      <c r="C123" s="78">
        <f>IFERROR(VLOOKUP(A123,'原料標準単価（貼付）'!B:E,3,FALSE),0)</f>
        <v>0</v>
      </c>
      <c r="D123" s="12" t="s">
        <v>18</v>
      </c>
      <c r="E123" s="13">
        <v>0</v>
      </c>
      <c r="F123" s="6">
        <f>IFERROR(VLOOKUP(A123,'1.2①原材料受入'!A:E,3,FALSE),0)</f>
        <v>0</v>
      </c>
      <c r="G123" s="6">
        <f ca="1">SUMIF('1.3②原材料使用'!C:E,A123,'1.3②原材料使用'!E:E)</f>
        <v>0</v>
      </c>
      <c r="H123" s="6">
        <f>SUMIFS('1.4原材料(その他)'!E:E,'1.4原材料(その他)'!C:C,A:A,'1.4原材料(その他)'!H:H,H$3)</f>
        <v>0</v>
      </c>
      <c r="I123" s="6">
        <f>SUMIFS('1.4原材料(その他)'!E:E,'1.4原材料(その他)'!C:C,A:A,'1.4原材料(その他)'!H:H,I$3)</f>
        <v>0</v>
      </c>
      <c r="J123" s="6">
        <f>SUMIFS('1.4原材料(その他)'!E:E,'1.4原材料(その他)'!C:C,A:A,'1.4原材料(その他)'!H:H,J$3)</f>
        <v>0</v>
      </c>
      <c r="K123" s="6">
        <f>SUMIFS('1.4原材料(その他)'!E:E,'1.4原材料(その他)'!C:C,A:A,'1.4原材料(その他)'!H:H,K$3)</f>
        <v>0</v>
      </c>
      <c r="L123" s="6">
        <f>SUMIFS('1.4原材料(その他)'!E:E,'1.4原材料(その他)'!C:C,A:A,'1.4原材料(その他)'!H:H,L$3)</f>
        <v>0</v>
      </c>
      <c r="M123" s="6">
        <f>SUMIFS('1.4原材料(その他)'!E:E,'1.4原材料(その他)'!C:C,A:A,'1.4原材料(その他)'!H:H,M$3)</f>
        <v>0</v>
      </c>
      <c r="N123" s="7">
        <f ca="1">O123-(E123+F123-SUM(G123:M123))</f>
        <v>0</v>
      </c>
      <c r="O123" s="8">
        <f>SUMIF('1.5原材料在庫'!A:A,原材料SC明細!A123,'1.5原材料在庫'!D:D)</f>
        <v>0</v>
      </c>
    </row>
    <row r="124" spans="1:15" x14ac:dyDescent="0.55000000000000004">
      <c r="A124" s="80"/>
      <c r="B124" s="86"/>
      <c r="C124" s="79"/>
      <c r="D124" s="9" t="s">
        <v>19</v>
      </c>
      <c r="E124" s="10" t="s">
        <v>68</v>
      </c>
      <c r="F124" s="10">
        <f>F123*$C123</f>
        <v>0</v>
      </c>
      <c r="G124" s="10">
        <f ca="1">G123*$C123</f>
        <v>0</v>
      </c>
      <c r="H124" s="10">
        <f t="shared" ref="H124" si="408">H123*$C123</f>
        <v>0</v>
      </c>
      <c r="I124" s="10">
        <f t="shared" ref="I124" si="409">I123*$C123</f>
        <v>0</v>
      </c>
      <c r="J124" s="10">
        <f t="shared" ref="J124" si="410">J123*$C123</f>
        <v>0</v>
      </c>
      <c r="K124" s="10">
        <f t="shared" ref="K124" si="411">K123*$C123</f>
        <v>0</v>
      </c>
      <c r="L124" s="10">
        <f t="shared" ref="L124" si="412">L123*$C123</f>
        <v>0</v>
      </c>
      <c r="M124" s="10">
        <f t="shared" ref="M124" si="413">M123*$C123</f>
        <v>0</v>
      </c>
      <c r="N124" s="11" t="str">
        <f t="shared" ref="N124" ca="1" si="414">IFERROR(N123/SUM($E123:$F123)*SUM($E124:$F124),"")</f>
        <v/>
      </c>
      <c r="O124" s="10">
        <f>O123*$C123</f>
        <v>0</v>
      </c>
    </row>
    <row r="125" spans="1:15" x14ac:dyDescent="0.55000000000000004">
      <c r="A125" s="93">
        <v>61</v>
      </c>
      <c r="B125" s="95" t="s">
        <v>80</v>
      </c>
      <c r="C125" s="78">
        <f>IFERROR(VLOOKUP(A125,'原料標準単価（貼付）'!B:E,3,FALSE),0)</f>
        <v>250.66666666666666</v>
      </c>
      <c r="D125" s="12" t="s">
        <v>18</v>
      </c>
      <c r="E125" s="13">
        <v>1.7000000000000028</v>
      </c>
      <c r="F125" s="6">
        <f>IFERROR(VLOOKUP(A125,'1.2①原材料受入'!A:E,3,FALSE),0)</f>
        <v>150</v>
      </c>
      <c r="G125" s="6">
        <f ca="1">SUMIF('1.3②原材料使用'!C:E,A125,'1.3②原材料使用'!E:E)</f>
        <v>144</v>
      </c>
      <c r="H125" s="6">
        <f>SUMIFS('1.4原材料(その他)'!E:E,'1.4原材料(その他)'!C:C,A:A,'1.4原材料(その他)'!H:H,H$3)</f>
        <v>0</v>
      </c>
      <c r="I125" s="6">
        <f>SUMIFS('1.4原材料(その他)'!E:E,'1.4原材料(その他)'!C:C,A:A,'1.4原材料(その他)'!H:H,I$3)</f>
        <v>0</v>
      </c>
      <c r="J125" s="6">
        <f>SUMIFS('1.4原材料(その他)'!E:E,'1.4原材料(その他)'!C:C,A:A,'1.4原材料(その他)'!H:H,J$3)</f>
        <v>0</v>
      </c>
      <c r="K125" s="6">
        <f>SUMIFS('1.4原材料(その他)'!E:E,'1.4原材料(その他)'!C:C,A:A,'1.4原材料(その他)'!H:H,K$3)</f>
        <v>0</v>
      </c>
      <c r="L125" s="6">
        <f>SUMIFS('1.4原材料(その他)'!E:E,'1.4原材料(その他)'!C:C,A:A,'1.4原材料(その他)'!H:H,L$3)</f>
        <v>3.7</v>
      </c>
      <c r="M125" s="6">
        <f>SUMIFS('1.4原材料(その他)'!E:E,'1.4原材料(その他)'!C:C,A:A,'1.4原材料(その他)'!H:H,M$3)</f>
        <v>0.4</v>
      </c>
      <c r="N125" s="7">
        <f ca="1">O125-(E125+F125-SUM(G125:M125))</f>
        <v>0</v>
      </c>
      <c r="O125" s="8">
        <f>SUMIF('1.5原材料在庫'!A:A,原材料SC明細!A125,'1.5原材料在庫'!D:D)</f>
        <v>3.5999999999999943</v>
      </c>
    </row>
    <row r="126" spans="1:15" x14ac:dyDescent="0.55000000000000004">
      <c r="A126" s="80"/>
      <c r="B126" s="86"/>
      <c r="C126" s="79"/>
      <c r="D126" s="9" t="s">
        <v>19</v>
      </c>
      <c r="E126" s="10">
        <v>462.40000000000077</v>
      </c>
      <c r="F126" s="10">
        <f>F125*$C125</f>
        <v>37600</v>
      </c>
      <c r="G126" s="10">
        <f ca="1">G125*$C125</f>
        <v>36096</v>
      </c>
      <c r="H126" s="10">
        <f t="shared" ref="H126" si="415">H125*$C125</f>
        <v>0</v>
      </c>
      <c r="I126" s="10">
        <f t="shared" ref="I126" si="416">I125*$C125</f>
        <v>0</v>
      </c>
      <c r="J126" s="10">
        <f t="shared" ref="J126" si="417">J125*$C125</f>
        <v>0</v>
      </c>
      <c r="K126" s="10">
        <f t="shared" ref="K126" si="418">K125*$C125</f>
        <v>0</v>
      </c>
      <c r="L126" s="10">
        <f t="shared" ref="L126" si="419">L125*$C125</f>
        <v>927.4666666666667</v>
      </c>
      <c r="M126" s="10">
        <f t="shared" ref="M126" si="420">M125*$C125</f>
        <v>100.26666666666667</v>
      </c>
      <c r="N126" s="11">
        <f t="shared" ref="N126" ca="1" si="421">IFERROR(N125/SUM($E125:$F125)*SUM($E126:$F126),"")</f>
        <v>0</v>
      </c>
      <c r="O126" s="10">
        <f>O125*$C125</f>
        <v>902.3999999999985</v>
      </c>
    </row>
    <row r="127" spans="1:15" x14ac:dyDescent="0.55000000000000004">
      <c r="A127" s="93">
        <v>62</v>
      </c>
      <c r="B127" s="95" t="s">
        <v>81</v>
      </c>
      <c r="C127" s="78">
        <f>IFERROR(VLOOKUP(A127,'原料標準単価（貼付）'!B:E,3,FALSE),0)</f>
        <v>0</v>
      </c>
      <c r="D127" s="12" t="s">
        <v>18</v>
      </c>
      <c r="E127" s="13">
        <v>0</v>
      </c>
      <c r="F127" s="6">
        <f>IFERROR(VLOOKUP(A127,'1.2①原材料受入'!A:E,3,FALSE),0)</f>
        <v>0</v>
      </c>
      <c r="G127" s="6">
        <f ca="1">SUMIF('1.3②原材料使用'!C:E,A127,'1.3②原材料使用'!E:E)</f>
        <v>0</v>
      </c>
      <c r="H127" s="6">
        <f>SUMIFS('1.4原材料(その他)'!E:E,'1.4原材料(その他)'!C:C,A:A,'1.4原材料(その他)'!H:H,H$3)</f>
        <v>0</v>
      </c>
      <c r="I127" s="6">
        <f>SUMIFS('1.4原材料(その他)'!E:E,'1.4原材料(その他)'!C:C,A:A,'1.4原材料(その他)'!H:H,I$3)</f>
        <v>0</v>
      </c>
      <c r="J127" s="6">
        <f>SUMIFS('1.4原材料(その他)'!E:E,'1.4原材料(その他)'!C:C,A:A,'1.4原材料(その他)'!H:H,J$3)</f>
        <v>0</v>
      </c>
      <c r="K127" s="6">
        <f>SUMIFS('1.4原材料(その他)'!E:E,'1.4原材料(その他)'!C:C,A:A,'1.4原材料(その他)'!H:H,K$3)</f>
        <v>0</v>
      </c>
      <c r="L127" s="6">
        <f>SUMIFS('1.4原材料(その他)'!E:E,'1.4原材料(その他)'!C:C,A:A,'1.4原材料(その他)'!H:H,L$3)</f>
        <v>0</v>
      </c>
      <c r="M127" s="6">
        <f>SUMIFS('1.4原材料(その他)'!E:E,'1.4原材料(その他)'!C:C,A:A,'1.4原材料(その他)'!H:H,M$3)</f>
        <v>0</v>
      </c>
      <c r="N127" s="7">
        <f ca="1">O127-(E127+F127-SUM(G127:M127))</f>
        <v>0</v>
      </c>
      <c r="O127" s="8">
        <f>SUMIF('1.5原材料在庫'!A:A,原材料SC明細!A127,'1.5原材料在庫'!D:D)</f>
        <v>0</v>
      </c>
    </row>
    <row r="128" spans="1:15" x14ac:dyDescent="0.55000000000000004">
      <c r="A128" s="80"/>
      <c r="B128" s="86"/>
      <c r="C128" s="79"/>
      <c r="D128" s="9" t="s">
        <v>19</v>
      </c>
      <c r="E128" s="10" t="s">
        <v>68</v>
      </c>
      <c r="F128" s="10">
        <f>F127*$C127</f>
        <v>0</v>
      </c>
      <c r="G128" s="10">
        <f ca="1">G127*$C127</f>
        <v>0</v>
      </c>
      <c r="H128" s="10">
        <f t="shared" ref="H128" si="422">H127*$C127</f>
        <v>0</v>
      </c>
      <c r="I128" s="10">
        <f t="shared" ref="I128" si="423">I127*$C127</f>
        <v>0</v>
      </c>
      <c r="J128" s="10">
        <f t="shared" ref="J128" si="424">J127*$C127</f>
        <v>0</v>
      </c>
      <c r="K128" s="10">
        <f t="shared" ref="K128" si="425">K127*$C127</f>
        <v>0</v>
      </c>
      <c r="L128" s="10">
        <f t="shared" ref="L128" si="426">L127*$C127</f>
        <v>0</v>
      </c>
      <c r="M128" s="10">
        <f t="shared" ref="M128" si="427">M127*$C127</f>
        <v>0</v>
      </c>
      <c r="N128" s="11" t="str">
        <f t="shared" ref="N128" ca="1" si="428">IFERROR(N127/SUM($E127:$F127)*SUM($E128:$F128),"")</f>
        <v/>
      </c>
      <c r="O128" s="10">
        <f>O127*$C127</f>
        <v>0</v>
      </c>
    </row>
    <row r="129" spans="1:15" x14ac:dyDescent="0.55000000000000004">
      <c r="A129" s="93">
        <v>63</v>
      </c>
      <c r="B129" s="95" t="s">
        <v>82</v>
      </c>
      <c r="C129" s="78">
        <f>IFERROR(VLOOKUP(A129,'原料標準単価（貼付）'!B:E,3,FALSE),0)</f>
        <v>0</v>
      </c>
      <c r="D129" s="12" t="s">
        <v>18</v>
      </c>
      <c r="E129" s="13">
        <v>0</v>
      </c>
      <c r="F129" s="6">
        <f>IFERROR(VLOOKUP(A129,'1.2①原材料受入'!A:E,3,FALSE),0)</f>
        <v>0</v>
      </c>
      <c r="G129" s="6">
        <f ca="1">SUMIF('1.3②原材料使用'!C:E,A129,'1.3②原材料使用'!E:E)</f>
        <v>0</v>
      </c>
      <c r="H129" s="6">
        <f>SUMIFS('1.4原材料(その他)'!E:E,'1.4原材料(その他)'!C:C,A:A,'1.4原材料(その他)'!H:H,H$3)</f>
        <v>0</v>
      </c>
      <c r="I129" s="6">
        <f>SUMIFS('1.4原材料(その他)'!E:E,'1.4原材料(その他)'!C:C,A:A,'1.4原材料(その他)'!H:H,I$3)</f>
        <v>0</v>
      </c>
      <c r="J129" s="6">
        <f>SUMIFS('1.4原材料(その他)'!E:E,'1.4原材料(その他)'!C:C,A:A,'1.4原材料(その他)'!H:H,J$3)</f>
        <v>0</v>
      </c>
      <c r="K129" s="6">
        <f>SUMIFS('1.4原材料(その他)'!E:E,'1.4原材料(その他)'!C:C,A:A,'1.4原材料(その他)'!H:H,K$3)</f>
        <v>0</v>
      </c>
      <c r="L129" s="6">
        <f>SUMIFS('1.4原材料(その他)'!E:E,'1.4原材料(その他)'!C:C,A:A,'1.4原材料(その他)'!H:H,L$3)</f>
        <v>0</v>
      </c>
      <c r="M129" s="6">
        <f>SUMIFS('1.4原材料(その他)'!E:E,'1.4原材料(その他)'!C:C,A:A,'1.4原材料(その他)'!H:H,M$3)</f>
        <v>0</v>
      </c>
      <c r="N129" s="7">
        <f ca="1">O129-(E129+F129-SUM(G129:M129))</f>
        <v>0</v>
      </c>
      <c r="O129" s="8">
        <f>SUMIF('1.5原材料在庫'!A:A,原材料SC明細!A129,'1.5原材料在庫'!D:D)</f>
        <v>0</v>
      </c>
    </row>
    <row r="130" spans="1:15" x14ac:dyDescent="0.55000000000000004">
      <c r="A130" s="80"/>
      <c r="B130" s="86"/>
      <c r="C130" s="79"/>
      <c r="D130" s="9" t="s">
        <v>19</v>
      </c>
      <c r="E130" s="10" t="s">
        <v>68</v>
      </c>
      <c r="F130" s="10">
        <f>F129*$C129</f>
        <v>0</v>
      </c>
      <c r="G130" s="10">
        <f ca="1">G129*$C129</f>
        <v>0</v>
      </c>
      <c r="H130" s="10">
        <f t="shared" ref="H130" si="429">H129*$C129</f>
        <v>0</v>
      </c>
      <c r="I130" s="10">
        <f t="shared" ref="I130" si="430">I129*$C129</f>
        <v>0</v>
      </c>
      <c r="J130" s="10">
        <f t="shared" ref="J130" si="431">J129*$C129</f>
        <v>0</v>
      </c>
      <c r="K130" s="10">
        <f t="shared" ref="K130" si="432">K129*$C129</f>
        <v>0</v>
      </c>
      <c r="L130" s="10">
        <f t="shared" ref="L130" si="433">L129*$C129</f>
        <v>0</v>
      </c>
      <c r="M130" s="10">
        <f t="shared" ref="M130" si="434">M129*$C129</f>
        <v>0</v>
      </c>
      <c r="N130" s="11" t="str">
        <f t="shared" ref="N130" ca="1" si="435">IFERROR(N129/SUM($E129:$F129)*SUM($E130:$F130),"")</f>
        <v/>
      </c>
      <c r="O130" s="10">
        <f>O129*$C129</f>
        <v>0</v>
      </c>
    </row>
    <row r="131" spans="1:15" x14ac:dyDescent="0.55000000000000004">
      <c r="A131" s="93">
        <v>64</v>
      </c>
      <c r="B131" s="80" t="s">
        <v>83</v>
      </c>
      <c r="C131" s="78">
        <f>IFERROR(VLOOKUP(A131,'原料標準単価（貼付）'!B:E,3,FALSE),0)</f>
        <v>0</v>
      </c>
      <c r="D131" s="12" t="s">
        <v>18</v>
      </c>
      <c r="E131" s="13">
        <v>0</v>
      </c>
      <c r="F131" s="6">
        <f>IFERROR(VLOOKUP(A131,'1.2①原材料受入'!A:E,3,FALSE),0)</f>
        <v>0</v>
      </c>
      <c r="G131" s="6">
        <f ca="1">SUMIF('1.3②原材料使用'!C:E,A131,'1.3②原材料使用'!E:E)</f>
        <v>0</v>
      </c>
      <c r="H131" s="6">
        <f>SUMIFS('1.4原材料(その他)'!E:E,'1.4原材料(その他)'!C:C,A:A,'1.4原材料(その他)'!H:H,H$3)</f>
        <v>0</v>
      </c>
      <c r="I131" s="6">
        <f>SUMIFS('1.4原材料(その他)'!E:E,'1.4原材料(その他)'!C:C,A:A,'1.4原材料(その他)'!H:H,I$3)</f>
        <v>0</v>
      </c>
      <c r="J131" s="6">
        <f>SUMIFS('1.4原材料(その他)'!E:E,'1.4原材料(その他)'!C:C,A:A,'1.4原材料(その他)'!H:H,J$3)</f>
        <v>0</v>
      </c>
      <c r="K131" s="6">
        <f>SUMIFS('1.4原材料(その他)'!E:E,'1.4原材料(その他)'!C:C,A:A,'1.4原材料(その他)'!H:H,K$3)</f>
        <v>0</v>
      </c>
      <c r="L131" s="6">
        <f>SUMIFS('1.4原材料(その他)'!E:E,'1.4原材料(その他)'!C:C,A:A,'1.4原材料(その他)'!H:H,L$3)</f>
        <v>0</v>
      </c>
      <c r="M131" s="6">
        <f>SUMIFS('1.4原材料(その他)'!E:E,'1.4原材料(その他)'!C:C,A:A,'1.4原材料(その他)'!H:H,M$3)</f>
        <v>0</v>
      </c>
      <c r="N131" s="7">
        <f ca="1">O131-(E131+F131-SUM(G131:M131))</f>
        <v>0</v>
      </c>
      <c r="O131" s="8">
        <f>SUMIF('1.5原材料在庫'!A:A,原材料SC明細!A131,'1.5原材料在庫'!D:D)</f>
        <v>0</v>
      </c>
    </row>
    <row r="132" spans="1:15" x14ac:dyDescent="0.55000000000000004">
      <c r="A132" s="80"/>
      <c r="B132" s="80"/>
      <c r="C132" s="79"/>
      <c r="D132" s="9" t="s">
        <v>19</v>
      </c>
      <c r="E132" s="10" t="s">
        <v>68</v>
      </c>
      <c r="F132" s="10">
        <f>F131*$C131</f>
        <v>0</v>
      </c>
      <c r="G132" s="10">
        <f ca="1">G131*$C131</f>
        <v>0</v>
      </c>
      <c r="H132" s="10">
        <f t="shared" ref="H132" si="436">H131*$C131</f>
        <v>0</v>
      </c>
      <c r="I132" s="10">
        <f t="shared" ref="I132" si="437">I131*$C131</f>
        <v>0</v>
      </c>
      <c r="J132" s="10">
        <f t="shared" ref="J132" si="438">J131*$C131</f>
        <v>0</v>
      </c>
      <c r="K132" s="10">
        <f t="shared" ref="K132" si="439">K131*$C131</f>
        <v>0</v>
      </c>
      <c r="L132" s="10">
        <f t="shared" ref="L132" si="440">L131*$C131</f>
        <v>0</v>
      </c>
      <c r="M132" s="10">
        <f t="shared" ref="M132" si="441">M131*$C131</f>
        <v>0</v>
      </c>
      <c r="N132" s="11" t="str">
        <f t="shared" ref="N132" ca="1" si="442">IFERROR(N131/SUM($E131:$F131)*SUM($E132:$F132),"")</f>
        <v/>
      </c>
      <c r="O132" s="10">
        <f>O131*$C131</f>
        <v>0</v>
      </c>
    </row>
    <row r="133" spans="1:15" x14ac:dyDescent="0.55000000000000004">
      <c r="A133" s="93">
        <v>65</v>
      </c>
      <c r="B133" s="80" t="s">
        <v>84</v>
      </c>
      <c r="C133" s="78">
        <f>IFERROR(VLOOKUP(A133,'原料標準単価（貼付）'!B:E,3,FALSE),0)</f>
        <v>0</v>
      </c>
      <c r="D133" s="12" t="s">
        <v>18</v>
      </c>
      <c r="E133" s="13">
        <v>0</v>
      </c>
      <c r="F133" s="6">
        <f>IFERROR(VLOOKUP(A133,'1.2①原材料受入'!A:E,3,FALSE),0)</f>
        <v>0</v>
      </c>
      <c r="G133" s="6">
        <f ca="1">SUMIF('1.3②原材料使用'!C:E,A133,'1.3②原材料使用'!E:E)</f>
        <v>0</v>
      </c>
      <c r="H133" s="6">
        <f>SUMIFS('1.4原材料(その他)'!E:E,'1.4原材料(その他)'!C:C,A:A,'1.4原材料(その他)'!H:H,H$3)</f>
        <v>0</v>
      </c>
      <c r="I133" s="6">
        <f>SUMIFS('1.4原材料(その他)'!E:E,'1.4原材料(その他)'!C:C,A:A,'1.4原材料(その他)'!H:H,I$3)</f>
        <v>0</v>
      </c>
      <c r="J133" s="6">
        <f>SUMIFS('1.4原材料(その他)'!E:E,'1.4原材料(その他)'!C:C,A:A,'1.4原材料(その他)'!H:H,J$3)</f>
        <v>0</v>
      </c>
      <c r="K133" s="6">
        <f>SUMIFS('1.4原材料(その他)'!E:E,'1.4原材料(その他)'!C:C,A:A,'1.4原材料(その他)'!H:H,K$3)</f>
        <v>0</v>
      </c>
      <c r="L133" s="6">
        <f>SUMIFS('1.4原材料(その他)'!E:E,'1.4原材料(その他)'!C:C,A:A,'1.4原材料(その他)'!H:H,L$3)</f>
        <v>0</v>
      </c>
      <c r="M133" s="6">
        <f>SUMIFS('1.4原材料(その他)'!E:E,'1.4原材料(その他)'!C:C,A:A,'1.4原材料(その他)'!H:H,M$3)</f>
        <v>0</v>
      </c>
      <c r="N133" s="7">
        <f ca="1">O133-(E133+F133-SUM(G133:M133))</f>
        <v>0</v>
      </c>
      <c r="O133" s="8">
        <f>SUMIF('1.5原材料在庫'!A:A,原材料SC明細!A133,'1.5原材料在庫'!D:D)</f>
        <v>0</v>
      </c>
    </row>
    <row r="134" spans="1:15" x14ac:dyDescent="0.55000000000000004">
      <c r="A134" s="80"/>
      <c r="B134" s="80"/>
      <c r="C134" s="79"/>
      <c r="D134" s="9" t="s">
        <v>19</v>
      </c>
      <c r="E134" s="10" t="s">
        <v>68</v>
      </c>
      <c r="F134" s="10">
        <f>F133*$C133</f>
        <v>0</v>
      </c>
      <c r="G134" s="10">
        <f ca="1">G133*$C133</f>
        <v>0</v>
      </c>
      <c r="H134" s="10">
        <f t="shared" ref="H134" si="443">H133*$C133</f>
        <v>0</v>
      </c>
      <c r="I134" s="10">
        <f t="shared" ref="I134" si="444">I133*$C133</f>
        <v>0</v>
      </c>
      <c r="J134" s="10">
        <f t="shared" ref="J134" si="445">J133*$C133</f>
        <v>0</v>
      </c>
      <c r="K134" s="10">
        <f t="shared" ref="K134" si="446">K133*$C133</f>
        <v>0</v>
      </c>
      <c r="L134" s="10">
        <f t="shared" ref="L134" si="447">L133*$C133</f>
        <v>0</v>
      </c>
      <c r="M134" s="10">
        <f t="shared" ref="M134" si="448">M133*$C133</f>
        <v>0</v>
      </c>
      <c r="N134" s="11" t="str">
        <f t="shared" ref="N134" ca="1" si="449">IFERROR(N133/SUM($E133:$F133)*SUM($E134:$F134),"")</f>
        <v/>
      </c>
      <c r="O134" s="10">
        <f>O133*$C133</f>
        <v>0</v>
      </c>
    </row>
    <row r="135" spans="1:15" x14ac:dyDescent="0.55000000000000004">
      <c r="A135" s="93">
        <v>66</v>
      </c>
      <c r="B135" s="95" t="s">
        <v>85</v>
      </c>
      <c r="C135" s="78">
        <f>IFERROR(VLOOKUP(A135,'原料標準単価（貼付）'!B:E,3,FALSE),0)</f>
        <v>0</v>
      </c>
      <c r="D135" s="12" t="s">
        <v>18</v>
      </c>
      <c r="E135" s="13">
        <v>1.7763568394002505E-15</v>
      </c>
      <c r="F135" s="6">
        <f>IFERROR(VLOOKUP(A135,'1.2①原材料受入'!A:E,3,FALSE),0)</f>
        <v>0</v>
      </c>
      <c r="G135" s="6">
        <f ca="1">SUMIF('1.3②原材料使用'!C:E,A135,'1.3②原材料使用'!E:E)</f>
        <v>0</v>
      </c>
      <c r="H135" s="6">
        <f>SUMIFS('1.4原材料(その他)'!E:E,'1.4原材料(その他)'!C:C,A:A,'1.4原材料(その他)'!H:H,H$3)</f>
        <v>0</v>
      </c>
      <c r="I135" s="6">
        <f>SUMIFS('1.4原材料(その他)'!E:E,'1.4原材料(その他)'!C:C,A:A,'1.4原材料(その他)'!H:H,I$3)</f>
        <v>0</v>
      </c>
      <c r="J135" s="6">
        <f>SUMIFS('1.4原材料(その他)'!E:E,'1.4原材料(その他)'!C:C,A:A,'1.4原材料(その他)'!H:H,J$3)</f>
        <v>0</v>
      </c>
      <c r="K135" s="6">
        <f>SUMIFS('1.4原材料(その他)'!E:E,'1.4原材料(その他)'!C:C,A:A,'1.4原材料(その他)'!H:H,K$3)</f>
        <v>0</v>
      </c>
      <c r="L135" s="6">
        <f>SUMIFS('1.4原材料(その他)'!E:E,'1.4原材料(その他)'!C:C,A:A,'1.4原材料(その他)'!H:H,L$3)</f>
        <v>0</v>
      </c>
      <c r="M135" s="6">
        <f>SUMIFS('1.4原材料(その他)'!E:E,'1.4原材料(その他)'!C:C,A:A,'1.4原材料(その他)'!H:H,M$3)</f>
        <v>0</v>
      </c>
      <c r="N135" s="7">
        <f ca="1">O135-(E135+F135-SUM(G135:M135))</f>
        <v>0</v>
      </c>
      <c r="O135" s="8">
        <f>SUMIF('1.5原材料在庫'!A:A,原材料SC明細!A135,'1.5原材料在庫'!D:D)</f>
        <v>1.7763568394002505E-15</v>
      </c>
    </row>
    <row r="136" spans="1:15" x14ac:dyDescent="0.55000000000000004">
      <c r="A136" s="80"/>
      <c r="B136" s="86"/>
      <c r="C136" s="79"/>
      <c r="D136" s="9" t="s">
        <v>19</v>
      </c>
      <c r="E136" s="10">
        <v>1.803002191991254E-12</v>
      </c>
      <c r="F136" s="10">
        <f>F135*$C135</f>
        <v>0</v>
      </c>
      <c r="G136" s="10">
        <f ca="1">G135*$C135</f>
        <v>0</v>
      </c>
      <c r="H136" s="10">
        <f t="shared" ref="H136" si="450">H135*$C135</f>
        <v>0</v>
      </c>
      <c r="I136" s="10">
        <f t="shared" ref="I136" si="451">I135*$C135</f>
        <v>0</v>
      </c>
      <c r="J136" s="10">
        <f t="shared" ref="J136" si="452">J135*$C135</f>
        <v>0</v>
      </c>
      <c r="K136" s="10">
        <f t="shared" ref="K136" si="453">K135*$C135</f>
        <v>0</v>
      </c>
      <c r="L136" s="10">
        <f t="shared" ref="L136" si="454">L135*$C135</f>
        <v>0</v>
      </c>
      <c r="M136" s="10">
        <f t="shared" ref="M136" si="455">M135*$C135</f>
        <v>0</v>
      </c>
      <c r="N136" s="11">
        <f t="shared" ref="N136" ca="1" si="456">IFERROR(N135/SUM($E135:$F135)*SUM($E136:$F136),"")</f>
        <v>0</v>
      </c>
      <c r="O136" s="10">
        <f>O135*$C135</f>
        <v>0</v>
      </c>
    </row>
    <row r="137" spans="1:15" x14ac:dyDescent="0.55000000000000004">
      <c r="A137" s="93">
        <v>67</v>
      </c>
      <c r="B137" s="95" t="s">
        <v>86</v>
      </c>
      <c r="C137" s="78">
        <f>IFERROR(VLOOKUP(A137,'原料標準単価（貼付）'!B:E,3,FALSE),0)</f>
        <v>0</v>
      </c>
      <c r="D137" s="12" t="s">
        <v>18</v>
      </c>
      <c r="E137" s="13">
        <v>0</v>
      </c>
      <c r="F137" s="6">
        <f>IFERROR(VLOOKUP(A137,'1.2①原材料受入'!A:E,3,FALSE),0)</f>
        <v>0</v>
      </c>
      <c r="G137" s="6">
        <f ca="1">SUMIF('1.3②原材料使用'!C:E,A137,'1.3②原材料使用'!E:E)</f>
        <v>0</v>
      </c>
      <c r="H137" s="6">
        <f>SUMIFS('1.4原材料(その他)'!E:E,'1.4原材料(その他)'!C:C,A:A,'1.4原材料(その他)'!H:H,H$3)</f>
        <v>0</v>
      </c>
      <c r="I137" s="6">
        <f>SUMIFS('1.4原材料(その他)'!E:E,'1.4原材料(その他)'!C:C,A:A,'1.4原材料(その他)'!H:H,I$3)</f>
        <v>0</v>
      </c>
      <c r="J137" s="6">
        <f>SUMIFS('1.4原材料(その他)'!E:E,'1.4原材料(その他)'!C:C,A:A,'1.4原材料(その他)'!H:H,J$3)</f>
        <v>0</v>
      </c>
      <c r="K137" s="6">
        <f>SUMIFS('1.4原材料(その他)'!E:E,'1.4原材料(その他)'!C:C,A:A,'1.4原材料(その他)'!H:H,K$3)</f>
        <v>0</v>
      </c>
      <c r="L137" s="6">
        <f>SUMIFS('1.4原材料(その他)'!E:E,'1.4原材料(その他)'!C:C,A:A,'1.4原材料(その他)'!H:H,L$3)</f>
        <v>0</v>
      </c>
      <c r="M137" s="6">
        <f>SUMIFS('1.4原材料(その他)'!E:E,'1.4原材料(その他)'!C:C,A:A,'1.4原材料(その他)'!H:H,M$3)</f>
        <v>0</v>
      </c>
      <c r="N137" s="7">
        <f ca="1">O137-(E137+F137-SUM(G137:M137))</f>
        <v>0</v>
      </c>
      <c r="O137" s="8">
        <f>SUMIF('1.5原材料在庫'!A:A,原材料SC明細!A137,'1.5原材料在庫'!D:D)</f>
        <v>0</v>
      </c>
    </row>
    <row r="138" spans="1:15" x14ac:dyDescent="0.55000000000000004">
      <c r="A138" s="80"/>
      <c r="B138" s="86"/>
      <c r="C138" s="79"/>
      <c r="D138" s="9" t="s">
        <v>19</v>
      </c>
      <c r="E138" s="10" t="s">
        <v>68</v>
      </c>
      <c r="F138" s="10">
        <f>F137*$C137</f>
        <v>0</v>
      </c>
      <c r="G138" s="10">
        <f ca="1">G137*$C137</f>
        <v>0</v>
      </c>
      <c r="H138" s="10">
        <f t="shared" ref="H138" si="457">H137*$C137</f>
        <v>0</v>
      </c>
      <c r="I138" s="10">
        <f t="shared" ref="I138" si="458">I137*$C137</f>
        <v>0</v>
      </c>
      <c r="J138" s="10">
        <f t="shared" ref="J138" si="459">J137*$C137</f>
        <v>0</v>
      </c>
      <c r="K138" s="10">
        <f t="shared" ref="K138" si="460">K137*$C137</f>
        <v>0</v>
      </c>
      <c r="L138" s="10">
        <f t="shared" ref="L138" si="461">L137*$C137</f>
        <v>0</v>
      </c>
      <c r="M138" s="10">
        <f t="shared" ref="M138" si="462">M137*$C137</f>
        <v>0</v>
      </c>
      <c r="N138" s="11" t="str">
        <f t="shared" ref="N138" ca="1" si="463">IFERROR(N137/SUM($E137:$F137)*SUM($E138:$F138),"")</f>
        <v/>
      </c>
      <c r="O138" s="10">
        <f>O137*$C137</f>
        <v>0</v>
      </c>
    </row>
    <row r="139" spans="1:15" x14ac:dyDescent="0.55000000000000004">
      <c r="A139" s="93">
        <v>68</v>
      </c>
      <c r="B139" s="95" t="s">
        <v>87</v>
      </c>
      <c r="C139" s="78">
        <f>IFERROR(VLOOKUP(A139,'原料標準単価（貼付）'!B:E,3,FALSE),0)</f>
        <v>0</v>
      </c>
      <c r="D139" s="12" t="s">
        <v>18</v>
      </c>
      <c r="E139" s="13">
        <v>0</v>
      </c>
      <c r="F139" s="6">
        <f>IFERROR(VLOOKUP(A139,'1.2①原材料受入'!A:E,3,FALSE),0)</f>
        <v>0</v>
      </c>
      <c r="G139" s="6">
        <f ca="1">SUMIF('1.3②原材料使用'!C:E,A139,'1.3②原材料使用'!E:E)</f>
        <v>0</v>
      </c>
      <c r="H139" s="6">
        <f>SUMIFS('1.4原材料(その他)'!E:E,'1.4原材料(その他)'!C:C,A:A,'1.4原材料(その他)'!H:H,H$3)</f>
        <v>0</v>
      </c>
      <c r="I139" s="6">
        <f>SUMIFS('1.4原材料(その他)'!E:E,'1.4原材料(その他)'!C:C,A:A,'1.4原材料(その他)'!H:H,I$3)</f>
        <v>0</v>
      </c>
      <c r="J139" s="6">
        <f>SUMIFS('1.4原材料(その他)'!E:E,'1.4原材料(その他)'!C:C,A:A,'1.4原材料(その他)'!H:H,J$3)</f>
        <v>0</v>
      </c>
      <c r="K139" s="6">
        <f>SUMIFS('1.4原材料(その他)'!E:E,'1.4原材料(その他)'!C:C,A:A,'1.4原材料(その他)'!H:H,K$3)</f>
        <v>0</v>
      </c>
      <c r="L139" s="6">
        <f>SUMIFS('1.4原材料(その他)'!E:E,'1.4原材料(その他)'!C:C,A:A,'1.4原材料(その他)'!H:H,L$3)</f>
        <v>0</v>
      </c>
      <c r="M139" s="6">
        <f>SUMIFS('1.4原材料(その他)'!E:E,'1.4原材料(その他)'!C:C,A:A,'1.4原材料(その他)'!H:H,M$3)</f>
        <v>0</v>
      </c>
      <c r="N139" s="7">
        <f ca="1">O139-(E139+F139-SUM(G139:M139))</f>
        <v>0</v>
      </c>
      <c r="O139" s="8">
        <f>SUMIF('1.5原材料在庫'!A:A,原材料SC明細!A139,'1.5原材料在庫'!D:D)</f>
        <v>0</v>
      </c>
    </row>
    <row r="140" spans="1:15" x14ac:dyDescent="0.55000000000000004">
      <c r="A140" s="80"/>
      <c r="B140" s="86"/>
      <c r="C140" s="79"/>
      <c r="D140" s="9" t="s">
        <v>19</v>
      </c>
      <c r="E140" s="10" t="s">
        <v>68</v>
      </c>
      <c r="F140" s="10">
        <f>F139*$C139</f>
        <v>0</v>
      </c>
      <c r="G140" s="10">
        <f ca="1">G139*$C139</f>
        <v>0</v>
      </c>
      <c r="H140" s="10">
        <f t="shared" ref="H140" si="464">H139*$C139</f>
        <v>0</v>
      </c>
      <c r="I140" s="10">
        <f t="shared" ref="I140" si="465">I139*$C139</f>
        <v>0</v>
      </c>
      <c r="J140" s="10">
        <f t="shared" ref="J140" si="466">J139*$C139</f>
        <v>0</v>
      </c>
      <c r="K140" s="10">
        <f t="shared" ref="K140" si="467">K139*$C139</f>
        <v>0</v>
      </c>
      <c r="L140" s="10">
        <f t="shared" ref="L140" si="468">L139*$C139</f>
        <v>0</v>
      </c>
      <c r="M140" s="10">
        <f t="shared" ref="M140" si="469">M139*$C139</f>
        <v>0</v>
      </c>
      <c r="N140" s="11" t="str">
        <f t="shared" ref="N140" ca="1" si="470">IFERROR(N139/SUM($E139:$F139)*SUM($E140:$F140),"")</f>
        <v/>
      </c>
      <c r="O140" s="10">
        <f>O139*$C139</f>
        <v>0</v>
      </c>
    </row>
    <row r="141" spans="1:15" x14ac:dyDescent="0.55000000000000004">
      <c r="A141" s="93">
        <v>69</v>
      </c>
      <c r="B141" s="95" t="s">
        <v>88</v>
      </c>
      <c r="C141" s="78">
        <f>IFERROR(VLOOKUP(A141,'原料標準単価（貼付）'!B:E,3,FALSE),0)</f>
        <v>0</v>
      </c>
      <c r="D141" s="12" t="s">
        <v>18</v>
      </c>
      <c r="E141" s="13">
        <v>0</v>
      </c>
      <c r="F141" s="6">
        <f>IFERROR(VLOOKUP(A141,'1.2①原材料受入'!A:E,3,FALSE),0)</f>
        <v>0</v>
      </c>
      <c r="G141" s="6">
        <f ca="1">SUMIF('1.3②原材料使用'!C:E,A141,'1.3②原材料使用'!E:E)</f>
        <v>0</v>
      </c>
      <c r="H141" s="6">
        <f>SUMIFS('1.4原材料(その他)'!E:E,'1.4原材料(その他)'!C:C,A:A,'1.4原材料(その他)'!H:H,H$3)</f>
        <v>0</v>
      </c>
      <c r="I141" s="6">
        <f>SUMIFS('1.4原材料(その他)'!E:E,'1.4原材料(その他)'!C:C,A:A,'1.4原材料(その他)'!H:H,I$3)</f>
        <v>0</v>
      </c>
      <c r="J141" s="6">
        <f>SUMIFS('1.4原材料(その他)'!E:E,'1.4原材料(その他)'!C:C,A:A,'1.4原材料(その他)'!H:H,J$3)</f>
        <v>0</v>
      </c>
      <c r="K141" s="6">
        <f>SUMIFS('1.4原材料(その他)'!E:E,'1.4原材料(その他)'!C:C,A:A,'1.4原材料(その他)'!H:H,K$3)</f>
        <v>0</v>
      </c>
      <c r="L141" s="6">
        <f>SUMIFS('1.4原材料(その他)'!E:E,'1.4原材料(その他)'!C:C,A:A,'1.4原材料(その他)'!H:H,L$3)</f>
        <v>0</v>
      </c>
      <c r="M141" s="6">
        <f>SUMIFS('1.4原材料(その他)'!E:E,'1.4原材料(その他)'!C:C,A:A,'1.4原材料(その他)'!H:H,M$3)</f>
        <v>0</v>
      </c>
      <c r="N141" s="7">
        <f ca="1">O141-(E141+F141-SUM(G141:M141))</f>
        <v>0</v>
      </c>
      <c r="O141" s="8">
        <f>SUMIF('1.5原材料在庫'!A:A,原材料SC明細!A141,'1.5原材料在庫'!D:D)</f>
        <v>0</v>
      </c>
    </row>
    <row r="142" spans="1:15" x14ac:dyDescent="0.55000000000000004">
      <c r="A142" s="80"/>
      <c r="B142" s="86"/>
      <c r="C142" s="79"/>
      <c r="D142" s="9" t="s">
        <v>19</v>
      </c>
      <c r="E142" s="10" t="s">
        <v>68</v>
      </c>
      <c r="F142" s="10">
        <f>F141*$C141</f>
        <v>0</v>
      </c>
      <c r="G142" s="10">
        <f ca="1">G141*$C141</f>
        <v>0</v>
      </c>
      <c r="H142" s="10">
        <f t="shared" ref="H142" si="471">H141*$C141</f>
        <v>0</v>
      </c>
      <c r="I142" s="10">
        <f t="shared" ref="I142" si="472">I141*$C141</f>
        <v>0</v>
      </c>
      <c r="J142" s="10">
        <f t="shared" ref="J142" si="473">J141*$C141</f>
        <v>0</v>
      </c>
      <c r="K142" s="10">
        <f t="shared" ref="K142" si="474">K141*$C141</f>
        <v>0</v>
      </c>
      <c r="L142" s="10">
        <f t="shared" ref="L142" si="475">L141*$C141</f>
        <v>0</v>
      </c>
      <c r="M142" s="10">
        <f t="shared" ref="M142" si="476">M141*$C141</f>
        <v>0</v>
      </c>
      <c r="N142" s="11" t="str">
        <f t="shared" ref="N142" ca="1" si="477">IFERROR(N141/SUM($E141:$F141)*SUM($E142:$F142),"")</f>
        <v/>
      </c>
      <c r="O142" s="10">
        <f>O141*$C141</f>
        <v>0</v>
      </c>
    </row>
    <row r="143" spans="1:15" x14ac:dyDescent="0.55000000000000004">
      <c r="A143" s="94">
        <v>70</v>
      </c>
      <c r="B143" s="94" t="s">
        <v>89</v>
      </c>
      <c r="C143" s="78">
        <f>IFERROR(VLOOKUP(A143,'原料標準単価（貼付）'!B:E,3,FALSE),0)</f>
        <v>0</v>
      </c>
      <c r="D143" s="4" t="s">
        <v>18</v>
      </c>
      <c r="E143" s="14">
        <v>0</v>
      </c>
      <c r="F143" s="6">
        <f>IFERROR(VLOOKUP(A143,'1.2①原材料受入'!A:E,3,FALSE),0)</f>
        <v>0</v>
      </c>
      <c r="G143" s="6">
        <f ca="1">SUMIF('1.3②原材料使用'!C:E,A143,'1.3②原材料使用'!E:E)</f>
        <v>0</v>
      </c>
      <c r="H143" s="6">
        <f>SUMIFS('1.4原材料(その他)'!E:E,'1.4原材料(その他)'!C:C,A:A,'1.4原材料(その他)'!H:H,H$3)</f>
        <v>0</v>
      </c>
      <c r="I143" s="6">
        <f>SUMIFS('1.4原材料(その他)'!E:E,'1.4原材料(その他)'!C:C,A:A,'1.4原材料(その他)'!H:H,I$3)</f>
        <v>0</v>
      </c>
      <c r="J143" s="6">
        <f>SUMIFS('1.4原材料(その他)'!E:E,'1.4原材料(その他)'!C:C,A:A,'1.4原材料(その他)'!H:H,J$3)</f>
        <v>0</v>
      </c>
      <c r="K143" s="6">
        <f>SUMIFS('1.4原材料(その他)'!E:E,'1.4原材料(その他)'!C:C,A:A,'1.4原材料(その他)'!H:H,K$3)</f>
        <v>0</v>
      </c>
      <c r="L143" s="6">
        <f>SUMIFS('1.4原材料(その他)'!E:E,'1.4原材料(その他)'!C:C,A:A,'1.4原材料(その他)'!H:H,L$3)</f>
        <v>0</v>
      </c>
      <c r="M143" s="6">
        <f>SUMIFS('1.4原材料(その他)'!E:E,'1.4原材料(その他)'!C:C,A:A,'1.4原材料(その他)'!H:H,M$3)</f>
        <v>0</v>
      </c>
      <c r="N143" s="7">
        <f ca="1">O143-(E143+F143-SUM(G143:M143))</f>
        <v>0</v>
      </c>
      <c r="O143" s="8">
        <f>SUMIF('1.5原材料在庫'!A:A,原材料SC明細!A143,'1.5原材料在庫'!D:D)</f>
        <v>0</v>
      </c>
    </row>
    <row r="144" spans="1:15" x14ac:dyDescent="0.55000000000000004">
      <c r="A144" s="80"/>
      <c r="B144" s="80"/>
      <c r="C144" s="79"/>
      <c r="D144" s="9" t="s">
        <v>19</v>
      </c>
      <c r="E144" s="10" t="s">
        <v>68</v>
      </c>
      <c r="F144" s="10">
        <f>F143*$C143</f>
        <v>0</v>
      </c>
      <c r="G144" s="10">
        <f ca="1">G143*$C143</f>
        <v>0</v>
      </c>
      <c r="H144" s="10">
        <f t="shared" ref="H144" si="478">H143*$C143</f>
        <v>0</v>
      </c>
      <c r="I144" s="10">
        <f t="shared" ref="I144" si="479">I143*$C143</f>
        <v>0</v>
      </c>
      <c r="J144" s="10">
        <f t="shared" ref="J144" si="480">J143*$C143</f>
        <v>0</v>
      </c>
      <c r="K144" s="10">
        <f t="shared" ref="K144" si="481">K143*$C143</f>
        <v>0</v>
      </c>
      <c r="L144" s="10">
        <f t="shared" ref="L144" si="482">L143*$C143</f>
        <v>0</v>
      </c>
      <c r="M144" s="10">
        <f t="shared" ref="M144" si="483">M143*$C143</f>
        <v>0</v>
      </c>
      <c r="N144" s="11" t="str">
        <f t="shared" ref="N144" ca="1" si="484">IFERROR(N143/SUM($E143:$F143)*SUM($E144:$F144),"")</f>
        <v/>
      </c>
      <c r="O144" s="10">
        <f>O143*$C143</f>
        <v>0</v>
      </c>
    </row>
    <row r="145" spans="1:15" x14ac:dyDescent="0.55000000000000004">
      <c r="A145" s="94">
        <v>71</v>
      </c>
      <c r="B145" s="94" t="s">
        <v>90</v>
      </c>
      <c r="C145" s="78">
        <f>IFERROR(VLOOKUP(A145,'原料標準単価（貼付）'!B:E,3,FALSE),0)</f>
        <v>0</v>
      </c>
      <c r="D145" s="12" t="s">
        <v>18</v>
      </c>
      <c r="E145" s="13">
        <v>1.1102230246251565E-16</v>
      </c>
      <c r="F145" s="6">
        <f>IFERROR(VLOOKUP(A145,'1.2①原材料受入'!A:E,3,FALSE),0)</f>
        <v>0</v>
      </c>
      <c r="G145" s="6">
        <f ca="1">SUMIF('1.3②原材料使用'!C:E,A145,'1.3②原材料使用'!E:E)</f>
        <v>0</v>
      </c>
      <c r="H145" s="6">
        <f>SUMIFS('1.4原材料(その他)'!E:E,'1.4原材料(その他)'!C:C,A:A,'1.4原材料(その他)'!H:H,H$3)</f>
        <v>0</v>
      </c>
      <c r="I145" s="6">
        <f>SUMIFS('1.4原材料(その他)'!E:E,'1.4原材料(その他)'!C:C,A:A,'1.4原材料(その他)'!H:H,I$3)</f>
        <v>0</v>
      </c>
      <c r="J145" s="6">
        <f>SUMIFS('1.4原材料(その他)'!E:E,'1.4原材料(その他)'!C:C,A:A,'1.4原材料(その他)'!H:H,J$3)</f>
        <v>0</v>
      </c>
      <c r="K145" s="6">
        <f>SUMIFS('1.4原材料(その他)'!E:E,'1.4原材料(その他)'!C:C,A:A,'1.4原材料(その他)'!H:H,K$3)</f>
        <v>0</v>
      </c>
      <c r="L145" s="6">
        <f>SUMIFS('1.4原材料(その他)'!E:E,'1.4原材料(その他)'!C:C,A:A,'1.4原材料(その他)'!H:H,L$3)</f>
        <v>0</v>
      </c>
      <c r="M145" s="6">
        <f>SUMIFS('1.4原材料(その他)'!E:E,'1.4原材料(その他)'!C:C,A:A,'1.4原材料(その他)'!H:H,M$3)</f>
        <v>0</v>
      </c>
      <c r="N145" s="7">
        <f ca="1">O145-(E145+F145-SUM(G145:M145))</f>
        <v>0</v>
      </c>
      <c r="O145" s="8">
        <f>SUMIF('1.5原材料在庫'!A:A,原材料SC明細!A145,'1.5原材料在庫'!D:D)</f>
        <v>1.1102230246251565E-16</v>
      </c>
    </row>
    <row r="146" spans="1:15" x14ac:dyDescent="0.55000000000000004">
      <c r="A146" s="80"/>
      <c r="B146" s="80"/>
      <c r="C146" s="79"/>
      <c r="D146" s="9" t="s">
        <v>19</v>
      </c>
      <c r="E146" s="10">
        <v>4.1998568365754276E-14</v>
      </c>
      <c r="F146" s="10">
        <f>F145*$C145</f>
        <v>0</v>
      </c>
      <c r="G146" s="10">
        <f ca="1">G145*$C145</f>
        <v>0</v>
      </c>
      <c r="H146" s="10">
        <f t="shared" ref="H146" si="485">H145*$C145</f>
        <v>0</v>
      </c>
      <c r="I146" s="10">
        <f t="shared" ref="I146" si="486">I145*$C145</f>
        <v>0</v>
      </c>
      <c r="J146" s="10">
        <f t="shared" ref="J146" si="487">J145*$C145</f>
        <v>0</v>
      </c>
      <c r="K146" s="10">
        <f t="shared" ref="K146" si="488">K145*$C145</f>
        <v>0</v>
      </c>
      <c r="L146" s="10">
        <f t="shared" ref="L146" si="489">L145*$C145</f>
        <v>0</v>
      </c>
      <c r="M146" s="10">
        <f t="shared" ref="M146" si="490">M145*$C145</f>
        <v>0</v>
      </c>
      <c r="N146" s="11">
        <f t="shared" ref="N146" ca="1" si="491">IFERROR(N145/SUM($E145:$F145)*SUM($E146:$F146),"")</f>
        <v>0</v>
      </c>
      <c r="O146" s="10">
        <f>O145*$C145</f>
        <v>0</v>
      </c>
    </row>
    <row r="147" spans="1:15" x14ac:dyDescent="0.55000000000000004">
      <c r="A147" s="94">
        <v>72</v>
      </c>
      <c r="B147" s="94" t="s">
        <v>91</v>
      </c>
      <c r="C147" s="78">
        <f>IFERROR(VLOOKUP(A147,'原料標準単価（貼付）'!B:E,3,FALSE),0)</f>
        <v>0</v>
      </c>
      <c r="D147" s="12" t="s">
        <v>18</v>
      </c>
      <c r="E147" s="13">
        <v>0</v>
      </c>
      <c r="F147" s="6">
        <f>IFERROR(VLOOKUP(A147,'1.2①原材料受入'!A:E,3,FALSE),0)</f>
        <v>0</v>
      </c>
      <c r="G147" s="6">
        <f ca="1">SUMIF('1.3②原材料使用'!C:E,A147,'1.3②原材料使用'!E:E)</f>
        <v>0</v>
      </c>
      <c r="H147" s="6">
        <f>SUMIFS('1.4原材料(その他)'!E:E,'1.4原材料(その他)'!C:C,A:A,'1.4原材料(その他)'!H:H,H$3)</f>
        <v>0</v>
      </c>
      <c r="I147" s="6">
        <f>SUMIFS('1.4原材料(その他)'!E:E,'1.4原材料(その他)'!C:C,A:A,'1.4原材料(その他)'!H:H,I$3)</f>
        <v>0</v>
      </c>
      <c r="J147" s="6">
        <f>SUMIFS('1.4原材料(その他)'!E:E,'1.4原材料(その他)'!C:C,A:A,'1.4原材料(その他)'!H:H,J$3)</f>
        <v>0</v>
      </c>
      <c r="K147" s="6">
        <f>SUMIFS('1.4原材料(その他)'!E:E,'1.4原材料(その他)'!C:C,A:A,'1.4原材料(その他)'!H:H,K$3)</f>
        <v>0</v>
      </c>
      <c r="L147" s="6">
        <f>SUMIFS('1.4原材料(その他)'!E:E,'1.4原材料(その他)'!C:C,A:A,'1.4原材料(その他)'!H:H,L$3)</f>
        <v>0</v>
      </c>
      <c r="M147" s="6">
        <f>SUMIFS('1.4原材料(その他)'!E:E,'1.4原材料(その他)'!C:C,A:A,'1.4原材料(その他)'!H:H,M$3)</f>
        <v>0</v>
      </c>
      <c r="N147" s="7">
        <f ca="1">O147-(E147+F147-SUM(G147:M147))</f>
        <v>0</v>
      </c>
      <c r="O147" s="8">
        <f>SUMIF('1.5原材料在庫'!A:A,原材料SC明細!A147,'1.5原材料在庫'!D:D)</f>
        <v>0</v>
      </c>
    </row>
    <row r="148" spans="1:15" x14ac:dyDescent="0.55000000000000004">
      <c r="A148" s="80"/>
      <c r="B148" s="80"/>
      <c r="C148" s="79"/>
      <c r="D148" s="9" t="s">
        <v>19</v>
      </c>
      <c r="E148" s="10" t="s">
        <v>68</v>
      </c>
      <c r="F148" s="10">
        <f>F147*$C147</f>
        <v>0</v>
      </c>
      <c r="G148" s="10">
        <f ca="1">G147*$C147</f>
        <v>0</v>
      </c>
      <c r="H148" s="10">
        <f t="shared" ref="H148" si="492">H147*$C147</f>
        <v>0</v>
      </c>
      <c r="I148" s="10">
        <f t="shared" ref="I148" si="493">I147*$C147</f>
        <v>0</v>
      </c>
      <c r="J148" s="10">
        <f t="shared" ref="J148" si="494">J147*$C147</f>
        <v>0</v>
      </c>
      <c r="K148" s="10">
        <f t="shared" ref="K148" si="495">K147*$C147</f>
        <v>0</v>
      </c>
      <c r="L148" s="10">
        <f t="shared" ref="L148" si="496">L147*$C147</f>
        <v>0</v>
      </c>
      <c r="M148" s="10">
        <f t="shared" ref="M148" si="497">M147*$C147</f>
        <v>0</v>
      </c>
      <c r="N148" s="11" t="str">
        <f t="shared" ref="N148" ca="1" si="498">IFERROR(N147/SUM($E147:$F147)*SUM($E148:$F148),"")</f>
        <v/>
      </c>
      <c r="O148" s="10">
        <f>O147*$C147</f>
        <v>0</v>
      </c>
    </row>
    <row r="149" spans="1:15" x14ac:dyDescent="0.55000000000000004">
      <c r="A149" s="94">
        <v>73</v>
      </c>
      <c r="B149" s="94" t="s">
        <v>92</v>
      </c>
      <c r="C149" s="78">
        <f>IFERROR(VLOOKUP(A149,'原料標準単価（貼付）'!B:E,3,FALSE),0)</f>
        <v>0</v>
      </c>
      <c r="D149" s="12" t="s">
        <v>18</v>
      </c>
      <c r="E149" s="13">
        <v>0</v>
      </c>
      <c r="F149" s="6">
        <f>IFERROR(VLOOKUP(A149,'1.2①原材料受入'!A:E,3,FALSE),0)</f>
        <v>0</v>
      </c>
      <c r="G149" s="6">
        <f ca="1">SUMIF('1.3②原材料使用'!C:E,A149,'1.3②原材料使用'!E:E)</f>
        <v>0</v>
      </c>
      <c r="H149" s="6">
        <f>SUMIFS('1.4原材料(その他)'!E:E,'1.4原材料(その他)'!C:C,A:A,'1.4原材料(その他)'!H:H,H$3)</f>
        <v>0</v>
      </c>
      <c r="I149" s="6">
        <f>SUMIFS('1.4原材料(その他)'!E:E,'1.4原材料(その他)'!C:C,A:A,'1.4原材料(その他)'!H:H,I$3)</f>
        <v>0</v>
      </c>
      <c r="J149" s="6">
        <f>SUMIFS('1.4原材料(その他)'!E:E,'1.4原材料(その他)'!C:C,A:A,'1.4原材料(その他)'!H:H,J$3)</f>
        <v>0</v>
      </c>
      <c r="K149" s="6">
        <f>SUMIFS('1.4原材料(その他)'!E:E,'1.4原材料(その他)'!C:C,A:A,'1.4原材料(その他)'!H:H,K$3)</f>
        <v>0</v>
      </c>
      <c r="L149" s="6">
        <f>SUMIFS('1.4原材料(その他)'!E:E,'1.4原材料(その他)'!C:C,A:A,'1.4原材料(その他)'!H:H,L$3)</f>
        <v>0</v>
      </c>
      <c r="M149" s="6">
        <f>SUMIFS('1.4原材料(その他)'!E:E,'1.4原材料(その他)'!C:C,A:A,'1.4原材料(その他)'!H:H,M$3)</f>
        <v>0</v>
      </c>
      <c r="N149" s="7">
        <f ca="1">O149-(E149+F149-SUM(G149:M149))</f>
        <v>0</v>
      </c>
      <c r="O149" s="8">
        <f>SUMIF('1.5原材料在庫'!A:A,原材料SC明細!A149,'1.5原材料在庫'!D:D)</f>
        <v>0</v>
      </c>
    </row>
    <row r="150" spans="1:15" x14ac:dyDescent="0.55000000000000004">
      <c r="A150" s="80"/>
      <c r="B150" s="80"/>
      <c r="C150" s="79"/>
      <c r="D150" s="9" t="s">
        <v>19</v>
      </c>
      <c r="E150" s="10" t="s">
        <v>68</v>
      </c>
      <c r="F150" s="10">
        <f>F149*$C149</f>
        <v>0</v>
      </c>
      <c r="G150" s="10">
        <f ca="1">G149*$C149</f>
        <v>0</v>
      </c>
      <c r="H150" s="10">
        <f t="shared" ref="H150" si="499">H149*$C149</f>
        <v>0</v>
      </c>
      <c r="I150" s="10">
        <f t="shared" ref="I150" si="500">I149*$C149</f>
        <v>0</v>
      </c>
      <c r="J150" s="10">
        <f t="shared" ref="J150" si="501">J149*$C149</f>
        <v>0</v>
      </c>
      <c r="K150" s="10">
        <f t="shared" ref="K150" si="502">K149*$C149</f>
        <v>0</v>
      </c>
      <c r="L150" s="10">
        <f t="shared" ref="L150" si="503">L149*$C149</f>
        <v>0</v>
      </c>
      <c r="M150" s="10">
        <f t="shared" ref="M150" si="504">M149*$C149</f>
        <v>0</v>
      </c>
      <c r="N150" s="11" t="str">
        <f t="shared" ref="N150" ca="1" si="505">IFERROR(N149/SUM($E149:$F149)*SUM($E150:$F150),"")</f>
        <v/>
      </c>
      <c r="O150" s="10">
        <f>O149*$C149</f>
        <v>0</v>
      </c>
    </row>
    <row r="151" spans="1:15" x14ac:dyDescent="0.55000000000000004">
      <c r="A151" s="94">
        <v>74</v>
      </c>
      <c r="B151" s="94" t="s">
        <v>93</v>
      </c>
      <c r="C151" s="78">
        <f>IFERROR(VLOOKUP(A151,'原料標準単価（貼付）'!B:E,3,FALSE),0)</f>
        <v>0</v>
      </c>
      <c r="D151" s="12" t="s">
        <v>18</v>
      </c>
      <c r="E151" s="13">
        <v>-8.8817841970012523E-16</v>
      </c>
      <c r="F151" s="6">
        <f>IFERROR(VLOOKUP(A151,'1.2①原材料受入'!A:E,3,FALSE),0)</f>
        <v>0</v>
      </c>
      <c r="G151" s="6">
        <f ca="1">SUMIF('1.3②原材料使用'!C:E,A151,'1.3②原材料使用'!E:E)</f>
        <v>0</v>
      </c>
      <c r="H151" s="6">
        <f>SUMIFS('1.4原材料(その他)'!E:E,'1.4原材料(その他)'!C:C,A:A,'1.4原材料(その他)'!H:H,H$3)</f>
        <v>0</v>
      </c>
      <c r="I151" s="6">
        <f>SUMIFS('1.4原材料(その他)'!E:E,'1.4原材料(その他)'!C:C,A:A,'1.4原材料(その他)'!H:H,I$3)</f>
        <v>0</v>
      </c>
      <c r="J151" s="6">
        <f>SUMIFS('1.4原材料(その他)'!E:E,'1.4原材料(その他)'!C:C,A:A,'1.4原材料(その他)'!H:H,J$3)</f>
        <v>0</v>
      </c>
      <c r="K151" s="6">
        <f>SUMIFS('1.4原材料(その他)'!E:E,'1.4原材料(その他)'!C:C,A:A,'1.4原材料(その他)'!H:H,K$3)</f>
        <v>0</v>
      </c>
      <c r="L151" s="6">
        <f>SUMIFS('1.4原材料(その他)'!E:E,'1.4原材料(その他)'!C:C,A:A,'1.4原材料(その他)'!H:H,L$3)</f>
        <v>0</v>
      </c>
      <c r="M151" s="6">
        <f>SUMIFS('1.4原材料(その他)'!E:E,'1.4原材料(その他)'!C:C,A:A,'1.4原材料(その他)'!H:H,M$3)</f>
        <v>0</v>
      </c>
      <c r="N151" s="7">
        <f ca="1">O151-(E151+F151-SUM(G151:M151))</f>
        <v>0</v>
      </c>
      <c r="O151" s="8">
        <f>SUMIF('1.5原材料在庫'!A:A,原材料SC明細!A151,'1.5原材料在庫'!D:D)</f>
        <v>-8.8817841970012523E-16</v>
      </c>
    </row>
    <row r="152" spans="1:15" x14ac:dyDescent="0.55000000000000004">
      <c r="A152" s="80"/>
      <c r="B152" s="80"/>
      <c r="C152" s="79"/>
      <c r="D152" s="9" t="s">
        <v>19</v>
      </c>
      <c r="E152" s="10">
        <v>-7.2167457195367506E-12</v>
      </c>
      <c r="F152" s="10">
        <f>F151*$C151</f>
        <v>0</v>
      </c>
      <c r="G152" s="10">
        <f ca="1">G151*$C151</f>
        <v>0</v>
      </c>
      <c r="H152" s="10">
        <f t="shared" ref="H152" si="506">H151*$C151</f>
        <v>0</v>
      </c>
      <c r="I152" s="10">
        <f t="shared" ref="I152" si="507">I151*$C151</f>
        <v>0</v>
      </c>
      <c r="J152" s="10">
        <f t="shared" ref="J152" si="508">J151*$C151</f>
        <v>0</v>
      </c>
      <c r="K152" s="10">
        <f t="shared" ref="K152" si="509">K151*$C151</f>
        <v>0</v>
      </c>
      <c r="L152" s="10">
        <f t="shared" ref="L152" si="510">L151*$C151</f>
        <v>0</v>
      </c>
      <c r="M152" s="10">
        <f t="shared" ref="M152" si="511">M151*$C151</f>
        <v>0</v>
      </c>
      <c r="N152" s="11">
        <f t="shared" ref="N152" ca="1" si="512">IFERROR(N151/SUM($E151:$F151)*SUM($E152:$F152),"")</f>
        <v>0</v>
      </c>
      <c r="O152" s="10">
        <f>O151*$C151</f>
        <v>0</v>
      </c>
    </row>
    <row r="153" spans="1:15" x14ac:dyDescent="0.55000000000000004">
      <c r="A153" s="94">
        <v>75</v>
      </c>
      <c r="B153" s="94" t="s">
        <v>94</v>
      </c>
      <c r="C153" s="78">
        <f>IFERROR(VLOOKUP(A153,'原料標準単価（貼付）'!B:E,3,FALSE),0)</f>
        <v>0</v>
      </c>
      <c r="D153" s="12" t="s">
        <v>18</v>
      </c>
      <c r="E153" s="13">
        <v>0</v>
      </c>
      <c r="F153" s="6">
        <f>IFERROR(VLOOKUP(A153,'1.2①原材料受入'!A:E,3,FALSE),0)</f>
        <v>0</v>
      </c>
      <c r="G153" s="6">
        <f ca="1">SUMIF('1.3②原材料使用'!C:E,A153,'1.3②原材料使用'!E:E)</f>
        <v>0</v>
      </c>
      <c r="H153" s="6">
        <f>SUMIFS('1.4原材料(その他)'!E:E,'1.4原材料(その他)'!C:C,A:A,'1.4原材料(その他)'!H:H,H$3)</f>
        <v>0</v>
      </c>
      <c r="I153" s="6">
        <f>SUMIFS('1.4原材料(その他)'!E:E,'1.4原材料(その他)'!C:C,A:A,'1.4原材料(その他)'!H:H,I$3)</f>
        <v>0</v>
      </c>
      <c r="J153" s="6">
        <f>SUMIFS('1.4原材料(その他)'!E:E,'1.4原材料(その他)'!C:C,A:A,'1.4原材料(その他)'!H:H,J$3)</f>
        <v>0</v>
      </c>
      <c r="K153" s="6">
        <f>SUMIFS('1.4原材料(その他)'!E:E,'1.4原材料(その他)'!C:C,A:A,'1.4原材料(その他)'!H:H,K$3)</f>
        <v>0</v>
      </c>
      <c r="L153" s="6">
        <f>SUMIFS('1.4原材料(その他)'!E:E,'1.4原材料(その他)'!C:C,A:A,'1.4原材料(その他)'!H:H,L$3)</f>
        <v>0</v>
      </c>
      <c r="M153" s="6">
        <f>SUMIFS('1.4原材料(その他)'!E:E,'1.4原材料(その他)'!C:C,A:A,'1.4原材料(その他)'!H:H,M$3)</f>
        <v>0</v>
      </c>
      <c r="N153" s="7">
        <f ca="1">O153-(E153+F153-SUM(G153:M153))</f>
        <v>0</v>
      </c>
      <c r="O153" s="8">
        <f>SUMIF('1.5原材料在庫'!A:A,原材料SC明細!A153,'1.5原材料在庫'!D:D)</f>
        <v>0</v>
      </c>
    </row>
    <row r="154" spans="1:15" x14ac:dyDescent="0.55000000000000004">
      <c r="A154" s="80"/>
      <c r="B154" s="80"/>
      <c r="C154" s="79"/>
      <c r="D154" s="9" t="s">
        <v>19</v>
      </c>
      <c r="E154" s="10" t="s">
        <v>68</v>
      </c>
      <c r="F154" s="10">
        <f>F153*$C153</f>
        <v>0</v>
      </c>
      <c r="G154" s="10">
        <f ca="1">G153*$C153</f>
        <v>0</v>
      </c>
      <c r="H154" s="10">
        <f t="shared" ref="H154" si="513">H153*$C153</f>
        <v>0</v>
      </c>
      <c r="I154" s="10">
        <f t="shared" ref="I154" si="514">I153*$C153</f>
        <v>0</v>
      </c>
      <c r="J154" s="10">
        <f t="shared" ref="J154" si="515">J153*$C153</f>
        <v>0</v>
      </c>
      <c r="K154" s="10">
        <f t="shared" ref="K154" si="516">K153*$C153</f>
        <v>0</v>
      </c>
      <c r="L154" s="10">
        <f t="shared" ref="L154" si="517">L153*$C153</f>
        <v>0</v>
      </c>
      <c r="M154" s="10">
        <f t="shared" ref="M154" si="518">M153*$C153</f>
        <v>0</v>
      </c>
      <c r="N154" s="11" t="str">
        <f t="shared" ref="N154" ca="1" si="519">IFERROR(N153/SUM($E153:$F153)*SUM($E154:$F154),"")</f>
        <v/>
      </c>
      <c r="O154" s="10">
        <f>O153*$C153</f>
        <v>0</v>
      </c>
    </row>
    <row r="155" spans="1:15" x14ac:dyDescent="0.55000000000000004">
      <c r="A155" s="94">
        <v>76</v>
      </c>
      <c r="B155" s="94" t="s">
        <v>95</v>
      </c>
      <c r="C155" s="78">
        <f>IFERROR(VLOOKUP(A155,'原料標準単価（貼付）'!B:E,3,FALSE),0)</f>
        <v>0</v>
      </c>
      <c r="D155" s="12" t="s">
        <v>18</v>
      </c>
      <c r="E155" s="13">
        <v>1.7763568394002505E-15</v>
      </c>
      <c r="F155" s="6">
        <f>IFERROR(VLOOKUP(A155,'1.2①原材料受入'!A:E,3,FALSE),0)</f>
        <v>0</v>
      </c>
      <c r="G155" s="6">
        <f ca="1">SUMIF('1.3②原材料使用'!C:E,A155,'1.3②原材料使用'!E:E)</f>
        <v>0</v>
      </c>
      <c r="H155" s="6">
        <f>SUMIFS('1.4原材料(その他)'!E:E,'1.4原材料(その他)'!C:C,A:A,'1.4原材料(その他)'!H:H,H$3)</f>
        <v>0</v>
      </c>
      <c r="I155" s="6">
        <f>SUMIFS('1.4原材料(その他)'!E:E,'1.4原材料(その他)'!C:C,A:A,'1.4原材料(その他)'!H:H,I$3)</f>
        <v>0</v>
      </c>
      <c r="J155" s="6">
        <f>SUMIFS('1.4原材料(その他)'!E:E,'1.4原材料(その他)'!C:C,A:A,'1.4原材料(その他)'!H:H,J$3)</f>
        <v>0</v>
      </c>
      <c r="K155" s="6">
        <f>SUMIFS('1.4原材料(その他)'!E:E,'1.4原材料(その他)'!C:C,A:A,'1.4原材料(その他)'!H:H,K$3)</f>
        <v>0</v>
      </c>
      <c r="L155" s="6">
        <f>SUMIFS('1.4原材料(その他)'!E:E,'1.4原材料(その他)'!C:C,A:A,'1.4原材料(その他)'!H:H,L$3)</f>
        <v>0</v>
      </c>
      <c r="M155" s="6">
        <f>SUMIFS('1.4原材料(その他)'!E:E,'1.4原材料(その他)'!C:C,A:A,'1.4原材料(その他)'!H:H,M$3)</f>
        <v>0</v>
      </c>
      <c r="N155" s="7">
        <f ca="1">O155-(E155+F155-SUM(G155:M155))</f>
        <v>0</v>
      </c>
      <c r="O155" s="8">
        <f>SUMIF('1.5原材料在庫'!A:A,原材料SC明細!A155,'1.5原材料在庫'!D:D)</f>
        <v>1.7763568394002505E-15</v>
      </c>
    </row>
    <row r="156" spans="1:15" x14ac:dyDescent="0.55000000000000004">
      <c r="A156" s="80"/>
      <c r="B156" s="80"/>
      <c r="C156" s="79"/>
      <c r="D156" s="9" t="s">
        <v>19</v>
      </c>
      <c r="E156" s="10">
        <v>5.9952043329758453E-12</v>
      </c>
      <c r="F156" s="10">
        <f>F155*$C155</f>
        <v>0</v>
      </c>
      <c r="G156" s="10">
        <f ca="1">G155*$C155</f>
        <v>0</v>
      </c>
      <c r="H156" s="10">
        <f t="shared" ref="H156" si="520">H155*$C155</f>
        <v>0</v>
      </c>
      <c r="I156" s="10">
        <f t="shared" ref="I156" si="521">I155*$C155</f>
        <v>0</v>
      </c>
      <c r="J156" s="10">
        <f t="shared" ref="J156" si="522">J155*$C155</f>
        <v>0</v>
      </c>
      <c r="K156" s="10">
        <f t="shared" ref="K156" si="523">K155*$C155</f>
        <v>0</v>
      </c>
      <c r="L156" s="10">
        <f t="shared" ref="L156" si="524">L155*$C155</f>
        <v>0</v>
      </c>
      <c r="M156" s="10">
        <f t="shared" ref="M156" si="525">M155*$C155</f>
        <v>0</v>
      </c>
      <c r="N156" s="11">
        <f t="shared" ref="N156" ca="1" si="526">IFERROR(N155/SUM($E155:$F155)*SUM($E156:$F156),"")</f>
        <v>0</v>
      </c>
      <c r="O156" s="10">
        <f>O155*$C155</f>
        <v>0</v>
      </c>
    </row>
    <row r="157" spans="1:15" x14ac:dyDescent="0.55000000000000004">
      <c r="A157" s="94">
        <v>77</v>
      </c>
      <c r="B157" s="94" t="s">
        <v>96</v>
      </c>
      <c r="C157" s="78">
        <f>IFERROR(VLOOKUP(A157,'原料標準単価（貼付）'!B:E,3,FALSE),0)</f>
        <v>0</v>
      </c>
      <c r="D157" s="12" t="s">
        <v>18</v>
      </c>
      <c r="E157" s="13">
        <v>0</v>
      </c>
      <c r="F157" s="6">
        <f>IFERROR(VLOOKUP(A157,'1.2①原材料受入'!A:E,3,FALSE),0)</f>
        <v>0</v>
      </c>
      <c r="G157" s="6">
        <f ca="1">SUMIF('1.3②原材料使用'!C:E,A157,'1.3②原材料使用'!E:E)</f>
        <v>0</v>
      </c>
      <c r="H157" s="6">
        <f>SUMIFS('1.4原材料(その他)'!E:E,'1.4原材料(その他)'!C:C,A:A,'1.4原材料(その他)'!H:H,H$3)</f>
        <v>0</v>
      </c>
      <c r="I157" s="6">
        <f>SUMIFS('1.4原材料(その他)'!E:E,'1.4原材料(その他)'!C:C,A:A,'1.4原材料(その他)'!H:H,I$3)</f>
        <v>0</v>
      </c>
      <c r="J157" s="6">
        <f>SUMIFS('1.4原材料(その他)'!E:E,'1.4原材料(その他)'!C:C,A:A,'1.4原材料(その他)'!H:H,J$3)</f>
        <v>0</v>
      </c>
      <c r="K157" s="6">
        <f>SUMIFS('1.4原材料(その他)'!E:E,'1.4原材料(その他)'!C:C,A:A,'1.4原材料(その他)'!H:H,K$3)</f>
        <v>0</v>
      </c>
      <c r="L157" s="6">
        <f>SUMIFS('1.4原材料(その他)'!E:E,'1.4原材料(その他)'!C:C,A:A,'1.4原材料(その他)'!H:H,L$3)</f>
        <v>0</v>
      </c>
      <c r="M157" s="6">
        <f>SUMIFS('1.4原材料(その他)'!E:E,'1.4原材料(その他)'!C:C,A:A,'1.4原材料(その他)'!H:H,M$3)</f>
        <v>0</v>
      </c>
      <c r="N157" s="7">
        <f ca="1">O157-(E157+F157-SUM(G157:M157))</f>
        <v>0</v>
      </c>
      <c r="O157" s="8">
        <f>SUMIF('1.5原材料在庫'!A:A,原材料SC明細!A157,'1.5原材料在庫'!D:D)</f>
        <v>0</v>
      </c>
    </row>
    <row r="158" spans="1:15" x14ac:dyDescent="0.55000000000000004">
      <c r="A158" s="80"/>
      <c r="B158" s="80"/>
      <c r="C158" s="79"/>
      <c r="D158" s="9" t="s">
        <v>19</v>
      </c>
      <c r="E158" s="10" t="s">
        <v>68</v>
      </c>
      <c r="F158" s="10">
        <f>F157*$C157</f>
        <v>0</v>
      </c>
      <c r="G158" s="10">
        <f ca="1">G157*$C157</f>
        <v>0</v>
      </c>
      <c r="H158" s="10">
        <f t="shared" ref="H158" si="527">H157*$C157</f>
        <v>0</v>
      </c>
      <c r="I158" s="10">
        <f t="shared" ref="I158" si="528">I157*$C157</f>
        <v>0</v>
      </c>
      <c r="J158" s="10">
        <f t="shared" ref="J158" si="529">J157*$C157</f>
        <v>0</v>
      </c>
      <c r="K158" s="10">
        <f t="shared" ref="K158" si="530">K157*$C157</f>
        <v>0</v>
      </c>
      <c r="L158" s="10">
        <f t="shared" ref="L158" si="531">L157*$C157</f>
        <v>0</v>
      </c>
      <c r="M158" s="10">
        <f t="shared" ref="M158" si="532">M157*$C157</f>
        <v>0</v>
      </c>
      <c r="N158" s="11" t="str">
        <f t="shared" ref="N158" ca="1" si="533">IFERROR(N157/SUM($E157:$F157)*SUM($E158:$F158),"")</f>
        <v/>
      </c>
      <c r="O158" s="10">
        <f>O157*$C157</f>
        <v>0</v>
      </c>
    </row>
    <row r="159" spans="1:15" x14ac:dyDescent="0.55000000000000004">
      <c r="A159" s="94">
        <v>78</v>
      </c>
      <c r="B159" s="94" t="s">
        <v>97</v>
      </c>
      <c r="C159" s="78">
        <f>IFERROR(VLOOKUP(A159,'原料標準単価（貼付）'!B:E,3,FALSE),0)</f>
        <v>0</v>
      </c>
      <c r="D159" s="12" t="s">
        <v>18</v>
      </c>
      <c r="E159" s="13">
        <v>1.7763568394002505E-15</v>
      </c>
      <c r="F159" s="6">
        <f>IFERROR(VLOOKUP(A159,'1.2①原材料受入'!A:E,3,FALSE),0)</f>
        <v>0</v>
      </c>
      <c r="G159" s="6">
        <f ca="1">SUMIF('1.3②原材料使用'!C:E,A159,'1.3②原材料使用'!E:E)</f>
        <v>0</v>
      </c>
      <c r="H159" s="6">
        <f>SUMIFS('1.4原材料(その他)'!E:E,'1.4原材料(その他)'!C:C,A:A,'1.4原材料(その他)'!H:H,H$3)</f>
        <v>0</v>
      </c>
      <c r="I159" s="6">
        <f>SUMIFS('1.4原材料(その他)'!E:E,'1.4原材料(その他)'!C:C,A:A,'1.4原材料(その他)'!H:H,I$3)</f>
        <v>0</v>
      </c>
      <c r="J159" s="6">
        <f>SUMIFS('1.4原材料(その他)'!E:E,'1.4原材料(その他)'!C:C,A:A,'1.4原材料(その他)'!H:H,J$3)</f>
        <v>0</v>
      </c>
      <c r="K159" s="6">
        <f>SUMIFS('1.4原材料(その他)'!E:E,'1.4原材料(その他)'!C:C,A:A,'1.4原材料(その他)'!H:H,K$3)</f>
        <v>0</v>
      </c>
      <c r="L159" s="6">
        <f>SUMIFS('1.4原材料(その他)'!E:E,'1.4原材料(その他)'!C:C,A:A,'1.4原材料(その他)'!H:H,L$3)</f>
        <v>0</v>
      </c>
      <c r="M159" s="6">
        <f>SUMIFS('1.4原材料(その他)'!E:E,'1.4原材料(その他)'!C:C,A:A,'1.4原材料(その他)'!H:H,M$3)</f>
        <v>0</v>
      </c>
      <c r="N159" s="7">
        <f ca="1">O159-(E159+F159-SUM(G159:M159))</f>
        <v>0</v>
      </c>
      <c r="O159" s="8">
        <f>SUMIF('1.5原材料在庫'!A:A,原材料SC明細!A159,'1.5原材料在庫'!D:D)</f>
        <v>1.7763568394002505E-15</v>
      </c>
    </row>
    <row r="160" spans="1:15" x14ac:dyDescent="0.55000000000000004">
      <c r="A160" s="80"/>
      <c r="B160" s="80"/>
      <c r="C160" s="79"/>
      <c r="D160" s="9" t="s">
        <v>19</v>
      </c>
      <c r="E160" s="10">
        <v>1.3421362786579669E-10</v>
      </c>
      <c r="F160" s="10">
        <f>F159*$C159</f>
        <v>0</v>
      </c>
      <c r="G160" s="10">
        <f ca="1">G159*$C159</f>
        <v>0</v>
      </c>
      <c r="H160" s="10">
        <f t="shared" ref="H160" si="534">H159*$C159</f>
        <v>0</v>
      </c>
      <c r="I160" s="10">
        <f t="shared" ref="I160" si="535">I159*$C159</f>
        <v>0</v>
      </c>
      <c r="J160" s="10">
        <f t="shared" ref="J160" si="536">J159*$C159</f>
        <v>0</v>
      </c>
      <c r="K160" s="10">
        <f t="shared" ref="K160" si="537">K159*$C159</f>
        <v>0</v>
      </c>
      <c r="L160" s="10">
        <f t="shared" ref="L160" si="538">L159*$C159</f>
        <v>0</v>
      </c>
      <c r="M160" s="10">
        <f t="shared" ref="M160" si="539">M159*$C159</f>
        <v>0</v>
      </c>
      <c r="N160" s="11">
        <f t="shared" ref="N160" ca="1" si="540">IFERROR(N159/SUM($E159:$F159)*SUM($E160:$F160),"")</f>
        <v>0</v>
      </c>
      <c r="O160" s="10">
        <f>O159*$C159</f>
        <v>0</v>
      </c>
    </row>
    <row r="161" spans="1:15" x14ac:dyDescent="0.55000000000000004">
      <c r="A161" s="94">
        <v>79</v>
      </c>
      <c r="B161" s="94" t="s">
        <v>98</v>
      </c>
      <c r="C161" s="78">
        <f>IFERROR(VLOOKUP(A161,'原料標準単価（貼付）'!B:E,3,FALSE),0)</f>
        <v>0</v>
      </c>
      <c r="D161" s="12" t="s">
        <v>18</v>
      </c>
      <c r="E161" s="13">
        <v>0</v>
      </c>
      <c r="F161" s="6">
        <f>IFERROR(VLOOKUP(A161,'1.2①原材料受入'!A:E,3,FALSE),0)</f>
        <v>0</v>
      </c>
      <c r="G161" s="6">
        <f ca="1">SUMIF('1.3②原材料使用'!C:E,A161,'1.3②原材料使用'!E:E)</f>
        <v>0</v>
      </c>
      <c r="H161" s="6">
        <f>SUMIFS('1.4原材料(その他)'!E:E,'1.4原材料(その他)'!C:C,A:A,'1.4原材料(その他)'!H:H,H$3)</f>
        <v>0</v>
      </c>
      <c r="I161" s="6">
        <f>SUMIFS('1.4原材料(その他)'!E:E,'1.4原材料(その他)'!C:C,A:A,'1.4原材料(その他)'!H:H,I$3)</f>
        <v>0</v>
      </c>
      <c r="J161" s="6">
        <f>SUMIFS('1.4原材料(その他)'!E:E,'1.4原材料(その他)'!C:C,A:A,'1.4原材料(その他)'!H:H,J$3)</f>
        <v>0</v>
      </c>
      <c r="K161" s="6">
        <f>SUMIFS('1.4原材料(その他)'!E:E,'1.4原材料(その他)'!C:C,A:A,'1.4原材料(その他)'!H:H,K$3)</f>
        <v>0</v>
      </c>
      <c r="L161" s="6">
        <f>SUMIFS('1.4原材料(その他)'!E:E,'1.4原材料(その他)'!C:C,A:A,'1.4原材料(その他)'!H:H,L$3)</f>
        <v>0</v>
      </c>
      <c r="M161" s="6">
        <f>SUMIFS('1.4原材料(その他)'!E:E,'1.4原材料(その他)'!C:C,A:A,'1.4原材料(その他)'!H:H,M$3)</f>
        <v>0</v>
      </c>
      <c r="N161" s="7">
        <f ca="1">O161-(E161+F161-SUM(G161:M161))</f>
        <v>0</v>
      </c>
      <c r="O161" s="8">
        <f>SUMIF('1.5原材料在庫'!A:A,原材料SC明細!A161,'1.5原材料在庫'!D:D)</f>
        <v>0</v>
      </c>
    </row>
    <row r="162" spans="1:15" x14ac:dyDescent="0.55000000000000004">
      <c r="A162" s="80"/>
      <c r="B162" s="80"/>
      <c r="C162" s="79"/>
      <c r="D162" s="9" t="s">
        <v>19</v>
      </c>
      <c r="E162" s="10" t="s">
        <v>68</v>
      </c>
      <c r="F162" s="10">
        <f>F161*$C161</f>
        <v>0</v>
      </c>
      <c r="G162" s="10">
        <f ca="1">G161*$C161</f>
        <v>0</v>
      </c>
      <c r="H162" s="10">
        <f t="shared" ref="H162" si="541">H161*$C161</f>
        <v>0</v>
      </c>
      <c r="I162" s="10">
        <f t="shared" ref="I162" si="542">I161*$C161</f>
        <v>0</v>
      </c>
      <c r="J162" s="10">
        <f t="shared" ref="J162" si="543">J161*$C161</f>
        <v>0</v>
      </c>
      <c r="K162" s="10">
        <f t="shared" ref="K162" si="544">K161*$C161</f>
        <v>0</v>
      </c>
      <c r="L162" s="10">
        <f t="shared" ref="L162" si="545">L161*$C161</f>
        <v>0</v>
      </c>
      <c r="M162" s="10">
        <f t="shared" ref="M162" si="546">M161*$C161</f>
        <v>0</v>
      </c>
      <c r="N162" s="11" t="str">
        <f t="shared" ref="N162" ca="1" si="547">IFERROR(N161/SUM($E161:$F161)*SUM($E162:$F162),"")</f>
        <v/>
      </c>
      <c r="O162" s="10">
        <f>O161*$C161</f>
        <v>0</v>
      </c>
    </row>
    <row r="163" spans="1:15" x14ac:dyDescent="0.55000000000000004">
      <c r="A163" s="94">
        <v>80</v>
      </c>
      <c r="B163" s="94" t="s">
        <v>99</v>
      </c>
      <c r="C163" s="78">
        <f>IFERROR(VLOOKUP(A163,'原料標準単価（貼付）'!B:E,3,FALSE),0)</f>
        <v>0</v>
      </c>
      <c r="D163" s="12" t="s">
        <v>18</v>
      </c>
      <c r="E163" s="13">
        <v>0</v>
      </c>
      <c r="F163" s="6">
        <f>IFERROR(VLOOKUP(A163,'1.2①原材料受入'!A:E,3,FALSE),0)</f>
        <v>0</v>
      </c>
      <c r="G163" s="6">
        <f ca="1">SUMIF('1.3②原材料使用'!C:E,A163,'1.3②原材料使用'!E:E)</f>
        <v>0</v>
      </c>
      <c r="H163" s="6">
        <f>SUMIFS('1.4原材料(その他)'!E:E,'1.4原材料(その他)'!C:C,A:A,'1.4原材料(その他)'!H:H,H$3)</f>
        <v>0</v>
      </c>
      <c r="I163" s="6">
        <f>SUMIFS('1.4原材料(その他)'!E:E,'1.4原材料(その他)'!C:C,A:A,'1.4原材料(その他)'!H:H,I$3)</f>
        <v>0</v>
      </c>
      <c r="J163" s="6">
        <f>SUMIFS('1.4原材料(その他)'!E:E,'1.4原材料(その他)'!C:C,A:A,'1.4原材料(その他)'!H:H,J$3)</f>
        <v>0</v>
      </c>
      <c r="K163" s="6">
        <f>SUMIFS('1.4原材料(その他)'!E:E,'1.4原材料(その他)'!C:C,A:A,'1.4原材料(その他)'!H:H,K$3)</f>
        <v>0</v>
      </c>
      <c r="L163" s="6">
        <f>SUMIFS('1.4原材料(その他)'!E:E,'1.4原材料(その他)'!C:C,A:A,'1.4原材料(その他)'!H:H,L$3)</f>
        <v>0</v>
      </c>
      <c r="M163" s="6">
        <f>SUMIFS('1.4原材料(その他)'!E:E,'1.4原材料(その他)'!C:C,A:A,'1.4原材料(その他)'!H:H,M$3)</f>
        <v>0</v>
      </c>
      <c r="N163" s="7">
        <f ca="1">O163-(E163+F163-SUM(G163:M163))</f>
        <v>0</v>
      </c>
      <c r="O163" s="8">
        <f>SUMIF('1.5原材料在庫'!A:A,原材料SC明細!A163,'1.5原材料在庫'!D:D)</f>
        <v>0</v>
      </c>
    </row>
    <row r="164" spans="1:15" x14ac:dyDescent="0.55000000000000004">
      <c r="A164" s="80"/>
      <c r="B164" s="80"/>
      <c r="C164" s="79"/>
      <c r="D164" s="9" t="s">
        <v>19</v>
      </c>
      <c r="E164" s="10" t="s">
        <v>68</v>
      </c>
      <c r="F164" s="10">
        <f>F163*$C163</f>
        <v>0</v>
      </c>
      <c r="G164" s="10">
        <f ca="1">G163*$C163</f>
        <v>0</v>
      </c>
      <c r="H164" s="10">
        <f t="shared" ref="H164" si="548">H163*$C163</f>
        <v>0</v>
      </c>
      <c r="I164" s="10">
        <f t="shared" ref="I164" si="549">I163*$C163</f>
        <v>0</v>
      </c>
      <c r="J164" s="10">
        <f t="shared" ref="J164" si="550">J163*$C163</f>
        <v>0</v>
      </c>
      <c r="K164" s="10">
        <f t="shared" ref="K164" si="551">K163*$C163</f>
        <v>0</v>
      </c>
      <c r="L164" s="10">
        <f t="shared" ref="L164" si="552">L163*$C163</f>
        <v>0</v>
      </c>
      <c r="M164" s="10">
        <f t="shared" ref="M164" si="553">M163*$C163</f>
        <v>0</v>
      </c>
      <c r="N164" s="11" t="str">
        <f t="shared" ref="N164" ca="1" si="554">IFERROR(N163/SUM($E163:$F163)*SUM($E164:$F164),"")</f>
        <v/>
      </c>
      <c r="O164" s="10">
        <f>O163*$C163</f>
        <v>0</v>
      </c>
    </row>
    <row r="165" spans="1:15" x14ac:dyDescent="0.55000000000000004">
      <c r="A165" s="94">
        <v>81</v>
      </c>
      <c r="B165" s="94" t="s">
        <v>100</v>
      </c>
      <c r="C165" s="78">
        <f>IFERROR(VLOOKUP(A165,'原料標準単価（貼付）'!B:E,3,FALSE),0)</f>
        <v>0</v>
      </c>
      <c r="D165" s="12" t="s">
        <v>18</v>
      </c>
      <c r="E165" s="13">
        <v>-3.5527136788005009E-15</v>
      </c>
      <c r="F165" s="6">
        <f>IFERROR(VLOOKUP(A165,'1.2①原材料受入'!A:E,3,FALSE),0)</f>
        <v>0</v>
      </c>
      <c r="G165" s="6">
        <f ca="1">SUMIF('1.3②原材料使用'!C:E,A165,'1.3②原材料使用'!E:E)</f>
        <v>0</v>
      </c>
      <c r="H165" s="6">
        <f>SUMIFS('1.4原材料(その他)'!E:E,'1.4原材料(その他)'!C:C,A:A,'1.4原材料(その他)'!H:H,H$3)</f>
        <v>0</v>
      </c>
      <c r="I165" s="6">
        <f>SUMIFS('1.4原材料(その他)'!E:E,'1.4原材料(その他)'!C:C,A:A,'1.4原材料(その他)'!H:H,I$3)</f>
        <v>0</v>
      </c>
      <c r="J165" s="6">
        <f>SUMIFS('1.4原材料(その他)'!E:E,'1.4原材料(その他)'!C:C,A:A,'1.4原材料(その他)'!H:H,J$3)</f>
        <v>0</v>
      </c>
      <c r="K165" s="6">
        <f>SUMIFS('1.4原材料(その他)'!E:E,'1.4原材料(その他)'!C:C,A:A,'1.4原材料(その他)'!H:H,K$3)</f>
        <v>0</v>
      </c>
      <c r="L165" s="6">
        <f>SUMIFS('1.4原材料(その他)'!E:E,'1.4原材料(その他)'!C:C,A:A,'1.4原材料(その他)'!H:H,L$3)</f>
        <v>0</v>
      </c>
      <c r="M165" s="6">
        <f>SUMIFS('1.4原材料(その他)'!E:E,'1.4原材料(その他)'!C:C,A:A,'1.4原材料(その他)'!H:H,M$3)</f>
        <v>0</v>
      </c>
      <c r="N165" s="7">
        <f ca="1">O165-(E165+F165-SUM(G165:M165))</f>
        <v>0</v>
      </c>
      <c r="O165" s="8">
        <f>SUMIF('1.5原材料在庫'!A:A,原材料SC明細!A165,'1.5原材料在庫'!D:D)</f>
        <v>-3.5527136788005009E-15</v>
      </c>
    </row>
    <row r="166" spans="1:15" x14ac:dyDescent="0.55000000000000004">
      <c r="A166" s="80"/>
      <c r="B166" s="80"/>
      <c r="C166" s="79"/>
      <c r="D166" s="9" t="s">
        <v>19</v>
      </c>
      <c r="E166" s="10">
        <v>-2.4868995751603507E-12</v>
      </c>
      <c r="F166" s="10">
        <f>F165*$C165</f>
        <v>0</v>
      </c>
      <c r="G166" s="10">
        <f ca="1">G165*$C165</f>
        <v>0</v>
      </c>
      <c r="H166" s="10">
        <f t="shared" ref="H166" si="555">H165*$C165</f>
        <v>0</v>
      </c>
      <c r="I166" s="10">
        <f t="shared" ref="I166" si="556">I165*$C165</f>
        <v>0</v>
      </c>
      <c r="J166" s="10">
        <f t="shared" ref="J166" si="557">J165*$C165</f>
        <v>0</v>
      </c>
      <c r="K166" s="10">
        <f t="shared" ref="K166" si="558">K165*$C165</f>
        <v>0</v>
      </c>
      <c r="L166" s="10">
        <f t="shared" ref="L166" si="559">L165*$C165</f>
        <v>0</v>
      </c>
      <c r="M166" s="10">
        <f t="shared" ref="M166" si="560">M165*$C165</f>
        <v>0</v>
      </c>
      <c r="N166" s="11">
        <f t="shared" ref="N166" ca="1" si="561">IFERROR(N165/SUM($E165:$F165)*SUM($E166:$F166),"")</f>
        <v>0</v>
      </c>
      <c r="O166" s="10">
        <f>O165*$C165</f>
        <v>0</v>
      </c>
    </row>
    <row r="167" spans="1:15" x14ac:dyDescent="0.55000000000000004">
      <c r="A167" s="94">
        <v>82</v>
      </c>
      <c r="B167" s="94" t="s">
        <v>101</v>
      </c>
      <c r="C167" s="78">
        <f>IFERROR(VLOOKUP(A167,'原料標準単価（貼付）'!B:E,3,FALSE),0)</f>
        <v>0</v>
      </c>
      <c r="D167" s="12" t="s">
        <v>18</v>
      </c>
      <c r="E167" s="13">
        <v>0</v>
      </c>
      <c r="F167" s="6">
        <f>IFERROR(VLOOKUP(A167,'1.2①原材料受入'!A:E,3,FALSE),0)</f>
        <v>0</v>
      </c>
      <c r="G167" s="6">
        <f ca="1">SUMIF('1.3②原材料使用'!C:E,A167,'1.3②原材料使用'!E:E)</f>
        <v>0</v>
      </c>
      <c r="H167" s="6">
        <f>SUMIFS('1.4原材料(その他)'!E:E,'1.4原材料(その他)'!C:C,A:A,'1.4原材料(その他)'!H:H,H$3)</f>
        <v>0</v>
      </c>
      <c r="I167" s="6">
        <f>SUMIFS('1.4原材料(その他)'!E:E,'1.4原材料(その他)'!C:C,A:A,'1.4原材料(その他)'!H:H,I$3)</f>
        <v>0</v>
      </c>
      <c r="J167" s="6">
        <f>SUMIFS('1.4原材料(その他)'!E:E,'1.4原材料(その他)'!C:C,A:A,'1.4原材料(その他)'!H:H,J$3)</f>
        <v>0</v>
      </c>
      <c r="K167" s="6">
        <f>SUMIFS('1.4原材料(その他)'!E:E,'1.4原材料(その他)'!C:C,A:A,'1.4原材料(その他)'!H:H,K$3)</f>
        <v>0</v>
      </c>
      <c r="L167" s="6">
        <f>SUMIFS('1.4原材料(その他)'!E:E,'1.4原材料(その他)'!C:C,A:A,'1.4原材料(その他)'!H:H,L$3)</f>
        <v>0</v>
      </c>
      <c r="M167" s="6">
        <f>SUMIFS('1.4原材料(その他)'!E:E,'1.4原材料(その他)'!C:C,A:A,'1.4原材料(その他)'!H:H,M$3)</f>
        <v>0</v>
      </c>
      <c r="N167" s="7">
        <f ca="1">O167-(E167+F167-SUM(G167:M167))</f>
        <v>0</v>
      </c>
      <c r="O167" s="8">
        <f>SUMIF('1.5原材料在庫'!A:A,原材料SC明細!A167,'1.5原材料在庫'!D:D)</f>
        <v>0</v>
      </c>
    </row>
    <row r="168" spans="1:15" x14ac:dyDescent="0.55000000000000004">
      <c r="A168" s="80"/>
      <c r="B168" s="80"/>
      <c r="C168" s="79"/>
      <c r="D168" s="9" t="s">
        <v>19</v>
      </c>
      <c r="E168" s="10">
        <v>0</v>
      </c>
      <c r="F168" s="10">
        <f>F167*$C167</f>
        <v>0</v>
      </c>
      <c r="G168" s="10">
        <f ca="1">G167*$C167</f>
        <v>0</v>
      </c>
      <c r="H168" s="10">
        <f t="shared" ref="H168" si="562">H167*$C167</f>
        <v>0</v>
      </c>
      <c r="I168" s="10">
        <f t="shared" ref="I168" si="563">I167*$C167</f>
        <v>0</v>
      </c>
      <c r="J168" s="10">
        <f t="shared" ref="J168" si="564">J167*$C167</f>
        <v>0</v>
      </c>
      <c r="K168" s="10">
        <f t="shared" ref="K168" si="565">K167*$C167</f>
        <v>0</v>
      </c>
      <c r="L168" s="10">
        <f t="shared" ref="L168" si="566">L167*$C167</f>
        <v>0</v>
      </c>
      <c r="M168" s="10">
        <f t="shared" ref="M168" si="567">M167*$C167</f>
        <v>0</v>
      </c>
      <c r="N168" s="11" t="str">
        <f t="shared" ref="N168" ca="1" si="568">IFERROR(N167/SUM($E167:$F167)*SUM($E168:$F168),"")</f>
        <v/>
      </c>
      <c r="O168" s="10">
        <f>O167*$C167</f>
        <v>0</v>
      </c>
    </row>
    <row r="169" spans="1:15" x14ac:dyDescent="0.55000000000000004">
      <c r="A169" s="94">
        <v>83</v>
      </c>
      <c r="B169" s="94" t="s">
        <v>102</v>
      </c>
      <c r="C169" s="78">
        <f>IFERROR(VLOOKUP(A169,'原料標準単価（貼付）'!B:E,3,FALSE),0)</f>
        <v>0</v>
      </c>
      <c r="D169" s="12" t="s">
        <v>18</v>
      </c>
      <c r="E169" s="13">
        <v>0</v>
      </c>
      <c r="F169" s="6">
        <f>IFERROR(VLOOKUP(A169,'1.2①原材料受入'!A:E,3,FALSE),0)</f>
        <v>0</v>
      </c>
      <c r="G169" s="6">
        <f ca="1">SUMIF('1.3②原材料使用'!C:E,A169,'1.3②原材料使用'!E:E)</f>
        <v>0</v>
      </c>
      <c r="H169" s="6">
        <f>SUMIFS('1.4原材料(その他)'!E:E,'1.4原材料(その他)'!C:C,A:A,'1.4原材料(その他)'!H:H,H$3)</f>
        <v>0</v>
      </c>
      <c r="I169" s="6">
        <f>SUMIFS('1.4原材料(その他)'!E:E,'1.4原材料(その他)'!C:C,A:A,'1.4原材料(その他)'!H:H,I$3)</f>
        <v>0</v>
      </c>
      <c r="J169" s="6">
        <f>SUMIFS('1.4原材料(その他)'!E:E,'1.4原材料(その他)'!C:C,A:A,'1.4原材料(その他)'!H:H,J$3)</f>
        <v>0</v>
      </c>
      <c r="K169" s="6">
        <f>SUMIFS('1.4原材料(その他)'!E:E,'1.4原材料(その他)'!C:C,A:A,'1.4原材料(その他)'!H:H,K$3)</f>
        <v>0</v>
      </c>
      <c r="L169" s="6">
        <f>SUMIFS('1.4原材料(その他)'!E:E,'1.4原材料(その他)'!C:C,A:A,'1.4原材料(その他)'!H:H,L$3)</f>
        <v>0</v>
      </c>
      <c r="M169" s="6">
        <f>SUMIFS('1.4原材料(その他)'!E:E,'1.4原材料(その他)'!C:C,A:A,'1.4原材料(その他)'!H:H,M$3)</f>
        <v>0</v>
      </c>
      <c r="N169" s="7">
        <f ca="1">O169-(E169+F169-SUM(G169:M169))</f>
        <v>0</v>
      </c>
      <c r="O169" s="8">
        <f>SUMIF('1.5原材料在庫'!A:A,原材料SC明細!A169,'1.5原材料在庫'!D:D)</f>
        <v>0</v>
      </c>
    </row>
    <row r="170" spans="1:15" x14ac:dyDescent="0.55000000000000004">
      <c r="A170" s="80"/>
      <c r="B170" s="80"/>
      <c r="C170" s="79"/>
      <c r="D170" s="9" t="s">
        <v>19</v>
      </c>
      <c r="E170" s="10">
        <v>0</v>
      </c>
      <c r="F170" s="10">
        <f>F169*$C169</f>
        <v>0</v>
      </c>
      <c r="G170" s="10">
        <f ca="1">G169*$C169</f>
        <v>0</v>
      </c>
      <c r="H170" s="10">
        <f t="shared" ref="H170" si="569">H169*$C169</f>
        <v>0</v>
      </c>
      <c r="I170" s="10">
        <f t="shared" ref="I170" si="570">I169*$C169</f>
        <v>0</v>
      </c>
      <c r="J170" s="10">
        <f t="shared" ref="J170" si="571">J169*$C169</f>
        <v>0</v>
      </c>
      <c r="K170" s="10">
        <f t="shared" ref="K170" si="572">K169*$C169</f>
        <v>0</v>
      </c>
      <c r="L170" s="10">
        <f t="shared" ref="L170" si="573">L169*$C169</f>
        <v>0</v>
      </c>
      <c r="M170" s="10">
        <f t="shared" ref="M170" si="574">M169*$C169</f>
        <v>0</v>
      </c>
      <c r="N170" s="11" t="str">
        <f t="shared" ref="N170" ca="1" si="575">IFERROR(N169/SUM($E169:$F169)*SUM($E170:$F170),"")</f>
        <v/>
      </c>
      <c r="O170" s="10">
        <f>O169*$C169</f>
        <v>0</v>
      </c>
    </row>
    <row r="171" spans="1:15" x14ac:dyDescent="0.55000000000000004">
      <c r="A171" s="94">
        <v>84</v>
      </c>
      <c r="B171" s="94" t="s">
        <v>103</v>
      </c>
      <c r="C171" s="78">
        <f>IFERROR(VLOOKUP(A171,'原料標準単価（貼付）'!B:E,3,FALSE),0)</f>
        <v>0</v>
      </c>
      <c r="D171" s="12" t="s">
        <v>18</v>
      </c>
      <c r="E171" s="13">
        <v>0</v>
      </c>
      <c r="F171" s="6">
        <f>IFERROR(VLOOKUP(A171,'1.2①原材料受入'!A:E,3,FALSE),0)</f>
        <v>0</v>
      </c>
      <c r="G171" s="6">
        <f ca="1">SUMIF('1.3②原材料使用'!C:E,A171,'1.3②原材料使用'!E:E)</f>
        <v>0</v>
      </c>
      <c r="H171" s="6">
        <f>SUMIFS('1.4原材料(その他)'!E:E,'1.4原材料(その他)'!C:C,A:A,'1.4原材料(その他)'!H:H,H$3)</f>
        <v>0</v>
      </c>
      <c r="I171" s="6">
        <f>SUMIFS('1.4原材料(その他)'!E:E,'1.4原材料(その他)'!C:C,A:A,'1.4原材料(その他)'!H:H,I$3)</f>
        <v>0</v>
      </c>
      <c r="J171" s="6">
        <f>SUMIFS('1.4原材料(その他)'!E:E,'1.4原材料(その他)'!C:C,A:A,'1.4原材料(その他)'!H:H,J$3)</f>
        <v>0</v>
      </c>
      <c r="K171" s="6">
        <f>SUMIFS('1.4原材料(その他)'!E:E,'1.4原材料(その他)'!C:C,A:A,'1.4原材料(その他)'!H:H,K$3)</f>
        <v>0</v>
      </c>
      <c r="L171" s="6">
        <f>SUMIFS('1.4原材料(その他)'!E:E,'1.4原材料(その他)'!C:C,A:A,'1.4原材料(その他)'!H:H,L$3)</f>
        <v>0</v>
      </c>
      <c r="M171" s="6">
        <f>SUMIFS('1.4原材料(その他)'!E:E,'1.4原材料(その他)'!C:C,A:A,'1.4原材料(その他)'!H:H,M$3)</f>
        <v>0</v>
      </c>
      <c r="N171" s="7">
        <f ca="1">O171-(E171+F171-SUM(G171:M171))</f>
        <v>0</v>
      </c>
      <c r="O171" s="8">
        <f>SUMIF('1.5原材料在庫'!A:A,原材料SC明細!A171,'1.5原材料在庫'!D:D)</f>
        <v>0</v>
      </c>
    </row>
    <row r="172" spans="1:15" x14ac:dyDescent="0.55000000000000004">
      <c r="A172" s="80"/>
      <c r="B172" s="80"/>
      <c r="C172" s="79"/>
      <c r="D172" s="9" t="s">
        <v>19</v>
      </c>
      <c r="E172" s="10">
        <v>0</v>
      </c>
      <c r="F172" s="10">
        <f>F171*$C171</f>
        <v>0</v>
      </c>
      <c r="G172" s="10">
        <f ca="1">G171*$C171</f>
        <v>0</v>
      </c>
      <c r="H172" s="10">
        <f t="shared" ref="H172" si="576">H171*$C171</f>
        <v>0</v>
      </c>
      <c r="I172" s="10">
        <f t="shared" ref="I172" si="577">I171*$C171</f>
        <v>0</v>
      </c>
      <c r="J172" s="10">
        <f t="shared" ref="J172" si="578">J171*$C171</f>
        <v>0</v>
      </c>
      <c r="K172" s="10">
        <f t="shared" ref="K172" si="579">K171*$C171</f>
        <v>0</v>
      </c>
      <c r="L172" s="10">
        <f t="shared" ref="L172" si="580">L171*$C171</f>
        <v>0</v>
      </c>
      <c r="M172" s="10">
        <f t="shared" ref="M172" si="581">M171*$C171</f>
        <v>0</v>
      </c>
      <c r="N172" s="11" t="str">
        <f t="shared" ref="N172" ca="1" si="582">IFERROR(N171/SUM($E171:$F171)*SUM($E172:$F172),"")</f>
        <v/>
      </c>
      <c r="O172" s="10">
        <f>O171*$C171</f>
        <v>0</v>
      </c>
    </row>
    <row r="173" spans="1:15" x14ac:dyDescent="0.55000000000000004">
      <c r="A173" s="94">
        <v>85</v>
      </c>
      <c r="B173" s="94" t="s">
        <v>104</v>
      </c>
      <c r="C173" s="78">
        <f>IFERROR(VLOOKUP(A173,'原料標準単価（貼付）'!B:E,3,FALSE),0)</f>
        <v>0</v>
      </c>
      <c r="D173" s="12" t="s">
        <v>18</v>
      </c>
      <c r="E173" s="13">
        <v>0</v>
      </c>
      <c r="F173" s="6">
        <f>IFERROR(VLOOKUP(A173,'1.2①原材料受入'!A:E,3,FALSE),0)</f>
        <v>0</v>
      </c>
      <c r="G173" s="6">
        <f ca="1">SUMIF('1.3②原材料使用'!C:E,A173,'1.3②原材料使用'!E:E)</f>
        <v>0</v>
      </c>
      <c r="H173" s="6">
        <f>SUMIFS('1.4原材料(その他)'!E:E,'1.4原材料(その他)'!C:C,A:A,'1.4原材料(その他)'!H:H,H$3)</f>
        <v>0</v>
      </c>
      <c r="I173" s="6">
        <f>SUMIFS('1.4原材料(その他)'!E:E,'1.4原材料(その他)'!C:C,A:A,'1.4原材料(その他)'!H:H,I$3)</f>
        <v>0</v>
      </c>
      <c r="J173" s="6">
        <f>SUMIFS('1.4原材料(その他)'!E:E,'1.4原材料(その他)'!C:C,A:A,'1.4原材料(その他)'!H:H,J$3)</f>
        <v>0</v>
      </c>
      <c r="K173" s="6">
        <f>SUMIFS('1.4原材料(その他)'!E:E,'1.4原材料(その他)'!C:C,A:A,'1.4原材料(その他)'!H:H,K$3)</f>
        <v>0</v>
      </c>
      <c r="L173" s="6">
        <f>SUMIFS('1.4原材料(その他)'!E:E,'1.4原材料(その他)'!C:C,A:A,'1.4原材料(その他)'!H:H,L$3)</f>
        <v>0</v>
      </c>
      <c r="M173" s="6">
        <f>SUMIFS('1.4原材料(その他)'!E:E,'1.4原材料(その他)'!C:C,A:A,'1.4原材料(その他)'!H:H,M$3)</f>
        <v>0</v>
      </c>
      <c r="N173" s="7">
        <f ca="1">O173-(E173+F173-SUM(G173:M173))</f>
        <v>0</v>
      </c>
      <c r="O173" s="8">
        <f>SUMIF('1.5原材料在庫'!A:A,原材料SC明細!A173,'1.5原材料在庫'!D:D)</f>
        <v>0</v>
      </c>
    </row>
    <row r="174" spans="1:15" x14ac:dyDescent="0.55000000000000004">
      <c r="A174" s="80"/>
      <c r="B174" s="80"/>
      <c r="C174" s="79"/>
      <c r="D174" s="9" t="s">
        <v>19</v>
      </c>
      <c r="E174" s="10">
        <v>0</v>
      </c>
      <c r="F174" s="10">
        <f>F173*$C173</f>
        <v>0</v>
      </c>
      <c r="G174" s="10">
        <f ca="1">G173*$C173</f>
        <v>0</v>
      </c>
      <c r="H174" s="10">
        <f t="shared" ref="H174" si="583">H173*$C173</f>
        <v>0</v>
      </c>
      <c r="I174" s="10">
        <f t="shared" ref="I174" si="584">I173*$C173</f>
        <v>0</v>
      </c>
      <c r="J174" s="10">
        <f t="shared" ref="J174" si="585">J173*$C173</f>
        <v>0</v>
      </c>
      <c r="K174" s="10">
        <f t="shared" ref="K174" si="586">K173*$C173</f>
        <v>0</v>
      </c>
      <c r="L174" s="10">
        <f t="shared" ref="L174" si="587">L173*$C173</f>
        <v>0</v>
      </c>
      <c r="M174" s="10">
        <f t="shared" ref="M174" si="588">M173*$C173</f>
        <v>0</v>
      </c>
      <c r="N174" s="11" t="str">
        <f t="shared" ref="N174" ca="1" si="589">IFERROR(N173/SUM($E173:$F173)*SUM($E174:$F174),"")</f>
        <v/>
      </c>
      <c r="O174" s="10">
        <f>O173*$C173</f>
        <v>0</v>
      </c>
    </row>
    <row r="175" spans="1:15" x14ac:dyDescent="0.55000000000000004">
      <c r="A175" s="80">
        <v>86</v>
      </c>
      <c r="B175" s="97" t="s">
        <v>105</v>
      </c>
      <c r="C175" s="78">
        <f>IFERROR(VLOOKUP(A175,'原料標準単価（貼付）'!B:E,3,FALSE),0)</f>
        <v>0</v>
      </c>
      <c r="D175" s="12" t="s">
        <v>18</v>
      </c>
      <c r="E175" s="13">
        <v>8.8817841970012523E-16</v>
      </c>
      <c r="F175" s="6">
        <f>IFERROR(VLOOKUP(A175,'1.2①原材料受入'!A:E,3,FALSE),0)</f>
        <v>0</v>
      </c>
      <c r="G175" s="6">
        <f ca="1">SUMIF('1.3②原材料使用'!C:E,A175,'1.3②原材料使用'!E:E)</f>
        <v>0</v>
      </c>
      <c r="H175" s="6">
        <f>SUMIFS('1.4原材料(その他)'!E:E,'1.4原材料(その他)'!C:C,A:A,'1.4原材料(その他)'!H:H,H$3)</f>
        <v>0</v>
      </c>
      <c r="I175" s="6">
        <f>SUMIFS('1.4原材料(その他)'!E:E,'1.4原材料(その他)'!C:C,A:A,'1.4原材料(その他)'!H:H,I$3)</f>
        <v>0</v>
      </c>
      <c r="J175" s="6">
        <f>SUMIFS('1.4原材料(その他)'!E:E,'1.4原材料(その他)'!C:C,A:A,'1.4原材料(その他)'!H:H,J$3)</f>
        <v>0</v>
      </c>
      <c r="K175" s="6">
        <f>SUMIFS('1.4原材料(その他)'!E:E,'1.4原材料(その他)'!C:C,A:A,'1.4原材料(その他)'!H:H,K$3)</f>
        <v>0</v>
      </c>
      <c r="L175" s="6">
        <f>SUMIFS('1.4原材料(その他)'!E:E,'1.4原材料(その他)'!C:C,A:A,'1.4原材料(その他)'!H:H,L$3)</f>
        <v>0</v>
      </c>
      <c r="M175" s="6">
        <f>SUMIFS('1.4原材料(その他)'!E:E,'1.4原材料(その他)'!C:C,A:A,'1.4原材料(その他)'!H:H,M$3)</f>
        <v>0</v>
      </c>
      <c r="N175" s="7">
        <f ca="1">O175-(E175+F175-SUM(G175:M175))</f>
        <v>0</v>
      </c>
      <c r="O175" s="8">
        <f>SUMIF('1.5原材料在庫'!A:A,原材料SC明細!A175,'1.5原材料在庫'!D:D)</f>
        <v>8.8817841970012523E-16</v>
      </c>
    </row>
    <row r="176" spans="1:15" ht="13.5" customHeight="1" x14ac:dyDescent="0.55000000000000004">
      <c r="A176" s="80"/>
      <c r="B176" s="98"/>
      <c r="C176" s="79"/>
      <c r="D176" s="9" t="s">
        <v>19</v>
      </c>
      <c r="E176" s="10">
        <v>7.1054273576010019E-13</v>
      </c>
      <c r="F176" s="10">
        <f>F175*$C175</f>
        <v>0</v>
      </c>
      <c r="G176" s="10">
        <f ca="1">G175*$C175</f>
        <v>0</v>
      </c>
      <c r="H176" s="10">
        <f t="shared" ref="H176" si="590">H175*$C175</f>
        <v>0</v>
      </c>
      <c r="I176" s="10">
        <f t="shared" ref="I176" si="591">I175*$C175</f>
        <v>0</v>
      </c>
      <c r="J176" s="10">
        <f t="shared" ref="J176" si="592">J175*$C175</f>
        <v>0</v>
      </c>
      <c r="K176" s="10">
        <f t="shared" ref="K176" si="593">K175*$C175</f>
        <v>0</v>
      </c>
      <c r="L176" s="10">
        <f t="shared" ref="L176" si="594">L175*$C175</f>
        <v>0</v>
      </c>
      <c r="M176" s="10">
        <f t="shared" ref="M176" si="595">M175*$C175</f>
        <v>0</v>
      </c>
      <c r="N176" s="11">
        <f t="shared" ref="N176" ca="1" si="596">IFERROR(N175/SUM($E175:$F175)*SUM($E176:$F176),"")</f>
        <v>0</v>
      </c>
      <c r="O176" s="10">
        <f>O175*$C175</f>
        <v>0</v>
      </c>
    </row>
    <row r="177" spans="1:15" x14ac:dyDescent="0.55000000000000004">
      <c r="A177" s="80">
        <v>87</v>
      </c>
      <c r="B177" s="94" t="s">
        <v>106</v>
      </c>
      <c r="C177" s="78">
        <f>IFERROR(VLOOKUP(A177,'原料標準単価（貼付）'!B:E,3,FALSE),0)</f>
        <v>0</v>
      </c>
      <c r="D177" s="12" t="s">
        <v>18</v>
      </c>
      <c r="E177" s="13">
        <v>0</v>
      </c>
      <c r="F177" s="6">
        <f>IFERROR(VLOOKUP(A177,'1.2①原材料受入'!A:E,3,FALSE),0)</f>
        <v>0</v>
      </c>
      <c r="G177" s="6">
        <f ca="1">SUMIF('1.3②原材料使用'!C:E,A177,'1.3②原材料使用'!E:E)</f>
        <v>0</v>
      </c>
      <c r="H177" s="6">
        <f>SUMIFS('1.4原材料(その他)'!E:E,'1.4原材料(その他)'!C:C,A:A,'1.4原材料(その他)'!H:H,H$3)</f>
        <v>0</v>
      </c>
      <c r="I177" s="6">
        <f>SUMIFS('1.4原材料(その他)'!E:E,'1.4原材料(その他)'!C:C,A:A,'1.4原材料(その他)'!H:H,I$3)</f>
        <v>0</v>
      </c>
      <c r="J177" s="6">
        <f>SUMIFS('1.4原材料(その他)'!E:E,'1.4原材料(その他)'!C:C,A:A,'1.4原材料(その他)'!H:H,J$3)</f>
        <v>0</v>
      </c>
      <c r="K177" s="6">
        <f>SUMIFS('1.4原材料(その他)'!E:E,'1.4原材料(その他)'!C:C,A:A,'1.4原材料(その他)'!H:H,K$3)</f>
        <v>0</v>
      </c>
      <c r="L177" s="6">
        <f>SUMIFS('1.4原材料(その他)'!E:E,'1.4原材料(その他)'!C:C,A:A,'1.4原材料(その他)'!H:H,L$3)</f>
        <v>0</v>
      </c>
      <c r="M177" s="6">
        <f>SUMIFS('1.4原材料(その他)'!E:E,'1.4原材料(その他)'!C:C,A:A,'1.4原材料(その他)'!H:H,M$3)</f>
        <v>0</v>
      </c>
      <c r="N177" s="7">
        <f ca="1">O177-(E177+F177-SUM(G177:M177))</f>
        <v>0</v>
      </c>
      <c r="O177" s="8">
        <f>SUMIF('1.5原材料在庫'!A:A,原材料SC明細!A177,'1.5原材料在庫'!D:D)</f>
        <v>0</v>
      </c>
    </row>
    <row r="178" spans="1:15" x14ac:dyDescent="0.55000000000000004">
      <c r="A178" s="80"/>
      <c r="B178" s="80"/>
      <c r="C178" s="79"/>
      <c r="D178" s="9" t="s">
        <v>19</v>
      </c>
      <c r="E178" s="10" t="s">
        <v>68</v>
      </c>
      <c r="F178" s="10">
        <f>F177*$C177</f>
        <v>0</v>
      </c>
      <c r="G178" s="10">
        <f ca="1">G177*$C177</f>
        <v>0</v>
      </c>
      <c r="H178" s="10">
        <f t="shared" ref="H178" si="597">H177*$C177</f>
        <v>0</v>
      </c>
      <c r="I178" s="10">
        <f t="shared" ref="I178" si="598">I177*$C177</f>
        <v>0</v>
      </c>
      <c r="J178" s="10">
        <f t="shared" ref="J178" si="599">J177*$C177</f>
        <v>0</v>
      </c>
      <c r="K178" s="10">
        <f t="shared" ref="K178" si="600">K177*$C177</f>
        <v>0</v>
      </c>
      <c r="L178" s="10">
        <f t="shared" ref="L178" si="601">L177*$C177</f>
        <v>0</v>
      </c>
      <c r="M178" s="10">
        <f t="shared" ref="M178" si="602">M177*$C177</f>
        <v>0</v>
      </c>
      <c r="N178" s="11" t="str">
        <f t="shared" ref="N178" ca="1" si="603">IFERROR(N177/SUM($E177:$F177)*SUM($E178:$F178),"")</f>
        <v/>
      </c>
      <c r="O178" s="10">
        <f>O177*$C177</f>
        <v>0</v>
      </c>
    </row>
    <row r="179" spans="1:15" x14ac:dyDescent="0.55000000000000004">
      <c r="A179" s="80">
        <v>88</v>
      </c>
      <c r="B179" s="94" t="s">
        <v>107</v>
      </c>
      <c r="C179" s="78">
        <f>IFERROR(VLOOKUP(A179,'原料標準単価（貼付）'!B:E,3,FALSE),0)</f>
        <v>0</v>
      </c>
      <c r="D179" s="12" t="s">
        <v>18</v>
      </c>
      <c r="E179" s="13">
        <v>1</v>
      </c>
      <c r="F179" s="6">
        <f>IFERROR(VLOOKUP(A179,'1.2①原材料受入'!A:E,3,FALSE),0)</f>
        <v>0</v>
      </c>
      <c r="G179" s="6">
        <f ca="1">SUMIF('1.3②原材料使用'!C:E,A179,'1.3②原材料使用'!E:E)</f>
        <v>0</v>
      </c>
      <c r="H179" s="6">
        <f>SUMIFS('1.4原材料(その他)'!E:E,'1.4原材料(その他)'!C:C,A:A,'1.4原材料(その他)'!H:H,H$3)</f>
        <v>0</v>
      </c>
      <c r="I179" s="6">
        <f>SUMIFS('1.4原材料(その他)'!E:E,'1.4原材料(その他)'!C:C,A:A,'1.4原材料(その他)'!H:H,I$3)</f>
        <v>0</v>
      </c>
      <c r="J179" s="6">
        <f>SUMIFS('1.4原材料(その他)'!E:E,'1.4原材料(その他)'!C:C,A:A,'1.4原材料(その他)'!H:H,J$3)</f>
        <v>0</v>
      </c>
      <c r="K179" s="6">
        <f>SUMIFS('1.4原材料(その他)'!E:E,'1.4原材料(その他)'!C:C,A:A,'1.4原材料(その他)'!H:H,K$3)</f>
        <v>0</v>
      </c>
      <c r="L179" s="6">
        <f>SUMIFS('1.4原材料(その他)'!E:E,'1.4原材料(その他)'!C:C,A:A,'1.4原材料(その他)'!H:H,L$3)</f>
        <v>0</v>
      </c>
      <c r="M179" s="6">
        <f>SUMIFS('1.4原材料(その他)'!E:E,'1.4原材料(その他)'!C:C,A:A,'1.4原材料(その他)'!H:H,M$3)</f>
        <v>0.1</v>
      </c>
      <c r="N179" s="7">
        <f ca="1">O179-(E179+F179-SUM(G179:M179))</f>
        <v>0</v>
      </c>
      <c r="O179" s="8">
        <f>SUMIF('1.5原材料在庫'!A:A,原材料SC明細!A179,'1.5原材料在庫'!D:D)</f>
        <v>0.90000000000000036</v>
      </c>
    </row>
    <row r="180" spans="1:15" x14ac:dyDescent="0.55000000000000004">
      <c r="A180" s="80"/>
      <c r="B180" s="80"/>
      <c r="C180" s="79"/>
      <c r="D180" s="9" t="s">
        <v>19</v>
      </c>
      <c r="E180" s="10">
        <v>19000</v>
      </c>
      <c r="F180" s="10">
        <f>F179*$C179</f>
        <v>0</v>
      </c>
      <c r="G180" s="10">
        <f ca="1">G179*$C179</f>
        <v>0</v>
      </c>
      <c r="H180" s="10">
        <f t="shared" ref="H180" si="604">H179*$C179</f>
        <v>0</v>
      </c>
      <c r="I180" s="10">
        <f t="shared" ref="I180" si="605">I179*$C179</f>
        <v>0</v>
      </c>
      <c r="J180" s="10">
        <f t="shared" ref="J180" si="606">J179*$C179</f>
        <v>0</v>
      </c>
      <c r="K180" s="10">
        <f t="shared" ref="K180" si="607">K179*$C179</f>
        <v>0</v>
      </c>
      <c r="L180" s="10">
        <f t="shared" ref="L180" si="608">L179*$C179</f>
        <v>0</v>
      </c>
      <c r="M180" s="10">
        <f t="shared" ref="M180" si="609">M179*$C179</f>
        <v>0</v>
      </c>
      <c r="N180" s="11">
        <f ca="1">IFERROR(N179/SUM($E179:$F179)*SUM($E180:$F180),"")</f>
        <v>0</v>
      </c>
      <c r="O180" s="10">
        <f>O179*$C179</f>
        <v>0</v>
      </c>
    </row>
    <row r="181" spans="1:15" x14ac:dyDescent="0.55000000000000004">
      <c r="A181" s="80">
        <v>89</v>
      </c>
      <c r="B181" s="94" t="s">
        <v>108</v>
      </c>
      <c r="C181" s="78">
        <f>IFERROR(VLOOKUP(A181,'原料標準単価（貼付）'!B:E,3,FALSE),0)</f>
        <v>0</v>
      </c>
      <c r="D181" s="12" t="s">
        <v>18</v>
      </c>
      <c r="E181" s="13">
        <v>-8.8817841970012523E-16</v>
      </c>
      <c r="F181" s="6">
        <f>IFERROR(VLOOKUP(A181,'1.2①原材料受入'!A:E,3,FALSE),0)</f>
        <v>0</v>
      </c>
      <c r="G181" s="6">
        <f ca="1">SUMIF('1.3②原材料使用'!C:E,A181,'1.3②原材料使用'!E:E)</f>
        <v>0</v>
      </c>
      <c r="H181" s="6">
        <f>SUMIFS('1.4原材料(その他)'!E:E,'1.4原材料(その他)'!C:C,A:A,'1.4原材料(その他)'!H:H,H$3)</f>
        <v>0</v>
      </c>
      <c r="I181" s="6">
        <f>SUMIFS('1.4原材料(その他)'!E:E,'1.4原材料(その他)'!C:C,A:A,'1.4原材料(その他)'!H:H,I$3)</f>
        <v>0</v>
      </c>
      <c r="J181" s="6">
        <f>SUMIFS('1.4原材料(その他)'!E:E,'1.4原材料(その他)'!C:C,A:A,'1.4原材料(その他)'!H:H,J$3)</f>
        <v>0</v>
      </c>
      <c r="K181" s="6">
        <f>SUMIFS('1.4原材料(その他)'!E:E,'1.4原材料(その他)'!C:C,A:A,'1.4原材料(その他)'!H:H,K$3)</f>
        <v>0</v>
      </c>
      <c r="L181" s="6">
        <f>SUMIFS('1.4原材料(その他)'!E:E,'1.4原材料(その他)'!C:C,A:A,'1.4原材料(その他)'!H:H,L$3)</f>
        <v>0</v>
      </c>
      <c r="M181" s="6">
        <f>SUMIFS('1.4原材料(その他)'!E:E,'1.4原材料(その他)'!C:C,A:A,'1.4原材料(その他)'!H:H,M$3)</f>
        <v>0</v>
      </c>
      <c r="N181" s="7">
        <f ca="1">O181-(E181+F181-SUM(G181:M181))</f>
        <v>0</v>
      </c>
      <c r="O181" s="8">
        <f>SUMIF('1.5原材料在庫'!A:A,原材料SC明細!A181,'1.5原材料在庫'!D:D)</f>
        <v>-8.8817841970012523E-16</v>
      </c>
    </row>
    <row r="182" spans="1:15" x14ac:dyDescent="0.55000000000000004">
      <c r="A182" s="80"/>
      <c r="B182" s="80"/>
      <c r="C182" s="79"/>
      <c r="D182" s="9" t="s">
        <v>19</v>
      </c>
      <c r="E182" s="10">
        <v>-7.425754000771539E-13</v>
      </c>
      <c r="F182" s="10">
        <f>F181*$C181</f>
        <v>0</v>
      </c>
      <c r="G182" s="10">
        <f ca="1">G181*$C181</f>
        <v>0</v>
      </c>
      <c r="H182" s="10">
        <f t="shared" ref="H182" si="610">H181*$C181</f>
        <v>0</v>
      </c>
      <c r="I182" s="10">
        <f t="shared" ref="I182" si="611">I181*$C181</f>
        <v>0</v>
      </c>
      <c r="J182" s="10">
        <f t="shared" ref="J182" si="612">J181*$C181</f>
        <v>0</v>
      </c>
      <c r="K182" s="10">
        <f t="shared" ref="K182" si="613">K181*$C181</f>
        <v>0</v>
      </c>
      <c r="L182" s="10">
        <f t="shared" ref="L182" si="614">L181*$C181</f>
        <v>0</v>
      </c>
      <c r="M182" s="10">
        <f t="shared" ref="M182" si="615">M181*$C181</f>
        <v>0</v>
      </c>
      <c r="N182" s="11">
        <f ca="1">IFERROR(N181/SUM($E181:$F181)*SUM($E182:$F182),"")</f>
        <v>0</v>
      </c>
      <c r="O182" s="10">
        <f>O181*$C181</f>
        <v>0</v>
      </c>
    </row>
    <row r="183" spans="1:15" x14ac:dyDescent="0.55000000000000004">
      <c r="A183" s="80">
        <v>90</v>
      </c>
      <c r="B183" s="94" t="s">
        <v>109</v>
      </c>
      <c r="C183" s="78">
        <f>IFERROR(VLOOKUP(A183,'原料標準単価（貼付）'!B:E,3,FALSE),0)</f>
        <v>0</v>
      </c>
      <c r="D183" s="12" t="s">
        <v>18</v>
      </c>
      <c r="E183" s="13">
        <v>0</v>
      </c>
      <c r="F183" s="6">
        <f>IFERROR(VLOOKUP(A183,'1.2①原材料受入'!A:E,3,FALSE),0)</f>
        <v>0</v>
      </c>
      <c r="G183" s="6">
        <f ca="1">SUMIF('1.3②原材料使用'!C:E,A183,'1.3②原材料使用'!E:E)</f>
        <v>0</v>
      </c>
      <c r="H183" s="6">
        <f>SUMIFS('1.4原材料(その他)'!E:E,'1.4原材料(その他)'!C:C,A:A,'1.4原材料(その他)'!H:H,H$3)</f>
        <v>0</v>
      </c>
      <c r="I183" s="6">
        <f>SUMIFS('1.4原材料(その他)'!E:E,'1.4原材料(その他)'!C:C,A:A,'1.4原材料(その他)'!H:H,I$3)</f>
        <v>0</v>
      </c>
      <c r="J183" s="6">
        <f>SUMIFS('1.4原材料(その他)'!E:E,'1.4原材料(その他)'!C:C,A:A,'1.4原材料(その他)'!H:H,J$3)</f>
        <v>0</v>
      </c>
      <c r="K183" s="6">
        <f>SUMIFS('1.4原材料(その他)'!E:E,'1.4原材料(その他)'!C:C,A:A,'1.4原材料(その他)'!H:H,K$3)</f>
        <v>0</v>
      </c>
      <c r="L183" s="6">
        <f>SUMIFS('1.4原材料(その他)'!E:E,'1.4原材料(その他)'!C:C,A:A,'1.4原材料(その他)'!H:H,L$3)</f>
        <v>0</v>
      </c>
      <c r="M183" s="6">
        <f>SUMIFS('1.4原材料(その他)'!E:E,'1.4原材料(その他)'!C:C,A:A,'1.4原材料(その他)'!H:H,M$3)</f>
        <v>0</v>
      </c>
      <c r="N183" s="7">
        <f ca="1">O183-(E183+F183-SUM(G183:M183))</f>
        <v>0</v>
      </c>
      <c r="O183" s="8">
        <f>SUMIF('1.5原材料在庫'!A:A,原材料SC明細!A183,'1.5原材料在庫'!D:D)</f>
        <v>0</v>
      </c>
    </row>
    <row r="184" spans="1:15" x14ac:dyDescent="0.55000000000000004">
      <c r="A184" s="80"/>
      <c r="B184" s="80"/>
      <c r="C184" s="79"/>
      <c r="D184" s="9" t="s">
        <v>19</v>
      </c>
      <c r="E184" s="10">
        <v>0</v>
      </c>
      <c r="F184" s="10">
        <f>F183*$C183</f>
        <v>0</v>
      </c>
      <c r="G184" s="10">
        <f ca="1">G183*$C183</f>
        <v>0</v>
      </c>
      <c r="H184" s="10">
        <f t="shared" ref="H184" si="616">H183*$C183</f>
        <v>0</v>
      </c>
      <c r="I184" s="10">
        <f t="shared" ref="I184" si="617">I183*$C183</f>
        <v>0</v>
      </c>
      <c r="J184" s="10">
        <f t="shared" ref="J184" si="618">J183*$C183</f>
        <v>0</v>
      </c>
      <c r="K184" s="10">
        <f t="shared" ref="K184" si="619">K183*$C183</f>
        <v>0</v>
      </c>
      <c r="L184" s="10">
        <f t="shared" ref="L184" si="620">L183*$C183</f>
        <v>0</v>
      </c>
      <c r="M184" s="10">
        <f t="shared" ref="M184" si="621">M183*$C183</f>
        <v>0</v>
      </c>
      <c r="N184" s="11" t="str">
        <f ca="1">IFERROR(N183/SUM($E183:$F183)*SUM($E184:$F184),"")</f>
        <v/>
      </c>
      <c r="O184" s="10">
        <f>O183*$C183</f>
        <v>0</v>
      </c>
    </row>
    <row r="185" spans="1:15" x14ac:dyDescent="0.55000000000000004">
      <c r="A185" s="80">
        <v>91</v>
      </c>
      <c r="B185" s="94" t="s">
        <v>110</v>
      </c>
      <c r="C185" s="78">
        <f>IFERROR(VLOOKUP(A185,'原料標準単価（貼付）'!B:E,3,FALSE),0)</f>
        <v>0</v>
      </c>
      <c r="D185" s="12" t="s">
        <v>18</v>
      </c>
      <c r="E185" s="13">
        <v>0</v>
      </c>
      <c r="F185" s="6">
        <f>IFERROR(VLOOKUP(A185,'1.2①原材料受入'!A:E,3,FALSE),0)</f>
        <v>0</v>
      </c>
      <c r="G185" s="6">
        <f ca="1">SUMIF('1.3②原材料使用'!C:E,A185,'1.3②原材料使用'!E:E)</f>
        <v>0</v>
      </c>
      <c r="H185" s="6">
        <f>SUMIFS('1.4原材料(その他)'!E:E,'1.4原材料(その他)'!C:C,A:A,'1.4原材料(その他)'!H:H,H$3)</f>
        <v>0</v>
      </c>
      <c r="I185" s="6">
        <f>SUMIFS('1.4原材料(その他)'!E:E,'1.4原材料(その他)'!C:C,A:A,'1.4原材料(その他)'!H:H,I$3)</f>
        <v>0</v>
      </c>
      <c r="J185" s="6">
        <f>SUMIFS('1.4原材料(その他)'!E:E,'1.4原材料(その他)'!C:C,A:A,'1.4原材料(その他)'!H:H,J$3)</f>
        <v>0</v>
      </c>
      <c r="K185" s="6">
        <f>SUMIFS('1.4原材料(その他)'!E:E,'1.4原材料(その他)'!C:C,A:A,'1.4原材料(その他)'!H:H,K$3)</f>
        <v>0</v>
      </c>
      <c r="L185" s="6">
        <f>SUMIFS('1.4原材料(その他)'!E:E,'1.4原材料(その他)'!C:C,A:A,'1.4原材料(その他)'!H:H,L$3)</f>
        <v>0</v>
      </c>
      <c r="M185" s="6">
        <f>SUMIFS('1.4原材料(その他)'!E:E,'1.4原材料(その他)'!C:C,A:A,'1.4原材料(その他)'!H:H,M$3)</f>
        <v>0</v>
      </c>
      <c r="N185" s="7">
        <f ca="1">O185-(E185+F185-SUM(G185:M185))</f>
        <v>0</v>
      </c>
      <c r="O185" s="8">
        <f>SUMIF('1.5原材料在庫'!A:A,原材料SC明細!A185,'1.5原材料在庫'!D:D)</f>
        <v>0</v>
      </c>
    </row>
    <row r="186" spans="1:15" x14ac:dyDescent="0.55000000000000004">
      <c r="A186" s="80"/>
      <c r="B186" s="80"/>
      <c r="C186" s="79"/>
      <c r="D186" s="9" t="s">
        <v>19</v>
      </c>
      <c r="E186" s="10">
        <v>0</v>
      </c>
      <c r="F186" s="10">
        <f>F185*$C185</f>
        <v>0</v>
      </c>
      <c r="G186" s="10">
        <f ca="1">G185*$C185</f>
        <v>0</v>
      </c>
      <c r="H186" s="10">
        <f t="shared" ref="H186" si="622">H185*$C185</f>
        <v>0</v>
      </c>
      <c r="I186" s="10">
        <f t="shared" ref="I186" si="623">I185*$C185</f>
        <v>0</v>
      </c>
      <c r="J186" s="10">
        <f t="shared" ref="J186" si="624">J185*$C185</f>
        <v>0</v>
      </c>
      <c r="K186" s="10">
        <f t="shared" ref="K186" si="625">K185*$C185</f>
        <v>0</v>
      </c>
      <c r="L186" s="10">
        <f t="shared" ref="L186" si="626">L185*$C185</f>
        <v>0</v>
      </c>
      <c r="M186" s="10">
        <f t="shared" ref="M186" si="627">M185*$C185</f>
        <v>0</v>
      </c>
      <c r="N186" s="11" t="str">
        <f ca="1">IFERROR(N185/SUM($E185:$F185)*SUM($E186:$F186),"")</f>
        <v/>
      </c>
      <c r="O186" s="10">
        <f>O185*$C185</f>
        <v>0</v>
      </c>
    </row>
    <row r="187" spans="1:15" x14ac:dyDescent="0.55000000000000004">
      <c r="A187" s="80">
        <v>92</v>
      </c>
      <c r="B187" s="94" t="s">
        <v>111</v>
      </c>
      <c r="C187" s="78">
        <f>IFERROR(VLOOKUP(A187,'原料標準単価（貼付）'!B:E,3,FALSE),0)</f>
        <v>0</v>
      </c>
      <c r="D187" s="12" t="s">
        <v>18</v>
      </c>
      <c r="E187" s="13">
        <v>1.7763568394002505E-15</v>
      </c>
      <c r="F187" s="6">
        <f>IFERROR(VLOOKUP(A187,'1.2①原材料受入'!A:E,3,FALSE),0)</f>
        <v>0</v>
      </c>
      <c r="G187" s="6">
        <f ca="1">SUMIF('1.3②原材料使用'!C:E,A187,'1.3②原材料使用'!E:E)</f>
        <v>0</v>
      </c>
      <c r="H187" s="6">
        <f>SUMIFS('1.4原材料(その他)'!E:E,'1.4原材料(その他)'!C:C,A:A,'1.4原材料(その他)'!H:H,H$3)</f>
        <v>0</v>
      </c>
      <c r="I187" s="6">
        <f>SUMIFS('1.4原材料(その他)'!E:E,'1.4原材料(その他)'!C:C,A:A,'1.4原材料(その他)'!H:H,I$3)</f>
        <v>0</v>
      </c>
      <c r="J187" s="6">
        <f>SUMIFS('1.4原材料(その他)'!E:E,'1.4原材料(その他)'!C:C,A:A,'1.4原材料(その他)'!H:H,J$3)</f>
        <v>0</v>
      </c>
      <c r="K187" s="6">
        <f>SUMIFS('1.4原材料(その他)'!E:E,'1.4原材料(その他)'!C:C,A:A,'1.4原材料(その他)'!H:H,K$3)</f>
        <v>0</v>
      </c>
      <c r="L187" s="6">
        <f>SUMIFS('1.4原材料(その他)'!E:E,'1.4原材料(その他)'!C:C,A:A,'1.4原材料(その他)'!H:H,L$3)</f>
        <v>0</v>
      </c>
      <c r="M187" s="6">
        <f>SUMIFS('1.4原材料(その他)'!E:E,'1.4原材料(その他)'!C:C,A:A,'1.4原材料(その他)'!H:H,M$3)</f>
        <v>0</v>
      </c>
      <c r="N187" s="7">
        <f ca="1">O187-(E187+F187-SUM(G187:M187))</f>
        <v>0</v>
      </c>
      <c r="O187" s="8">
        <f>SUMIF('1.5原材料在庫'!A:A,原材料SC明細!A187,'1.5原材料在庫'!D:D)</f>
        <v>1.7763568394002505E-15</v>
      </c>
    </row>
    <row r="188" spans="1:15" x14ac:dyDescent="0.55000000000000004">
      <c r="A188" s="80"/>
      <c r="B188" s="80"/>
      <c r="C188" s="79"/>
      <c r="D188" s="9" t="s">
        <v>19</v>
      </c>
      <c r="E188" s="10">
        <v>2.750488009393936E-12</v>
      </c>
      <c r="F188" s="10">
        <f>F187*$C187</f>
        <v>0</v>
      </c>
      <c r="G188" s="10">
        <f ca="1">G187*$C187</f>
        <v>0</v>
      </c>
      <c r="H188" s="10">
        <f t="shared" ref="H188" si="628">H187*$C187</f>
        <v>0</v>
      </c>
      <c r="I188" s="10">
        <f t="shared" ref="I188" si="629">I187*$C187</f>
        <v>0</v>
      </c>
      <c r="J188" s="10">
        <f t="shared" ref="J188" si="630">J187*$C187</f>
        <v>0</v>
      </c>
      <c r="K188" s="10">
        <f t="shared" ref="K188" si="631">K187*$C187</f>
        <v>0</v>
      </c>
      <c r="L188" s="10">
        <f t="shared" ref="L188" si="632">L187*$C187</f>
        <v>0</v>
      </c>
      <c r="M188" s="10">
        <f t="shared" ref="M188" si="633">M187*$C187</f>
        <v>0</v>
      </c>
      <c r="N188" s="11">
        <f ca="1">IFERROR(N187/SUM($E187:$F187)*SUM($E188:$F188),"")</f>
        <v>0</v>
      </c>
      <c r="O188" s="10">
        <f>O187*$C187</f>
        <v>0</v>
      </c>
    </row>
    <row r="189" spans="1:15" x14ac:dyDescent="0.55000000000000004">
      <c r="A189" s="80">
        <v>93</v>
      </c>
      <c r="B189" s="94" t="s">
        <v>112</v>
      </c>
      <c r="C189" s="78">
        <f>IFERROR(VLOOKUP(A189,'原料標準単価（貼付）'!B:E,3,FALSE),0)</f>
        <v>0</v>
      </c>
      <c r="D189" s="12" t="s">
        <v>18</v>
      </c>
      <c r="E189" s="13">
        <v>0</v>
      </c>
      <c r="F189" s="6">
        <f>IFERROR(VLOOKUP(A189,'1.2①原材料受入'!A:E,3,FALSE),0)</f>
        <v>0</v>
      </c>
      <c r="G189" s="6">
        <f ca="1">SUMIF('1.3②原材料使用'!C:E,A189,'1.3②原材料使用'!E:E)</f>
        <v>0</v>
      </c>
      <c r="H189" s="6">
        <f>SUMIFS('1.4原材料(その他)'!E:E,'1.4原材料(その他)'!C:C,A:A,'1.4原材料(その他)'!H:H,H$3)</f>
        <v>0</v>
      </c>
      <c r="I189" s="6">
        <f>SUMIFS('1.4原材料(その他)'!E:E,'1.4原材料(その他)'!C:C,A:A,'1.4原材料(その他)'!H:H,I$3)</f>
        <v>0</v>
      </c>
      <c r="J189" s="6">
        <f>SUMIFS('1.4原材料(その他)'!E:E,'1.4原材料(その他)'!C:C,A:A,'1.4原材料(その他)'!H:H,J$3)</f>
        <v>0</v>
      </c>
      <c r="K189" s="6">
        <f>SUMIFS('1.4原材料(その他)'!E:E,'1.4原材料(その他)'!C:C,A:A,'1.4原材料(その他)'!H:H,K$3)</f>
        <v>0</v>
      </c>
      <c r="L189" s="6">
        <f>SUMIFS('1.4原材料(その他)'!E:E,'1.4原材料(その他)'!C:C,A:A,'1.4原材料(その他)'!H:H,L$3)</f>
        <v>0</v>
      </c>
      <c r="M189" s="6">
        <f>SUMIFS('1.4原材料(その他)'!E:E,'1.4原材料(その他)'!C:C,A:A,'1.4原材料(その他)'!H:H,M$3)</f>
        <v>0</v>
      </c>
      <c r="N189" s="7">
        <f ca="1">O189-(E189+F189-SUM(G189:M189))</f>
        <v>0</v>
      </c>
      <c r="O189" s="8">
        <f>SUMIF('1.5原材料在庫'!A:A,原材料SC明細!A189,'1.5原材料在庫'!D:D)</f>
        <v>0</v>
      </c>
    </row>
    <row r="190" spans="1:15" x14ac:dyDescent="0.55000000000000004">
      <c r="A190" s="80"/>
      <c r="B190" s="80"/>
      <c r="C190" s="79"/>
      <c r="D190" s="9" t="s">
        <v>19</v>
      </c>
      <c r="E190" s="10">
        <v>0</v>
      </c>
      <c r="F190" s="10">
        <f>F189*$C189</f>
        <v>0</v>
      </c>
      <c r="G190" s="10">
        <f ca="1">G189*$C189</f>
        <v>0</v>
      </c>
      <c r="H190" s="10">
        <f t="shared" ref="H190" si="634">H189*$C189</f>
        <v>0</v>
      </c>
      <c r="I190" s="10">
        <f t="shared" ref="I190" si="635">I189*$C189</f>
        <v>0</v>
      </c>
      <c r="J190" s="10">
        <f t="shared" ref="J190" si="636">J189*$C189</f>
        <v>0</v>
      </c>
      <c r="K190" s="10">
        <f t="shared" ref="K190" si="637">K189*$C189</f>
        <v>0</v>
      </c>
      <c r="L190" s="10">
        <f t="shared" ref="L190" si="638">L189*$C189</f>
        <v>0</v>
      </c>
      <c r="M190" s="10">
        <f t="shared" ref="M190" si="639">M189*$C189</f>
        <v>0</v>
      </c>
      <c r="N190" s="11" t="str">
        <f ca="1">IFERROR(N189/SUM($E189:$F189)*SUM($E190:$F190),"")</f>
        <v/>
      </c>
      <c r="O190" s="10">
        <f>O189*$C189</f>
        <v>0</v>
      </c>
    </row>
    <row r="191" spans="1:15" x14ac:dyDescent="0.55000000000000004">
      <c r="A191" s="80">
        <v>94</v>
      </c>
      <c r="B191" s="94" t="s">
        <v>113</v>
      </c>
      <c r="C191" s="78">
        <f>IFERROR(VLOOKUP(A191,'原料標準単価（貼付）'!B:E,3,FALSE),0)</f>
        <v>0</v>
      </c>
      <c r="D191" s="12" t="s">
        <v>18</v>
      </c>
      <c r="E191" s="13">
        <v>4.2000000000000011</v>
      </c>
      <c r="F191" s="6">
        <f>IFERROR(VLOOKUP(A191,'1.2①原材料受入'!A:E,3,FALSE),0)</f>
        <v>0</v>
      </c>
      <c r="G191" s="6">
        <f ca="1">SUMIF('1.3②原材料使用'!C:E,A191,'1.3②原材料使用'!E:E)</f>
        <v>0</v>
      </c>
      <c r="H191" s="6">
        <f>SUMIFS('1.4原材料(その他)'!E:E,'1.4原材料(その他)'!C:C,A:A,'1.4原材料(その他)'!H:H,H$3)</f>
        <v>0</v>
      </c>
      <c r="I191" s="6">
        <f>SUMIFS('1.4原材料(その他)'!E:E,'1.4原材料(その他)'!C:C,A:A,'1.4原材料(その他)'!H:H,I$3)</f>
        <v>0</v>
      </c>
      <c r="J191" s="6">
        <f>SUMIFS('1.4原材料(その他)'!E:E,'1.4原材料(その他)'!C:C,A:A,'1.4原材料(その他)'!H:H,J$3)</f>
        <v>0</v>
      </c>
      <c r="K191" s="6">
        <f>SUMIFS('1.4原材料(その他)'!E:E,'1.4原材料(その他)'!C:C,A:A,'1.4原材料(その他)'!H:H,K$3)</f>
        <v>0</v>
      </c>
      <c r="L191" s="6">
        <f>SUMIFS('1.4原材料(その他)'!E:E,'1.4原材料(その他)'!C:C,A:A,'1.4原材料(その他)'!H:H,L$3)</f>
        <v>4.2</v>
      </c>
      <c r="M191" s="6">
        <f>SUMIFS('1.4原材料(その他)'!E:E,'1.4原材料(その他)'!C:C,A:A,'1.4原材料(その他)'!H:H,M$3)</f>
        <v>0</v>
      </c>
      <c r="N191" s="7">
        <f ca="1">O191-(E191+F191-SUM(G191:M191))</f>
        <v>8.8817841970012523E-16</v>
      </c>
      <c r="O191" s="8">
        <f>SUMIF('1.5原材料在庫'!A:A,原材料SC明細!A191,'1.5原材料在庫'!D:D)</f>
        <v>1.7763568394002505E-15</v>
      </c>
    </row>
    <row r="192" spans="1:15" x14ac:dyDescent="0.55000000000000004">
      <c r="A192" s="80"/>
      <c r="B192" s="80"/>
      <c r="C192" s="79"/>
      <c r="D192" s="9" t="s">
        <v>19</v>
      </c>
      <c r="E192" s="10">
        <v>7560.0000000000018</v>
      </c>
      <c r="F192" s="10">
        <f>F191*$C191</f>
        <v>0</v>
      </c>
      <c r="G192" s="10">
        <f ca="1">G191*$C191</f>
        <v>0</v>
      </c>
      <c r="H192" s="10">
        <f t="shared" ref="H192" si="640">H191*$C191</f>
        <v>0</v>
      </c>
      <c r="I192" s="10">
        <f t="shared" ref="I192" si="641">I191*$C191</f>
        <v>0</v>
      </c>
      <c r="J192" s="10">
        <f t="shared" ref="J192" si="642">J191*$C191</f>
        <v>0</v>
      </c>
      <c r="K192" s="10">
        <f t="shared" ref="K192" si="643">K191*$C191</f>
        <v>0</v>
      </c>
      <c r="L192" s="10">
        <f t="shared" ref="L192" si="644">L191*$C191</f>
        <v>0</v>
      </c>
      <c r="M192" s="10">
        <f t="shared" ref="M192" si="645">M191*$C191</f>
        <v>0</v>
      </c>
      <c r="N192" s="11">
        <f ca="1">IFERROR(N191/SUM($E191:$F191)*SUM($E192:$F192),"")</f>
        <v>1.5987211554602254E-12</v>
      </c>
      <c r="O192" s="10">
        <f>O191*$C191</f>
        <v>0</v>
      </c>
    </row>
    <row r="193" spans="1:15" x14ac:dyDescent="0.55000000000000004">
      <c r="A193" s="80">
        <v>95</v>
      </c>
      <c r="B193" s="94" t="s">
        <v>114</v>
      </c>
      <c r="C193" s="78">
        <f>IFERROR(VLOOKUP(A193,'原料標準単価（貼付）'!B:E,3,FALSE),0)</f>
        <v>0</v>
      </c>
      <c r="D193" s="12" t="s">
        <v>18</v>
      </c>
      <c r="E193" s="13">
        <v>1.7763568394002505E-15</v>
      </c>
      <c r="F193" s="6">
        <f>IFERROR(VLOOKUP(A193,'1.2①原材料受入'!A:E,3,FALSE),0)</f>
        <v>0</v>
      </c>
      <c r="G193" s="6">
        <f ca="1">SUMIF('1.3②原材料使用'!C:E,A193,'1.3②原材料使用'!E:E)</f>
        <v>0</v>
      </c>
      <c r="H193" s="6">
        <f>SUMIFS('1.4原材料(その他)'!E:E,'1.4原材料(その他)'!C:C,A:A,'1.4原材料(その他)'!H:H,H$3)</f>
        <v>0</v>
      </c>
      <c r="I193" s="6">
        <f>SUMIFS('1.4原材料(その他)'!E:E,'1.4原材料(その他)'!C:C,A:A,'1.4原材料(その他)'!H:H,I$3)</f>
        <v>0</v>
      </c>
      <c r="J193" s="6">
        <f>SUMIFS('1.4原材料(その他)'!E:E,'1.4原材料(その他)'!C:C,A:A,'1.4原材料(その他)'!H:H,J$3)</f>
        <v>0</v>
      </c>
      <c r="K193" s="6">
        <f>SUMIFS('1.4原材料(その他)'!E:E,'1.4原材料(その他)'!C:C,A:A,'1.4原材料(その他)'!H:H,K$3)</f>
        <v>0</v>
      </c>
      <c r="L193" s="6">
        <f>SUMIFS('1.4原材料(その他)'!E:E,'1.4原材料(その他)'!C:C,A:A,'1.4原材料(その他)'!H:H,L$3)</f>
        <v>0</v>
      </c>
      <c r="M193" s="6">
        <f>SUMIFS('1.4原材料(その他)'!E:E,'1.4原材料(その他)'!C:C,A:A,'1.4原材料(その他)'!H:H,M$3)</f>
        <v>0</v>
      </c>
      <c r="N193" s="7">
        <f ca="1">O193-(E193+F193-SUM(G193:M193))</f>
        <v>0</v>
      </c>
      <c r="O193" s="8">
        <f>SUMIF('1.5原材料在庫'!A:A,原材料SC明細!A193,'1.5原材料在庫'!D:D)</f>
        <v>1.7763568394002505E-15</v>
      </c>
    </row>
    <row r="194" spans="1:15" x14ac:dyDescent="0.55000000000000004">
      <c r="A194" s="80"/>
      <c r="B194" s="80"/>
      <c r="C194" s="79"/>
      <c r="D194" s="9" t="s">
        <v>19</v>
      </c>
      <c r="E194" s="10">
        <v>1.7408297026122457E-12</v>
      </c>
      <c r="F194" s="10">
        <f>F193*$C193</f>
        <v>0</v>
      </c>
      <c r="G194" s="10">
        <f ca="1">G193*$C193</f>
        <v>0</v>
      </c>
      <c r="H194" s="10">
        <f t="shared" ref="H194" si="646">H193*$C193</f>
        <v>0</v>
      </c>
      <c r="I194" s="10">
        <f t="shared" ref="I194" si="647">I193*$C193</f>
        <v>0</v>
      </c>
      <c r="J194" s="10">
        <f t="shared" ref="J194" si="648">J193*$C193</f>
        <v>0</v>
      </c>
      <c r="K194" s="10">
        <f t="shared" ref="K194" si="649">K193*$C193</f>
        <v>0</v>
      </c>
      <c r="L194" s="10">
        <f t="shared" ref="L194" si="650">L193*$C193</f>
        <v>0</v>
      </c>
      <c r="M194" s="10">
        <f t="shared" ref="M194" si="651">M193*$C193</f>
        <v>0</v>
      </c>
      <c r="N194" s="11">
        <f ca="1">IFERROR(N193/SUM($E193:$F193)*SUM($E194:$F194),"")</f>
        <v>0</v>
      </c>
      <c r="O194" s="10">
        <f>O193*$C193</f>
        <v>0</v>
      </c>
    </row>
    <row r="195" spans="1:15" x14ac:dyDescent="0.55000000000000004">
      <c r="A195" s="99">
        <v>96</v>
      </c>
      <c r="B195" s="100" t="s">
        <v>115</v>
      </c>
      <c r="C195" s="78">
        <f>IFERROR(VLOOKUP(A195,'原料標準単価（貼付）'!B:E,3,FALSE),0)</f>
        <v>3558.3941605839418</v>
      </c>
      <c r="D195" s="12" t="s">
        <v>18</v>
      </c>
      <c r="E195" s="13"/>
      <c r="F195" s="6">
        <f>IFERROR(VLOOKUP(A195,'1.2①原材料受入'!A:E,3,FALSE),0)</f>
        <v>27.4</v>
      </c>
      <c r="G195" s="6">
        <f ca="1">SUMIF('1.3②原材料使用'!C:E,A195,'1.3②原材料使用'!E:E)</f>
        <v>24</v>
      </c>
      <c r="H195" s="6">
        <f>SUMIFS('1.4原材料(その他)'!E:E,'1.4原材料(その他)'!C:C,A:A,'1.4原材料(その他)'!H:H,H$3)</f>
        <v>1</v>
      </c>
      <c r="I195" s="6">
        <f>SUMIFS('1.4原材料(その他)'!E:E,'1.4原材料(その他)'!C:C,A:A,'1.4原材料(その他)'!H:H,I$3)</f>
        <v>0</v>
      </c>
      <c r="J195" s="6">
        <f>SUMIFS('1.4原材料(その他)'!E:E,'1.4原材料(その他)'!C:C,A:A,'1.4原材料(その他)'!H:H,J$3)</f>
        <v>0</v>
      </c>
      <c r="K195" s="6">
        <f>SUMIFS('1.4原材料(その他)'!E:E,'1.4原材料(その他)'!C:C,A:A,'1.4原材料(その他)'!H:H,K$3)</f>
        <v>0</v>
      </c>
      <c r="L195" s="6">
        <f>SUMIFS('1.4原材料(その他)'!E:E,'1.4原材料(その他)'!C:C,A:A,'1.4原材料(その他)'!H:H,L$3)</f>
        <v>0</v>
      </c>
      <c r="M195" s="6">
        <f>SUMIFS('1.4原材料(その他)'!E:E,'1.4原材料(その他)'!C:C,A:A,'1.4原材料(その他)'!H:H,M$3)</f>
        <v>1.4</v>
      </c>
      <c r="N195" s="7">
        <f ca="1">O195-(E195+F195-SUM(G195:M195))</f>
        <v>0</v>
      </c>
      <c r="O195" s="8">
        <f>SUMIF('1.5原材料在庫'!A:A,原材料SC明細!A195,'1.5原材料在庫'!D:D)</f>
        <v>1</v>
      </c>
    </row>
    <row r="196" spans="1:15" x14ac:dyDescent="0.55000000000000004">
      <c r="A196" s="99"/>
      <c r="B196" s="99"/>
      <c r="C196" s="79"/>
      <c r="D196" s="9" t="s">
        <v>19</v>
      </c>
      <c r="E196" s="10"/>
      <c r="F196" s="10">
        <f>F195*$C195</f>
        <v>97500</v>
      </c>
      <c r="G196" s="10">
        <f ca="1">G195*$C195</f>
        <v>85401.459854014596</v>
      </c>
      <c r="H196" s="10">
        <f t="shared" ref="H196" si="652">H195*$C195</f>
        <v>3558.3941605839418</v>
      </c>
      <c r="I196" s="10">
        <f t="shared" ref="I196" si="653">I195*$C195</f>
        <v>0</v>
      </c>
      <c r="J196" s="10">
        <f t="shared" ref="J196" si="654">J195*$C195</f>
        <v>0</v>
      </c>
      <c r="K196" s="10">
        <f t="shared" ref="K196" si="655">K195*$C195</f>
        <v>0</v>
      </c>
      <c r="L196" s="10">
        <f t="shared" ref="L196" si="656">L195*$C195</f>
        <v>0</v>
      </c>
      <c r="M196" s="10">
        <f t="shared" ref="M196" si="657">M195*$C195</f>
        <v>4981.7518248175184</v>
      </c>
      <c r="N196" s="11">
        <f ca="1">IFERROR(N195/SUM($E195:$F195)*SUM($E196:$F196),"")</f>
        <v>0</v>
      </c>
      <c r="O196" s="10">
        <f>O195*$C195</f>
        <v>3558.3941605839418</v>
      </c>
    </row>
    <row r="197" spans="1:15" x14ac:dyDescent="0.55000000000000004">
      <c r="A197" s="99">
        <v>97</v>
      </c>
      <c r="B197" s="100" t="s">
        <v>116</v>
      </c>
      <c r="C197" s="78">
        <f>IFERROR(VLOOKUP(A197,'原料標準単価（貼付）'!B:E,3,FALSE),0)</f>
        <v>3486.5900383141761</v>
      </c>
      <c r="D197" s="12" t="s">
        <v>18</v>
      </c>
      <c r="E197" s="13"/>
      <c r="F197" s="6">
        <f>IFERROR(VLOOKUP(A197,'1.2①原材料受入'!A:E,3,FALSE),0)</f>
        <v>26.1</v>
      </c>
      <c r="G197" s="6">
        <f ca="1">SUMIF('1.3②原材料使用'!C:E,A197,'1.3②原材料使用'!E:E)</f>
        <v>24</v>
      </c>
      <c r="H197" s="6">
        <f>SUMIFS('1.4原材料(その他)'!E:E,'1.4原材料(その他)'!C:C,A:A,'1.4原材料(その他)'!H:H,H$3)</f>
        <v>1</v>
      </c>
      <c r="I197" s="6">
        <f>SUMIFS('1.4原材料(その他)'!E:E,'1.4原材料(その他)'!C:C,A:A,'1.4原材料(その他)'!H:H,I$3)</f>
        <v>0</v>
      </c>
      <c r="J197" s="6">
        <f>SUMIFS('1.4原材料(その他)'!E:E,'1.4原材料(その他)'!C:C,A:A,'1.4原材料(その他)'!H:H,J$3)</f>
        <v>0</v>
      </c>
      <c r="K197" s="6">
        <f>SUMIFS('1.4原材料(その他)'!E:E,'1.4原材料(その他)'!C:C,A:A,'1.4原材料(その他)'!H:H,K$3)</f>
        <v>0</v>
      </c>
      <c r="L197" s="6">
        <f>SUMIFS('1.4原材料(その他)'!E:E,'1.4原材料(その他)'!C:C,A:A,'1.4原材料(その他)'!H:H,L$3)</f>
        <v>0.7</v>
      </c>
      <c r="M197" s="6">
        <f>SUMIFS('1.4原材料(その他)'!E:E,'1.4原材料(その他)'!C:C,A:A,'1.4原材料(その他)'!H:H,M$3)</f>
        <v>0.4</v>
      </c>
      <c r="N197" s="7">
        <f ca="1">O197-(E197+F197-SUM(G197:M197))</f>
        <v>0</v>
      </c>
      <c r="O197" s="8">
        <f>SUMIF('1.5原材料在庫'!A:A,原材料SC明細!A197,'1.5原材料在庫'!D:D)</f>
        <v>3.5527136788005009E-15</v>
      </c>
    </row>
    <row r="198" spans="1:15" x14ac:dyDescent="0.55000000000000004">
      <c r="A198" s="99"/>
      <c r="B198" s="99"/>
      <c r="C198" s="79"/>
      <c r="D198" s="9" t="s">
        <v>19</v>
      </c>
      <c r="E198" s="10"/>
      <c r="F198" s="10">
        <f>F197*$C197</f>
        <v>91000</v>
      </c>
      <c r="G198" s="10">
        <f ca="1">G197*$C197</f>
        <v>83678.160919540227</v>
      </c>
      <c r="H198" s="10">
        <f t="shared" ref="H198" si="658">H197*$C197</f>
        <v>3486.5900383141761</v>
      </c>
      <c r="I198" s="10">
        <f t="shared" ref="I198" si="659">I197*$C197</f>
        <v>0</v>
      </c>
      <c r="J198" s="10">
        <f t="shared" ref="J198" si="660">J197*$C197</f>
        <v>0</v>
      </c>
      <c r="K198" s="10">
        <f t="shared" ref="K198" si="661">K197*$C197</f>
        <v>0</v>
      </c>
      <c r="L198" s="10">
        <f t="shared" ref="L198" si="662">L197*$C197</f>
        <v>2440.6130268199231</v>
      </c>
      <c r="M198" s="10">
        <f t="shared" ref="M198" si="663">M197*$C197</f>
        <v>1394.6360153256705</v>
      </c>
      <c r="N198" s="11">
        <f ca="1">IFERROR(N197/SUM($E197:$F197)*SUM($E198:$F198),"")</f>
        <v>0</v>
      </c>
      <c r="O198" s="10">
        <f>O197*$C197</f>
        <v>1.2386856121488336E-11</v>
      </c>
    </row>
    <row r="199" spans="1:15" x14ac:dyDescent="0.55000000000000004">
      <c r="A199" s="99">
        <v>98</v>
      </c>
      <c r="B199" s="100" t="s">
        <v>117</v>
      </c>
      <c r="C199" s="78">
        <f>IFERROR(VLOOKUP(A199,'原料標準単価（貼付）'!B:E,3,FALSE),0)</f>
        <v>326.38036809815952</v>
      </c>
      <c r="D199" s="12" t="s">
        <v>18</v>
      </c>
      <c r="E199" s="13"/>
      <c r="F199" s="6">
        <f>IFERROR(VLOOKUP(A199,'1.2①原材料受入'!A:E,3,FALSE),0)</f>
        <v>16.3</v>
      </c>
      <c r="G199" s="6">
        <f ca="1">SUMIF('1.3②原材料使用'!C:E,A199,'1.3②原材料使用'!E:E)</f>
        <v>12</v>
      </c>
      <c r="H199" s="6">
        <f>SUMIFS('1.4原材料(その他)'!E:E,'1.4原材料(その他)'!C:C,A:A,'1.4原材料(その他)'!H:H,H$3)</f>
        <v>1</v>
      </c>
      <c r="I199" s="6">
        <f>SUMIFS('1.4原材料(その他)'!E:E,'1.4原材料(その他)'!C:C,A:A,'1.4原材料(その他)'!H:H,I$3)</f>
        <v>0</v>
      </c>
      <c r="J199" s="6">
        <f>SUMIFS('1.4原材料(その他)'!E:E,'1.4原材料(その他)'!C:C,A:A,'1.4原材料(その他)'!H:H,J$3)</f>
        <v>0</v>
      </c>
      <c r="K199" s="6">
        <f>SUMIFS('1.4原材料(その他)'!E:E,'1.4原材料(その他)'!C:C,A:A,'1.4原材料(その他)'!H:H,K$3)</f>
        <v>0</v>
      </c>
      <c r="L199" s="6">
        <f>SUMIFS('1.4原材料(その他)'!E:E,'1.4原材料(その他)'!C:C,A:A,'1.4原材料(その他)'!H:H,L$3)</f>
        <v>2.81</v>
      </c>
      <c r="M199" s="6">
        <f>SUMIFS('1.4原材料(その他)'!E:E,'1.4原材料(その他)'!C:C,A:A,'1.4原材料(その他)'!H:H,M$3)</f>
        <v>0.49</v>
      </c>
      <c r="N199" s="7">
        <f ca="1">O199-(E199+F199-SUM(G199:M199))</f>
        <v>0</v>
      </c>
      <c r="O199" s="8">
        <f>SUMIF('1.5原材料在庫'!A:A,原材料SC明細!A199,'1.5原材料在庫'!D:D)</f>
        <v>0</v>
      </c>
    </row>
    <row r="200" spans="1:15" x14ac:dyDescent="0.55000000000000004">
      <c r="A200" s="99"/>
      <c r="B200" s="99"/>
      <c r="C200" s="79"/>
      <c r="D200" s="9" t="s">
        <v>19</v>
      </c>
      <c r="E200" s="10"/>
      <c r="F200" s="10">
        <f>F199*$C199</f>
        <v>5320</v>
      </c>
      <c r="G200" s="10">
        <f ca="1">G199*$C199</f>
        <v>3916.564417177914</v>
      </c>
      <c r="H200" s="10">
        <f t="shared" ref="H200" si="664">H199*$C199</f>
        <v>326.38036809815952</v>
      </c>
      <c r="I200" s="10">
        <f t="shared" ref="I200" si="665">I199*$C199</f>
        <v>0</v>
      </c>
      <c r="J200" s="10">
        <f t="shared" ref="J200" si="666">J199*$C199</f>
        <v>0</v>
      </c>
      <c r="K200" s="10">
        <f t="shared" ref="K200" si="667">K199*$C199</f>
        <v>0</v>
      </c>
      <c r="L200" s="10">
        <f t="shared" ref="L200" si="668">L199*$C199</f>
        <v>917.1288343558283</v>
      </c>
      <c r="M200" s="10">
        <f t="shared" ref="M200" si="669">M199*$C199</f>
        <v>159.92638036809817</v>
      </c>
      <c r="N200" s="11">
        <f ca="1">IFERROR(N199/SUM($E199:$F199)*SUM($E200:$F200),"")</f>
        <v>0</v>
      </c>
      <c r="O200" s="10">
        <f>O199*$C199</f>
        <v>0</v>
      </c>
    </row>
    <row r="201" spans="1:15" x14ac:dyDescent="0.55000000000000004">
      <c r="A201" s="99">
        <v>99</v>
      </c>
      <c r="B201" s="100" t="s">
        <v>118</v>
      </c>
      <c r="C201" s="78">
        <f>IFERROR(VLOOKUP(A201,'原料標準単価（貼付）'!B:E,3,FALSE),0)</f>
        <v>686.27450980392155</v>
      </c>
      <c r="D201" s="12" t="s">
        <v>18</v>
      </c>
      <c r="E201" s="13"/>
      <c r="F201" s="6">
        <f>IFERROR(VLOOKUP(A201,'1.2①原材料受入'!A:E,3,FALSE),0)</f>
        <v>15.3</v>
      </c>
      <c r="G201" s="6">
        <f ca="1">SUMIF('1.3②原材料使用'!C:E,A201,'1.3②原材料使用'!E:E)</f>
        <v>12</v>
      </c>
      <c r="H201" s="6">
        <f>SUMIFS('1.4原材料(その他)'!E:E,'1.4原材料(その他)'!C:C,A:A,'1.4原材料(その他)'!H:H,H$3)</f>
        <v>1</v>
      </c>
      <c r="I201" s="6">
        <f>SUMIFS('1.4原材料(その他)'!E:E,'1.4原材料(その他)'!C:C,A:A,'1.4原材料(その他)'!H:H,I$3)</f>
        <v>0</v>
      </c>
      <c r="J201" s="6">
        <f>SUMIFS('1.4原材料(その他)'!E:E,'1.4原材料(その他)'!C:C,A:A,'1.4原材料(その他)'!H:H,J$3)</f>
        <v>0</v>
      </c>
      <c r="K201" s="6">
        <f>SUMIFS('1.4原材料(その他)'!E:E,'1.4原材料(その他)'!C:C,A:A,'1.4原材料(その他)'!H:H,K$3)</f>
        <v>0</v>
      </c>
      <c r="L201" s="6">
        <f>SUMIFS('1.4原材料(その他)'!E:E,'1.4原材料(その他)'!C:C,A:A,'1.4原材料(その他)'!H:H,L$3)</f>
        <v>1.86</v>
      </c>
      <c r="M201" s="6">
        <f>SUMIFS('1.4原材料(その他)'!E:E,'1.4原材料(その他)'!C:C,A:A,'1.4原材料(その他)'!H:H,M$3)</f>
        <v>0.44</v>
      </c>
      <c r="N201" s="7">
        <f ca="1">O201-(E201+F201-SUM(G201:M201))</f>
        <v>0</v>
      </c>
      <c r="O201" s="8">
        <f>SUMIF('1.5原材料在庫'!A:A,原材料SC明細!A201,'1.5原材料在庫'!D:D)</f>
        <v>1.7763568394002505E-15</v>
      </c>
    </row>
    <row r="202" spans="1:15" x14ac:dyDescent="0.55000000000000004">
      <c r="A202" s="99"/>
      <c r="B202" s="99"/>
      <c r="C202" s="79"/>
      <c r="D202" s="9" t="s">
        <v>19</v>
      </c>
      <c r="E202" s="10"/>
      <c r="F202" s="10">
        <f>F201*$C201</f>
        <v>10500</v>
      </c>
      <c r="G202" s="10">
        <f ca="1">G201*$C201</f>
        <v>8235.2941176470595</v>
      </c>
      <c r="H202" s="10">
        <f t="shared" ref="H202" si="670">H201*$C201</f>
        <v>686.27450980392155</v>
      </c>
      <c r="I202" s="10">
        <f t="shared" ref="I202" si="671">I201*$C201</f>
        <v>0</v>
      </c>
      <c r="J202" s="10">
        <f t="shared" ref="J202" si="672">J201*$C201</f>
        <v>0</v>
      </c>
      <c r="K202" s="10">
        <f t="shared" ref="K202" si="673">K201*$C201</f>
        <v>0</v>
      </c>
      <c r="L202" s="10">
        <f t="shared" ref="L202" si="674">L201*$C201</f>
        <v>1276.4705882352941</v>
      </c>
      <c r="M202" s="10">
        <f t="shared" ref="M202" si="675">M201*$C201</f>
        <v>301.96078431372547</v>
      </c>
      <c r="N202" s="11">
        <f ca="1">IFERROR(N201/SUM($E201:$F201)*SUM($E202:$F202),"")</f>
        <v>0</v>
      </c>
      <c r="O202" s="10">
        <f>O201*$C201</f>
        <v>1.2190684191962503E-12</v>
      </c>
    </row>
    <row r="203" spans="1:15" x14ac:dyDescent="0.55000000000000004">
      <c r="A203" s="94">
        <v>200</v>
      </c>
      <c r="B203" s="94" t="s">
        <v>119</v>
      </c>
      <c r="C203" s="78">
        <f>IFERROR(VLOOKUP(A203,'原料標準単価（貼付）'!B:E,3,FALSE),0)</f>
        <v>575</v>
      </c>
      <c r="D203" s="12" t="s">
        <v>18</v>
      </c>
      <c r="E203" s="13">
        <v>0</v>
      </c>
      <c r="F203" s="6">
        <f>IFERROR(VLOOKUP(A203,'1.2①原材料受入'!A:E,3,FALSE),0)</f>
        <v>15</v>
      </c>
      <c r="G203" s="6">
        <f ca="1">SUMIF('1.3②原材料使用'!C:E,A203,'1.3②原材料使用'!E:E)</f>
        <v>13</v>
      </c>
      <c r="H203" s="6">
        <f>SUMIFS('1.4原材料(その他)'!E:E,'1.4原材料(その他)'!C:C,A:A,'1.4原材料(その他)'!H:H,H$3)</f>
        <v>2</v>
      </c>
      <c r="I203" s="6">
        <f>SUMIFS('1.4原材料(その他)'!E:E,'1.4原材料(その他)'!C:C,A:A,'1.4原材料(その他)'!H:H,I$3)</f>
        <v>0</v>
      </c>
      <c r="J203" s="6">
        <f>SUMIFS('1.4原材料(その他)'!E:E,'1.4原材料(その他)'!C:C,A:A,'1.4原材料(その他)'!H:H,J$3)</f>
        <v>0</v>
      </c>
      <c r="K203" s="6">
        <f>SUMIFS('1.4原材料(その他)'!E:E,'1.4原材料(その他)'!C:C,A:A,'1.4原材料(その他)'!H:H,K$3)</f>
        <v>0</v>
      </c>
      <c r="L203" s="6">
        <f>SUMIFS('1.4原材料(その他)'!E:E,'1.4原材料(その他)'!C:C,A:A,'1.4原材料(その他)'!H:H,L$3)</f>
        <v>0</v>
      </c>
      <c r="M203" s="6">
        <f>SUMIFS('1.4原材料(その他)'!E:E,'1.4原材料(その他)'!C:C,A:A,'1.4原材料(その他)'!H:H,M$3)</f>
        <v>0</v>
      </c>
      <c r="N203" s="7">
        <f ca="1">O203-(E203+F203-SUM(G203:M203))</f>
        <v>0</v>
      </c>
      <c r="O203" s="8">
        <f>SUMIF('1.5原材料在庫'!A:A,原材料SC明細!A203,'1.5原材料在庫'!D:D)</f>
        <v>0</v>
      </c>
    </row>
    <row r="204" spans="1:15" x14ac:dyDescent="0.55000000000000004">
      <c r="A204" s="80"/>
      <c r="B204" s="80"/>
      <c r="C204" s="79"/>
      <c r="D204" s="9" t="s">
        <v>19</v>
      </c>
      <c r="E204" s="10">
        <v>0</v>
      </c>
      <c r="F204" s="10">
        <f>F203*$C203</f>
        <v>8625</v>
      </c>
      <c r="G204" s="10">
        <f ca="1">G203*$C203</f>
        <v>7475</v>
      </c>
      <c r="H204" s="10">
        <f t="shared" ref="H204" si="676">H203*$C203</f>
        <v>1150</v>
      </c>
      <c r="I204" s="10">
        <f t="shared" ref="I204" si="677">I203*$C203</f>
        <v>0</v>
      </c>
      <c r="J204" s="10">
        <f t="shared" ref="J204" si="678">J203*$C203</f>
        <v>0</v>
      </c>
      <c r="K204" s="10">
        <f t="shared" ref="K204" si="679">K203*$C203</f>
        <v>0</v>
      </c>
      <c r="L204" s="10">
        <f t="shared" ref="L204" si="680">L203*$C203</f>
        <v>0</v>
      </c>
      <c r="M204" s="10">
        <f t="shared" ref="M204" si="681">M203*$C203</f>
        <v>0</v>
      </c>
      <c r="N204" s="11">
        <f t="shared" ref="N204" ca="1" si="682">IFERROR(N203/SUM($E203:$F203)*SUM($E204:$F204),"")</f>
        <v>0</v>
      </c>
      <c r="O204" s="10">
        <f>O203*$C203</f>
        <v>0</v>
      </c>
    </row>
    <row r="205" spans="1:15" x14ac:dyDescent="0.55000000000000004">
      <c r="A205" s="80">
        <v>201</v>
      </c>
      <c r="B205" s="80" t="s">
        <v>120</v>
      </c>
      <c r="C205" s="78">
        <f>IFERROR(VLOOKUP(A205,'原料標準単価（貼付）'!B:E,3,FALSE),0)</f>
        <v>358.82565429395959</v>
      </c>
      <c r="D205" s="12" t="s">
        <v>18</v>
      </c>
      <c r="E205" s="13">
        <v>6233.9999999999973</v>
      </c>
      <c r="F205" s="6">
        <f>IFERROR(VLOOKUP(A205,'1.2①原材料受入'!A:E,3,FALSE),0)</f>
        <v>50245</v>
      </c>
      <c r="G205" s="6">
        <f ca="1">SUMIF('1.3②原材料使用'!C:E,A205,'1.3②原材料使用'!E:E)</f>
        <v>51404.15</v>
      </c>
      <c r="H205" s="6">
        <f>SUMIFS('1.4原材料(その他)'!E:E,'1.4原材料(その他)'!C:C,A:A,'1.4原材料(その他)'!H:H,H$3)</f>
        <v>10</v>
      </c>
      <c r="I205" s="6">
        <f>SUMIFS('1.4原材料(その他)'!E:E,'1.4原材料(その他)'!C:C,A:A,'1.4原材料(その他)'!H:H,I$3)</f>
        <v>20.260000000000002</v>
      </c>
      <c r="J205" s="6">
        <f>SUMIFS('1.4原材料(その他)'!E:E,'1.4原材料(その他)'!C:C,A:A,'1.4原材料(その他)'!H:H,J$3)</f>
        <v>0</v>
      </c>
      <c r="K205" s="6">
        <f>SUMIFS('1.4原材料(その他)'!E:E,'1.4原材料(その他)'!C:C,A:A,'1.4原材料(その他)'!H:H,K$3)</f>
        <v>0</v>
      </c>
      <c r="L205" s="6">
        <f>SUMIFS('1.4原材料(その他)'!E:E,'1.4原材料(その他)'!C:C,A:A,'1.4原材料(その他)'!H:H,L$3)</f>
        <v>29.4</v>
      </c>
      <c r="M205" s="6">
        <f>SUMIFS('1.4原材料(その他)'!E:E,'1.4原材料(その他)'!C:C,A:A,'1.4原材料(その他)'!H:H,M$3)</f>
        <v>-1.1100000000000023</v>
      </c>
      <c r="N205" s="7">
        <f ca="1">O205-(E205+F205-SUM(G205:M205))</f>
        <v>0</v>
      </c>
      <c r="O205" s="8">
        <f>SUMIF('1.5原材料在庫'!A:A,原材料SC明細!A205,'1.5原材料在庫'!D:D)</f>
        <v>5016.2999999999975</v>
      </c>
    </row>
    <row r="206" spans="1:15" x14ac:dyDescent="0.55000000000000004">
      <c r="A206" s="80"/>
      <c r="B206" s="80"/>
      <c r="C206" s="79"/>
      <c r="D206" s="9" t="s">
        <v>19</v>
      </c>
      <c r="E206" s="10">
        <v>2370316.2799316524</v>
      </c>
      <c r="F206" s="10">
        <f>F205*$C205</f>
        <v>18029195</v>
      </c>
      <c r="G206" s="10">
        <f ca="1">G205*$C205</f>
        <v>18445127.757174842</v>
      </c>
      <c r="H206" s="10">
        <f t="shared" ref="H206" si="683">H205*$C205</f>
        <v>3588.2565429395959</v>
      </c>
      <c r="I206" s="10">
        <f t="shared" ref="I206" si="684">I205*$C205</f>
        <v>7269.8077559956218</v>
      </c>
      <c r="J206" s="10">
        <f t="shared" ref="J206" si="685">J205*$C205</f>
        <v>0</v>
      </c>
      <c r="K206" s="10">
        <f t="shared" ref="K206" si="686">K205*$C205</f>
        <v>0</v>
      </c>
      <c r="L206" s="10">
        <f t="shared" ref="L206" si="687">L205*$C205</f>
        <v>10549.474236242411</v>
      </c>
      <c r="M206" s="10">
        <f t="shared" ref="M206" si="688">M205*$C205</f>
        <v>-398.296476266296</v>
      </c>
      <c r="N206" s="11">
        <f t="shared" ref="N206" ca="1" si="689">IFERROR(N205/SUM($E205:$F205)*SUM($E206:$F206),"")</f>
        <v>0</v>
      </c>
      <c r="O206" s="10">
        <f>O205*$C205</f>
        <v>1799977.1296347885</v>
      </c>
    </row>
    <row r="207" spans="1:15" x14ac:dyDescent="0.55000000000000004">
      <c r="A207" s="80">
        <v>202</v>
      </c>
      <c r="B207" s="80" t="s">
        <v>121</v>
      </c>
      <c r="C207" s="78">
        <f>IFERROR(VLOOKUP(A207,'原料標準単価（貼付）'!B:E,3,FALSE),0)</f>
        <v>398.59602649006621</v>
      </c>
      <c r="D207" s="12" t="s">
        <v>18</v>
      </c>
      <c r="E207" s="13">
        <v>30.900000000001</v>
      </c>
      <c r="F207" s="6">
        <f>IFERROR(VLOOKUP(A207,'1.2①原材料受入'!A:E,3,FALSE),0)</f>
        <v>6040</v>
      </c>
      <c r="G207" s="6">
        <f ca="1">SUMIF('1.3②原材料使用'!C:E,A207,'1.3②原材料使用'!E:E)</f>
        <v>6050.7999999999993</v>
      </c>
      <c r="H207" s="6">
        <f>SUMIFS('1.4原材料(その他)'!E:E,'1.4原材料(その他)'!C:C,A:A,'1.4原材料(その他)'!H:H,H$3)</f>
        <v>3</v>
      </c>
      <c r="I207" s="6">
        <f>SUMIFS('1.4原材料(その他)'!E:E,'1.4原材料(その他)'!C:C,A:A,'1.4原材料(その他)'!H:H,I$3)</f>
        <v>0</v>
      </c>
      <c r="J207" s="6">
        <f>SUMIFS('1.4原材料(その他)'!E:E,'1.4原材料(その他)'!C:C,A:A,'1.4原材料(その他)'!H:H,J$3)</f>
        <v>0</v>
      </c>
      <c r="K207" s="6">
        <f>SUMIFS('1.4原材料(その他)'!E:E,'1.4原材料(その他)'!C:C,A:A,'1.4原材料(その他)'!H:H,K$3)</f>
        <v>0</v>
      </c>
      <c r="L207" s="6">
        <f>SUMIFS('1.4原材料(その他)'!E:E,'1.4原材料(その他)'!C:C,A:A,'1.4原材料(その他)'!H:H,L$3)</f>
        <v>0</v>
      </c>
      <c r="M207" s="6">
        <f>SUMIFS('1.4原材料(その他)'!E:E,'1.4原材料(その他)'!C:C,A:A,'1.4原材料(その他)'!H:H,M$3)</f>
        <v>-3.6999999999999997</v>
      </c>
      <c r="N207" s="7">
        <f ca="1">O207-(E207+F207-SUM(G207:M207))</f>
        <v>-6.3238303482648917E-13</v>
      </c>
      <c r="O207" s="8">
        <f>SUMIF('1.5原材料在庫'!A:A,原材料SC明細!A207,'1.5原材料在庫'!D:D)</f>
        <v>20.800000000001369</v>
      </c>
    </row>
    <row r="208" spans="1:15" x14ac:dyDescent="0.55000000000000004">
      <c r="A208" s="80"/>
      <c r="B208" s="80"/>
      <c r="C208" s="79"/>
      <c r="D208" s="9" t="s">
        <v>19</v>
      </c>
      <c r="E208" s="10">
        <v>12290.805372858204</v>
      </c>
      <c r="F208" s="10">
        <f>F207*$C207</f>
        <v>2407520</v>
      </c>
      <c r="G208" s="10">
        <f ca="1">G207*$C207</f>
        <v>2411824.8370860922</v>
      </c>
      <c r="H208" s="10">
        <f t="shared" ref="H208" si="690">H207*$C207</f>
        <v>1195.7880794701987</v>
      </c>
      <c r="I208" s="10">
        <f t="shared" ref="I208" si="691">I207*$C207</f>
        <v>0</v>
      </c>
      <c r="J208" s="10">
        <f t="shared" ref="J208" si="692">J207*$C207</f>
        <v>0</v>
      </c>
      <c r="K208" s="10">
        <f t="shared" ref="K208" si="693">K207*$C207</f>
        <v>0</v>
      </c>
      <c r="L208" s="10">
        <f t="shared" ref="L208" si="694">L207*$C207</f>
        <v>0</v>
      </c>
      <c r="M208" s="10">
        <f t="shared" ref="M208" si="695">M207*$C207</f>
        <v>-1474.805298013245</v>
      </c>
      <c r="N208" s="11">
        <f t="shared" ref="N208" ca="1" si="696">IFERROR(N207/SUM($E207:$F207)*SUM($E208:$F208),"")</f>
        <v>-2.5206267617776915E-10</v>
      </c>
      <c r="O208" s="10">
        <f>O207*$C207</f>
        <v>8290.797350993922</v>
      </c>
    </row>
    <row r="209" spans="1:15" x14ac:dyDescent="0.55000000000000004">
      <c r="A209" s="80">
        <v>203</v>
      </c>
      <c r="B209" s="80" t="s">
        <v>122</v>
      </c>
      <c r="C209" s="78">
        <f>IFERROR(VLOOKUP(A209,'原料標準単価（貼付）'!B:E,3,FALSE),0)</f>
        <v>223.24916943521595</v>
      </c>
      <c r="D209" s="12" t="s">
        <v>18</v>
      </c>
      <c r="E209" s="13">
        <v>31.100000000002183</v>
      </c>
      <c r="F209" s="6">
        <f>IFERROR(VLOOKUP(A209,'1.2①原材料受入'!A:E,3,FALSE),0)</f>
        <v>6020</v>
      </c>
      <c r="G209" s="6">
        <f ca="1">SUMIF('1.3②原材料使用'!C:E,A209,'1.3②原材料使用'!E:E)</f>
        <v>6050.8</v>
      </c>
      <c r="H209" s="6">
        <f>SUMIFS('1.4原材料(その他)'!E:E,'1.4原材料(その他)'!C:C,A:A,'1.4原材料(その他)'!H:H,H$3)</f>
        <v>3</v>
      </c>
      <c r="I209" s="6">
        <f>SUMIFS('1.4原材料(その他)'!E:E,'1.4原材料(その他)'!C:C,A:A,'1.4原材料(その他)'!H:H,I$3)</f>
        <v>0</v>
      </c>
      <c r="J209" s="6">
        <f>SUMIFS('1.4原材料(その他)'!E:E,'1.4原材料(その他)'!C:C,A:A,'1.4原材料(その他)'!H:H,J$3)</f>
        <v>0</v>
      </c>
      <c r="K209" s="6">
        <f>SUMIFS('1.4原材料(その他)'!E:E,'1.4原材料(その他)'!C:C,A:A,'1.4原材料(その他)'!H:H,K$3)</f>
        <v>0</v>
      </c>
      <c r="L209" s="6">
        <f>SUMIFS('1.4原材料(その他)'!E:E,'1.4原材料(その他)'!C:C,A:A,'1.4原材料(その他)'!H:H,L$3)</f>
        <v>0</v>
      </c>
      <c r="M209" s="6">
        <f>SUMIFS('1.4原材料(その他)'!E:E,'1.4原材料(その他)'!C:C,A:A,'1.4原材料(その他)'!H:H,M$3)</f>
        <v>-7.9</v>
      </c>
      <c r="N209" s="7">
        <f ca="1">O209-(E209+F209-SUM(G209:M209))</f>
        <v>-7.3185901783290319E-13</v>
      </c>
      <c r="O209" s="8">
        <f>SUMIF('1.5原材料在庫'!A:A,原材料SC明細!A209,'1.5原材料在庫'!D:D)</f>
        <v>5.2000000000009052</v>
      </c>
    </row>
    <row r="210" spans="1:15" x14ac:dyDescent="0.55000000000000004">
      <c r="A210" s="80"/>
      <c r="B210" s="80"/>
      <c r="C210" s="79"/>
      <c r="D210" s="9" t="s">
        <v>19</v>
      </c>
      <c r="E210" s="10">
        <v>6933.2370312389758</v>
      </c>
      <c r="F210" s="10">
        <f>F209*$C209</f>
        <v>1343960</v>
      </c>
      <c r="G210" s="10">
        <f ca="1">G209*$C209</f>
        <v>1350836.0744186046</v>
      </c>
      <c r="H210" s="10">
        <f t="shared" ref="H210" si="697">H209*$C209</f>
        <v>669.7475083056479</v>
      </c>
      <c r="I210" s="10">
        <f t="shared" ref="I210" si="698">I209*$C209</f>
        <v>0</v>
      </c>
      <c r="J210" s="10">
        <f t="shared" ref="J210" si="699">J209*$C209</f>
        <v>0</v>
      </c>
      <c r="K210" s="10">
        <f t="shared" ref="K210" si="700">K209*$C209</f>
        <v>0</v>
      </c>
      <c r="L210" s="10">
        <f t="shared" ref="L210" si="701">L209*$C209</f>
        <v>0</v>
      </c>
      <c r="M210" s="10">
        <f t="shared" ref="M210" si="702">M209*$C209</f>
        <v>-1763.6684385382061</v>
      </c>
      <c r="N210" s="11">
        <f t="shared" ref="N210" ca="1" si="703">IFERROR(N209/SUM($E209:$F209)*SUM($E210:$F210),"")</f>
        <v>-1.6338573113166093E-10</v>
      </c>
      <c r="O210" s="10">
        <f>O209*$C209</f>
        <v>1160.8956810633251</v>
      </c>
    </row>
    <row r="211" spans="1:15" x14ac:dyDescent="0.55000000000000004">
      <c r="A211" s="80">
        <v>204</v>
      </c>
      <c r="B211" s="80" t="s">
        <v>123</v>
      </c>
      <c r="C211" s="78">
        <f>IFERROR(VLOOKUP(A211,'原料標準単価（貼付）'!B:E,3,FALSE),0)</f>
        <v>1989.795918367347</v>
      </c>
      <c r="D211" s="12" t="s">
        <v>18</v>
      </c>
      <c r="E211" s="13">
        <v>-3.0000000006680239E-3</v>
      </c>
      <c r="F211" s="6">
        <f>IFERROR(VLOOKUP(A211,'1.2①原材料受入'!A:E,3,FALSE),0)</f>
        <v>1176</v>
      </c>
      <c r="G211" s="6">
        <f ca="1">SUMIF('1.3②原材料使用'!C:E,A211,'1.3②原材料使用'!E:E)</f>
        <v>1151.04</v>
      </c>
      <c r="H211" s="6">
        <f>SUMIFS('1.4原材料(その他)'!E:E,'1.4原材料(その他)'!C:C,A:A,'1.4原材料(その他)'!H:H,H$3)</f>
        <v>3.4000000000000004</v>
      </c>
      <c r="I211" s="6">
        <f>SUMIFS('1.4原材料(その他)'!E:E,'1.4原材料(その他)'!C:C,A:A,'1.4原材料(その他)'!H:H,I$3)</f>
        <v>0</v>
      </c>
      <c r="J211" s="6">
        <f>SUMIFS('1.4原材料(その他)'!E:E,'1.4原材料(その他)'!C:C,A:A,'1.4原材料(その他)'!H:H,J$3)</f>
        <v>0</v>
      </c>
      <c r="K211" s="6">
        <f>SUMIFS('1.4原材料(その他)'!E:E,'1.4原材料(その他)'!C:C,A:A,'1.4原材料(その他)'!H:H,K$3)</f>
        <v>0</v>
      </c>
      <c r="L211" s="6">
        <f>SUMIFS('1.4原材料(その他)'!E:E,'1.4原材料(その他)'!C:C,A:A,'1.4原材料(その他)'!H:H,L$3)</f>
        <v>0</v>
      </c>
      <c r="M211" s="6">
        <f>SUMIFS('1.4原材料(その他)'!E:E,'1.4原材料(その他)'!C:C,A:A,'1.4原材料(その他)'!H:H,M$3)</f>
        <v>-5.84</v>
      </c>
      <c r="N211" s="7">
        <f ca="1">O211-(E211+F211-SUM(G211:M211))</f>
        <v>1.6342482922482304E-13</v>
      </c>
      <c r="O211" s="8">
        <f>SUMIF('1.5原材料在庫'!A:A,原材料SC明細!A211,'1.5原材料在庫'!D:D)</f>
        <v>27.396999999999416</v>
      </c>
    </row>
    <row r="212" spans="1:15" x14ac:dyDescent="0.55000000000000004">
      <c r="A212" s="80"/>
      <c r="B212" s="80"/>
      <c r="C212" s="79"/>
      <c r="D212" s="9" t="s">
        <v>19</v>
      </c>
      <c r="E212" s="10">
        <v>-5.4678939774675506</v>
      </c>
      <c r="F212" s="10">
        <f>F211*$C211</f>
        <v>2340000</v>
      </c>
      <c r="G212" s="10">
        <f ca="1">G211*$C211</f>
        <v>2290334.6938775508</v>
      </c>
      <c r="H212" s="10">
        <f t="shared" ref="H212" si="704">H211*$C211</f>
        <v>6765.3061224489802</v>
      </c>
      <c r="I212" s="10">
        <f t="shared" ref="I212" si="705">I211*$C211</f>
        <v>0</v>
      </c>
      <c r="J212" s="10">
        <f t="shared" ref="J212" si="706">J211*$C211</f>
        <v>0</v>
      </c>
      <c r="K212" s="10">
        <f t="shared" ref="K212" si="707">K211*$C211</f>
        <v>0</v>
      </c>
      <c r="L212" s="10">
        <f t="shared" ref="L212" si="708">L211*$C211</f>
        <v>0</v>
      </c>
      <c r="M212" s="10">
        <f t="shared" ref="M212" si="709">M211*$C211</f>
        <v>-11620.408163265307</v>
      </c>
      <c r="N212" s="11">
        <f t="shared" ref="N212" ca="1" si="710">IFERROR(N211/SUM($E211:$F211)*SUM($E212:$F212),"")</f>
        <v>3.251821278425426E-10</v>
      </c>
      <c r="O212" s="10">
        <f>O211*$C211</f>
        <v>54514.438775509043</v>
      </c>
    </row>
    <row r="213" spans="1:15" x14ac:dyDescent="0.55000000000000004">
      <c r="A213" s="80">
        <v>205</v>
      </c>
      <c r="B213" s="80" t="s">
        <v>124</v>
      </c>
      <c r="C213" s="78">
        <f>IFERROR(VLOOKUP(A213,'原料標準単価（貼付）'!B:E,3,FALSE),0)</f>
        <v>274.2</v>
      </c>
      <c r="D213" s="12" t="s">
        <v>18</v>
      </c>
      <c r="E213" s="13">
        <v>8.1570000000000036</v>
      </c>
      <c r="F213" s="6">
        <f>IFERROR(VLOOKUP(A213,'1.2①原材料受入'!A:E,3,FALSE),0)</f>
        <v>25</v>
      </c>
      <c r="G213" s="6">
        <f ca="1">SUMIF('1.3②原材料使用'!C:E,A213,'1.3②原材料使用'!E:E)</f>
        <v>21</v>
      </c>
      <c r="H213" s="6">
        <f>SUMIFS('1.4原材料(その他)'!E:E,'1.4原材料(その他)'!C:C,A:A,'1.4原材料(その他)'!H:H,H$3)</f>
        <v>2</v>
      </c>
      <c r="I213" s="6">
        <f>SUMIFS('1.4原材料(その他)'!E:E,'1.4原材料(その他)'!C:C,A:A,'1.4原材料(その他)'!H:H,I$3)</f>
        <v>0</v>
      </c>
      <c r="J213" s="6">
        <f>SUMIFS('1.4原材料(その他)'!E:E,'1.4原材料(その他)'!C:C,A:A,'1.4原材料(その他)'!H:H,J$3)</f>
        <v>0</v>
      </c>
      <c r="K213" s="6">
        <f>SUMIFS('1.4原材料(その他)'!E:E,'1.4原材料(その他)'!C:C,A:A,'1.4原材料(その他)'!H:H,K$3)</f>
        <v>0</v>
      </c>
      <c r="L213" s="6">
        <f>SUMIFS('1.4原材料(その他)'!E:E,'1.4原材料(その他)'!C:C,A:A,'1.4原材料(その他)'!H:H,L$3)</f>
        <v>0</v>
      </c>
      <c r="M213" s="6">
        <f>SUMIFS('1.4原材料(その他)'!E:E,'1.4原材料(その他)'!C:C,A:A,'1.4原材料(その他)'!H:H,M$3)</f>
        <v>2.06</v>
      </c>
      <c r="N213" s="7">
        <f ca="1">O213-(E213+F213-SUM(G213:M213))</f>
        <v>0</v>
      </c>
      <c r="O213" s="8">
        <f>SUMIF('1.5原材料在庫'!A:A,原材料SC明細!A213,'1.5原材料在庫'!D:D)</f>
        <v>8.0970000000000049</v>
      </c>
    </row>
    <row r="214" spans="1:15" x14ac:dyDescent="0.55000000000000004">
      <c r="A214" s="80"/>
      <c r="B214" s="80"/>
      <c r="C214" s="79"/>
      <c r="D214" s="9" t="s">
        <v>19</v>
      </c>
      <c r="E214" s="10">
        <v>1831.749963552779</v>
      </c>
      <c r="F214" s="10">
        <f>F213*$C213</f>
        <v>6855</v>
      </c>
      <c r="G214" s="10">
        <f ca="1">G213*$C213</f>
        <v>5758.2</v>
      </c>
      <c r="H214" s="10">
        <f t="shared" ref="H214" si="711">H213*$C213</f>
        <v>548.4</v>
      </c>
      <c r="I214" s="10">
        <f t="shared" ref="I214" si="712">I213*$C213</f>
        <v>0</v>
      </c>
      <c r="J214" s="10">
        <f t="shared" ref="J214" si="713">J213*$C213</f>
        <v>0</v>
      </c>
      <c r="K214" s="10">
        <f t="shared" ref="K214" si="714">K213*$C213</f>
        <v>0</v>
      </c>
      <c r="L214" s="10">
        <f t="shared" ref="L214" si="715">L213*$C213</f>
        <v>0</v>
      </c>
      <c r="M214" s="10">
        <f t="shared" ref="M214" si="716">M213*$C213</f>
        <v>564.85199999999998</v>
      </c>
      <c r="N214" s="11">
        <f t="shared" ref="N214" ca="1" si="717">IFERROR(N213/SUM($E213:$F213)*SUM($E214:$F214),"")</f>
        <v>0</v>
      </c>
      <c r="O214" s="10">
        <f>O213*$C213</f>
        <v>2220.1974000000014</v>
      </c>
    </row>
    <row r="215" spans="1:15" x14ac:dyDescent="0.55000000000000004">
      <c r="A215" s="80">
        <v>206</v>
      </c>
      <c r="B215" s="80" t="s">
        <v>125</v>
      </c>
      <c r="C215" s="78">
        <f>IFERROR(VLOOKUP(A215,'原料標準単価（貼付）'!B:E,3,FALSE),0)</f>
        <v>613.98113207547169</v>
      </c>
      <c r="D215" s="12" t="s">
        <v>18</v>
      </c>
      <c r="E215" s="13">
        <v>0.70000000000010942</v>
      </c>
      <c r="F215" s="6">
        <f>IFERROR(VLOOKUP(A215,'1.2①原材料受入'!A:E,3,FALSE),0)</f>
        <v>1802</v>
      </c>
      <c r="G215" s="6">
        <f ca="1">SUMIF('1.3②原材料使用'!C:E,A215,'1.3②原材料使用'!E:E)</f>
        <v>1785</v>
      </c>
      <c r="H215" s="6">
        <f>SUMIFS('1.4原材料(その他)'!E:E,'1.4原材料(その他)'!C:C,A:A,'1.4原材料(その他)'!H:H,H$3)</f>
        <v>4</v>
      </c>
      <c r="I215" s="6">
        <f>SUMIFS('1.4原材料(その他)'!E:E,'1.4原材料(その他)'!C:C,A:A,'1.4原材料(その他)'!H:H,I$3)</f>
        <v>0</v>
      </c>
      <c r="J215" s="6">
        <f>SUMIFS('1.4原材料(その他)'!E:E,'1.4原材料(その他)'!C:C,A:A,'1.4原材料(その他)'!H:H,J$3)</f>
        <v>0</v>
      </c>
      <c r="K215" s="6">
        <f>SUMIFS('1.4原材料(その他)'!E:E,'1.4原材料(その他)'!C:C,A:A,'1.4原材料(その他)'!H:H,K$3)</f>
        <v>0</v>
      </c>
      <c r="L215" s="6">
        <f>SUMIFS('1.4原材料(その他)'!E:E,'1.4原材料(その他)'!C:C,A:A,'1.4原材料(その他)'!H:H,L$3)</f>
        <v>14.3</v>
      </c>
      <c r="M215" s="6">
        <f>SUMIFS('1.4原材料(その他)'!E:E,'1.4原材料(その他)'!C:C,A:A,'1.4原材料(その他)'!H:H,M$3)</f>
        <v>-0.6</v>
      </c>
      <c r="N215" s="7">
        <f ca="1">O215-(E215+F215-SUM(G215:M215))</f>
        <v>1.1013412404281553E-13</v>
      </c>
      <c r="O215" s="8">
        <f>SUMIF('1.5原材料在庫'!A:A,原材料SC明細!A215,'1.5原材料在庫'!D:D)</f>
        <v>1.1013412404281553E-13</v>
      </c>
    </row>
    <row r="216" spans="1:15" x14ac:dyDescent="0.55000000000000004">
      <c r="A216" s="80"/>
      <c r="B216" s="80"/>
      <c r="C216" s="79"/>
      <c r="D216" s="9" t="s">
        <v>19</v>
      </c>
      <c r="E216" s="10">
        <v>410.02345966245366</v>
      </c>
      <c r="F216" s="10">
        <f>F215*$C215</f>
        <v>1106394</v>
      </c>
      <c r="G216" s="10">
        <f ca="1">G215*$C215</f>
        <v>1095956.3207547169</v>
      </c>
      <c r="H216" s="10">
        <f t="shared" ref="H216" si="718">H215*$C215</f>
        <v>2455.9245283018868</v>
      </c>
      <c r="I216" s="10">
        <f t="shared" ref="I216" si="719">I215*$C215</f>
        <v>0</v>
      </c>
      <c r="J216" s="10">
        <f t="shared" ref="J216" si="720">J215*$C215</f>
        <v>0</v>
      </c>
      <c r="K216" s="10">
        <f t="shared" ref="K216" si="721">K215*$C215</f>
        <v>0</v>
      </c>
      <c r="L216" s="10">
        <f t="shared" ref="L216" si="722">L215*$C215</f>
        <v>8779.9301886792455</v>
      </c>
      <c r="M216" s="10">
        <f t="shared" ref="M216" si="723">M215*$C215</f>
        <v>-368.38867924528302</v>
      </c>
      <c r="N216" s="11">
        <f t="shared" ref="N216" ca="1" si="724">IFERROR(N215/SUM($E215:$F215)*SUM($E216:$F216),"")</f>
        <v>6.761906673922103E-11</v>
      </c>
      <c r="O216" s="10">
        <f>O215*$C215</f>
        <v>6.7620274159948307E-11</v>
      </c>
    </row>
    <row r="217" spans="1:15" x14ac:dyDescent="0.55000000000000004">
      <c r="A217" s="80">
        <v>207</v>
      </c>
      <c r="B217" s="80" t="s">
        <v>126</v>
      </c>
      <c r="C217" s="78">
        <f>IFERROR(VLOOKUP(A217,'原料標準単価（貼付）'!B:E,3,FALSE),0)</f>
        <v>9200</v>
      </c>
      <c r="D217" s="12" t="s">
        <v>18</v>
      </c>
      <c r="E217" s="13">
        <v>0.2948399999999971</v>
      </c>
      <c r="F217" s="6">
        <f>IFERROR(VLOOKUP(A217,'1.2①原材料受入'!A:E,3,FALSE),0)</f>
        <v>4</v>
      </c>
      <c r="G217" s="6">
        <f ca="1">SUMIF('1.3②原材料使用'!C:E,A217,'1.3②原材料使用'!E:E)</f>
        <v>2.7519999999999998</v>
      </c>
      <c r="H217" s="6">
        <f>SUMIFS('1.4原材料(その他)'!E:E,'1.4原材料(その他)'!C:C,A:A,'1.4原材料(その他)'!H:H,H$3)</f>
        <v>0</v>
      </c>
      <c r="I217" s="6">
        <f>SUMIFS('1.4原材料(その他)'!E:E,'1.4原材料(その他)'!C:C,A:A,'1.4原材料(その他)'!H:H,I$3)</f>
        <v>0</v>
      </c>
      <c r="J217" s="6">
        <f>SUMIFS('1.4原材料(その他)'!E:E,'1.4原材料(その他)'!C:C,A:A,'1.4原材料(その他)'!H:H,J$3)</f>
        <v>0</v>
      </c>
      <c r="K217" s="6">
        <f>SUMIFS('1.4原材料(その他)'!E:E,'1.4原材料(その他)'!C:C,A:A,'1.4原材料(その他)'!H:H,K$3)</f>
        <v>0</v>
      </c>
      <c r="L217" s="6">
        <f>SUMIFS('1.4原材料(その他)'!E:E,'1.4原材料(その他)'!C:C,A:A,'1.4原材料(その他)'!H:H,L$3)</f>
        <v>9.9000000000000005E-2</v>
      </c>
      <c r="M217" s="6">
        <f>SUMIFS('1.4原材料(その他)'!E:E,'1.4原材料(その他)'!C:C,A:A,'1.4原材料(その他)'!H:H,M$3)</f>
        <v>-1.0999999999999999E-2</v>
      </c>
      <c r="N217" s="7">
        <f ca="1">O217-(E217+F217-SUM(G217:M217))</f>
        <v>0</v>
      </c>
      <c r="O217" s="8">
        <f>SUMIF('1.5原材料在庫'!A:A,原材料SC明細!A217,'1.5原材料在庫'!D:D)</f>
        <v>1.454839999999997</v>
      </c>
    </row>
    <row r="218" spans="1:15" x14ac:dyDescent="0.55000000000000004">
      <c r="A218" s="80"/>
      <c r="B218" s="80"/>
      <c r="C218" s="79"/>
      <c r="D218" s="9" t="s">
        <v>19</v>
      </c>
      <c r="E218" s="10">
        <v>2712.4451946761237</v>
      </c>
      <c r="F218" s="10">
        <f>F217*$C217</f>
        <v>36800</v>
      </c>
      <c r="G218" s="10">
        <f ca="1">G217*$C217</f>
        <v>25318.399999999998</v>
      </c>
      <c r="H218" s="10">
        <f t="shared" ref="H218" si="725">H217*$C217</f>
        <v>0</v>
      </c>
      <c r="I218" s="10">
        <f t="shared" ref="I218" si="726">I217*$C217</f>
        <v>0</v>
      </c>
      <c r="J218" s="10">
        <f t="shared" ref="J218" si="727">J217*$C217</f>
        <v>0</v>
      </c>
      <c r="K218" s="10">
        <f t="shared" ref="K218" si="728">K217*$C217</f>
        <v>0</v>
      </c>
      <c r="L218" s="10">
        <f t="shared" ref="L218" si="729">L217*$C217</f>
        <v>910.80000000000007</v>
      </c>
      <c r="M218" s="10">
        <f t="shared" ref="M218" si="730">M217*$C217</f>
        <v>-101.19999999999999</v>
      </c>
      <c r="N218" s="11">
        <f t="shared" ref="N218" ca="1" si="731">IFERROR(N217/SUM($E217:$F217)*SUM($E218:$F218),"")</f>
        <v>0</v>
      </c>
      <c r="O218" s="10">
        <f>O217*$C217</f>
        <v>13384.527999999973</v>
      </c>
    </row>
    <row r="219" spans="1:15" x14ac:dyDescent="0.55000000000000004">
      <c r="A219" s="80">
        <v>208</v>
      </c>
      <c r="B219" s="80" t="s">
        <v>127</v>
      </c>
      <c r="C219" s="78">
        <f>IFERROR(VLOOKUP(A219,'原料標準単価（貼付）'!B:E,3,FALSE),0)</f>
        <v>0</v>
      </c>
      <c r="D219" s="12" t="s">
        <v>18</v>
      </c>
      <c r="E219" s="13">
        <v>0</v>
      </c>
      <c r="F219" s="6">
        <f>IFERROR(VLOOKUP(A219,'1.2①原材料受入'!A:E,3,FALSE),0)</f>
        <v>0</v>
      </c>
      <c r="G219" s="6">
        <f ca="1">SUMIF('1.3②原材料使用'!C:E,A219,'1.3②原材料使用'!E:E)</f>
        <v>0</v>
      </c>
      <c r="H219" s="6">
        <f>SUMIFS('1.4原材料(その他)'!E:E,'1.4原材料(その他)'!C:C,A:A,'1.4原材料(その他)'!H:H,H$3)</f>
        <v>0</v>
      </c>
      <c r="I219" s="6">
        <f>SUMIFS('1.4原材料(その他)'!E:E,'1.4原材料(その他)'!C:C,A:A,'1.4原材料(その他)'!H:H,I$3)</f>
        <v>0</v>
      </c>
      <c r="J219" s="6">
        <f>SUMIFS('1.4原材料(その他)'!E:E,'1.4原材料(その他)'!C:C,A:A,'1.4原材料(その他)'!H:H,J$3)</f>
        <v>0</v>
      </c>
      <c r="K219" s="6">
        <f>SUMIFS('1.4原材料(その他)'!E:E,'1.4原材料(その他)'!C:C,A:A,'1.4原材料(その他)'!H:H,K$3)</f>
        <v>0</v>
      </c>
      <c r="L219" s="6">
        <f>SUMIFS('1.4原材料(その他)'!E:E,'1.4原材料(その他)'!C:C,A:A,'1.4原材料(その他)'!H:H,L$3)</f>
        <v>0</v>
      </c>
      <c r="M219" s="6">
        <f>SUMIFS('1.4原材料(その他)'!E:E,'1.4原材料(その他)'!C:C,A:A,'1.4原材料(その他)'!H:H,M$3)</f>
        <v>0</v>
      </c>
      <c r="N219" s="7">
        <f ca="1">O219-(E219+F219-SUM(G219:M219))</f>
        <v>0</v>
      </c>
      <c r="O219" s="8">
        <f>SUMIF('1.5原材料在庫'!A:A,原材料SC明細!A219,'1.5原材料在庫'!D:D)</f>
        <v>0</v>
      </c>
    </row>
    <row r="220" spans="1:15" x14ac:dyDescent="0.55000000000000004">
      <c r="A220" s="80"/>
      <c r="B220" s="80"/>
      <c r="C220" s="79"/>
      <c r="D220" s="9" t="s">
        <v>19</v>
      </c>
      <c r="E220" s="10" t="s">
        <v>68</v>
      </c>
      <c r="F220" s="10">
        <f>F219*$C219</f>
        <v>0</v>
      </c>
      <c r="G220" s="10">
        <f ca="1">G219*$C219</f>
        <v>0</v>
      </c>
      <c r="H220" s="10">
        <f t="shared" ref="H220" si="732">H219*$C219</f>
        <v>0</v>
      </c>
      <c r="I220" s="10">
        <f t="shared" ref="I220" si="733">I219*$C219</f>
        <v>0</v>
      </c>
      <c r="J220" s="10">
        <f t="shared" ref="J220" si="734">J219*$C219</f>
        <v>0</v>
      </c>
      <c r="K220" s="10">
        <f t="shared" ref="K220" si="735">K219*$C219</f>
        <v>0</v>
      </c>
      <c r="L220" s="10">
        <f t="shared" ref="L220" si="736">L219*$C219</f>
        <v>0</v>
      </c>
      <c r="M220" s="10">
        <f t="shared" ref="M220" si="737">M219*$C219</f>
        <v>0</v>
      </c>
      <c r="N220" s="11" t="str">
        <f t="shared" ref="N220" ca="1" si="738">IFERROR(N219/SUM($E219:$F219)*SUM($E220:$F220),"")</f>
        <v/>
      </c>
      <c r="O220" s="10">
        <f>O219*$C219</f>
        <v>0</v>
      </c>
    </row>
    <row r="221" spans="1:15" x14ac:dyDescent="0.55000000000000004">
      <c r="A221" s="94">
        <v>209</v>
      </c>
      <c r="B221" s="94" t="s">
        <v>128</v>
      </c>
      <c r="C221" s="78">
        <f>IFERROR(VLOOKUP(A221,'原料標準単価（貼付）'!B:E,3,FALSE),0)</f>
        <v>0</v>
      </c>
      <c r="D221" s="12" t="s">
        <v>18</v>
      </c>
      <c r="E221" s="13">
        <v>0</v>
      </c>
      <c r="F221" s="6">
        <f>IFERROR(VLOOKUP(A221,'1.2①原材料受入'!A:E,3,FALSE),0)</f>
        <v>0</v>
      </c>
      <c r="G221" s="6">
        <f ca="1">SUMIF('1.3②原材料使用'!C:E,A221,'1.3②原材料使用'!E:E)</f>
        <v>0</v>
      </c>
      <c r="H221" s="6">
        <f>SUMIFS('1.4原材料(その他)'!E:E,'1.4原材料(その他)'!C:C,A:A,'1.4原材料(その他)'!H:H,H$3)</f>
        <v>0</v>
      </c>
      <c r="I221" s="6">
        <f>SUMIFS('1.4原材料(その他)'!E:E,'1.4原材料(その他)'!C:C,A:A,'1.4原材料(その他)'!H:H,I$3)</f>
        <v>0</v>
      </c>
      <c r="J221" s="6">
        <f>SUMIFS('1.4原材料(その他)'!E:E,'1.4原材料(その他)'!C:C,A:A,'1.4原材料(その他)'!H:H,J$3)</f>
        <v>0</v>
      </c>
      <c r="K221" s="6">
        <f>SUMIFS('1.4原材料(その他)'!E:E,'1.4原材料(その他)'!C:C,A:A,'1.4原材料(その他)'!H:H,K$3)</f>
        <v>0</v>
      </c>
      <c r="L221" s="6">
        <f>SUMIFS('1.4原材料(その他)'!E:E,'1.4原材料(その他)'!C:C,A:A,'1.4原材料(その他)'!H:H,L$3)</f>
        <v>0</v>
      </c>
      <c r="M221" s="6">
        <f>SUMIFS('1.4原材料(その他)'!E:E,'1.4原材料(その他)'!C:C,A:A,'1.4原材料(その他)'!H:H,M$3)</f>
        <v>0</v>
      </c>
      <c r="N221" s="7">
        <f ca="1">O221-(E221+F221-SUM(G221:M221))</f>
        <v>0</v>
      </c>
      <c r="O221" s="8">
        <f>SUMIF('1.5原材料在庫'!A:A,原材料SC明細!A221,'1.5原材料在庫'!D:D)</f>
        <v>0</v>
      </c>
    </row>
    <row r="222" spans="1:15" x14ac:dyDescent="0.55000000000000004">
      <c r="A222" s="80"/>
      <c r="B222" s="80"/>
      <c r="C222" s="79"/>
      <c r="D222" s="9" t="s">
        <v>19</v>
      </c>
      <c r="E222" s="10">
        <v>0</v>
      </c>
      <c r="F222" s="10">
        <f>F221*$C221</f>
        <v>0</v>
      </c>
      <c r="G222" s="10">
        <f ca="1">G221*$C221</f>
        <v>0</v>
      </c>
      <c r="H222" s="10">
        <f t="shared" ref="H222" si="739">H221*$C221</f>
        <v>0</v>
      </c>
      <c r="I222" s="10">
        <f t="shared" ref="I222" si="740">I221*$C221</f>
        <v>0</v>
      </c>
      <c r="J222" s="10">
        <f t="shared" ref="J222" si="741">J221*$C221</f>
        <v>0</v>
      </c>
      <c r="K222" s="10">
        <f t="shared" ref="K222" si="742">K221*$C221</f>
        <v>0</v>
      </c>
      <c r="L222" s="10">
        <f t="shared" ref="L222" si="743">L221*$C221</f>
        <v>0</v>
      </c>
      <c r="M222" s="10">
        <f t="shared" ref="M222" si="744">M221*$C221</f>
        <v>0</v>
      </c>
      <c r="N222" s="11" t="str">
        <f t="shared" ref="N222" ca="1" si="745">IFERROR(N221/SUM($E221:$F221)*SUM($E222:$F222),"")</f>
        <v/>
      </c>
      <c r="O222" s="10">
        <f>O221*$C221</f>
        <v>0</v>
      </c>
    </row>
    <row r="223" spans="1:15" x14ac:dyDescent="0.55000000000000004">
      <c r="A223" s="94">
        <v>210</v>
      </c>
      <c r="B223" s="94" t="s">
        <v>129</v>
      </c>
      <c r="C223" s="78">
        <f>IFERROR(VLOOKUP(A223,'原料標準単価（貼付）'!B:E,3,FALSE),0)</f>
        <v>0</v>
      </c>
      <c r="D223" s="12" t="s">
        <v>18</v>
      </c>
      <c r="E223" s="13">
        <v>0</v>
      </c>
      <c r="F223" s="6">
        <f>IFERROR(VLOOKUP(A223,'1.2①原材料受入'!A:E,3,FALSE),0)</f>
        <v>0</v>
      </c>
      <c r="G223" s="6">
        <f ca="1">SUMIF('1.3②原材料使用'!C:E,A223,'1.3②原材料使用'!E:E)</f>
        <v>0</v>
      </c>
      <c r="H223" s="6">
        <f>SUMIFS('1.4原材料(その他)'!E:E,'1.4原材料(その他)'!C:C,A:A,'1.4原材料(その他)'!H:H,H$3)</f>
        <v>0</v>
      </c>
      <c r="I223" s="6">
        <f>SUMIFS('1.4原材料(その他)'!E:E,'1.4原材料(その他)'!C:C,A:A,'1.4原材料(その他)'!H:H,I$3)</f>
        <v>0</v>
      </c>
      <c r="J223" s="6">
        <f>SUMIFS('1.4原材料(その他)'!E:E,'1.4原材料(その他)'!C:C,A:A,'1.4原材料(その他)'!H:H,J$3)</f>
        <v>0</v>
      </c>
      <c r="K223" s="6">
        <f>SUMIFS('1.4原材料(その他)'!E:E,'1.4原材料(その他)'!C:C,A:A,'1.4原材料(その他)'!H:H,K$3)</f>
        <v>0</v>
      </c>
      <c r="L223" s="6">
        <f>SUMIFS('1.4原材料(その他)'!E:E,'1.4原材料(その他)'!C:C,A:A,'1.4原材料(その他)'!H:H,L$3)</f>
        <v>0</v>
      </c>
      <c r="M223" s="6">
        <f>SUMIFS('1.4原材料(その他)'!E:E,'1.4原材料(その他)'!C:C,A:A,'1.4原材料(その他)'!H:H,M$3)</f>
        <v>0</v>
      </c>
      <c r="N223" s="7">
        <f ca="1">O223-(E223+F223-SUM(G223:M223))</f>
        <v>0</v>
      </c>
      <c r="O223" s="8">
        <f>SUMIF('1.5原材料在庫'!A:A,原材料SC明細!A223,'1.5原材料在庫'!D:D)</f>
        <v>0</v>
      </c>
    </row>
    <row r="224" spans="1:15" x14ac:dyDescent="0.55000000000000004">
      <c r="A224" s="80"/>
      <c r="B224" s="80"/>
      <c r="C224" s="79"/>
      <c r="D224" s="9" t="s">
        <v>19</v>
      </c>
      <c r="E224" s="10" t="s">
        <v>68</v>
      </c>
      <c r="F224" s="10">
        <f>F223*$C223</f>
        <v>0</v>
      </c>
      <c r="G224" s="10">
        <f ca="1">G223*$C223</f>
        <v>0</v>
      </c>
      <c r="H224" s="10">
        <f t="shared" ref="H224" si="746">H223*$C223</f>
        <v>0</v>
      </c>
      <c r="I224" s="10">
        <f t="shared" ref="I224" si="747">I223*$C223</f>
        <v>0</v>
      </c>
      <c r="J224" s="10">
        <f t="shared" ref="J224" si="748">J223*$C223</f>
        <v>0</v>
      </c>
      <c r="K224" s="10">
        <f t="shared" ref="K224" si="749">K223*$C223</f>
        <v>0</v>
      </c>
      <c r="L224" s="10">
        <f t="shared" ref="L224" si="750">L223*$C223</f>
        <v>0</v>
      </c>
      <c r="M224" s="10">
        <f t="shared" ref="M224" si="751">M223*$C223</f>
        <v>0</v>
      </c>
      <c r="N224" s="11" t="str">
        <f t="shared" ref="N224" ca="1" si="752">IFERROR(N223/SUM($E223:$F223)*SUM($E224:$F224),"")</f>
        <v/>
      </c>
      <c r="O224" s="10">
        <f>O223*$C223</f>
        <v>0</v>
      </c>
    </row>
    <row r="225" spans="1:15" x14ac:dyDescent="0.55000000000000004">
      <c r="A225" s="80">
        <v>211</v>
      </c>
      <c r="B225" s="94" t="s">
        <v>130</v>
      </c>
      <c r="C225" s="78">
        <f>IFERROR(VLOOKUP(A225,'原料標準単価（貼付）'!B:E,3,FALSE),0)</f>
        <v>0</v>
      </c>
      <c r="D225" s="12" t="s">
        <v>18</v>
      </c>
      <c r="E225" s="13">
        <v>0</v>
      </c>
      <c r="F225" s="6">
        <f>IFERROR(VLOOKUP(A225,'1.2①原材料受入'!A:E,3,FALSE),0)</f>
        <v>0</v>
      </c>
      <c r="G225" s="6">
        <f ca="1">SUMIF('1.3②原材料使用'!C:E,A225,'1.3②原材料使用'!E:E)</f>
        <v>0</v>
      </c>
      <c r="H225" s="6">
        <f>SUMIFS('1.4原材料(その他)'!E:E,'1.4原材料(その他)'!C:C,A:A,'1.4原材料(その他)'!H:H,H$3)</f>
        <v>0</v>
      </c>
      <c r="I225" s="6">
        <f>SUMIFS('1.4原材料(その他)'!E:E,'1.4原材料(その他)'!C:C,A:A,'1.4原材料(その他)'!H:H,I$3)</f>
        <v>0</v>
      </c>
      <c r="J225" s="6">
        <f>SUMIFS('1.4原材料(その他)'!E:E,'1.4原材料(その他)'!C:C,A:A,'1.4原材料(その他)'!H:H,J$3)</f>
        <v>0</v>
      </c>
      <c r="K225" s="6">
        <f>SUMIFS('1.4原材料(その他)'!E:E,'1.4原材料(その他)'!C:C,A:A,'1.4原材料(その他)'!H:H,K$3)</f>
        <v>0</v>
      </c>
      <c r="L225" s="6">
        <f>SUMIFS('1.4原材料(その他)'!E:E,'1.4原材料(その他)'!C:C,A:A,'1.4原材料(その他)'!H:H,L$3)</f>
        <v>0</v>
      </c>
      <c r="M225" s="6">
        <f>SUMIFS('1.4原材料(その他)'!E:E,'1.4原材料(その他)'!C:C,A:A,'1.4原材料(その他)'!H:H,M$3)</f>
        <v>0</v>
      </c>
      <c r="N225" s="7">
        <f ca="1">O225-(E225+F225-SUM(G225:M225))</f>
        <v>0</v>
      </c>
      <c r="O225" s="8">
        <f>SUMIF('1.5原材料在庫'!A:A,原材料SC明細!A225,'1.5原材料在庫'!D:D)</f>
        <v>0</v>
      </c>
    </row>
    <row r="226" spans="1:15" x14ac:dyDescent="0.55000000000000004">
      <c r="A226" s="80"/>
      <c r="B226" s="80"/>
      <c r="C226" s="79"/>
      <c r="D226" s="9" t="s">
        <v>19</v>
      </c>
      <c r="E226" s="10">
        <v>0</v>
      </c>
      <c r="F226" s="10">
        <f>F225*$C225</f>
        <v>0</v>
      </c>
      <c r="G226" s="10">
        <f ca="1">G225*$C225</f>
        <v>0</v>
      </c>
      <c r="H226" s="10">
        <f t="shared" ref="H226" si="753">H225*$C225</f>
        <v>0</v>
      </c>
      <c r="I226" s="10">
        <f t="shared" ref="I226" si="754">I225*$C225</f>
        <v>0</v>
      </c>
      <c r="J226" s="10">
        <f t="shared" ref="J226" si="755">J225*$C225</f>
        <v>0</v>
      </c>
      <c r="K226" s="10">
        <f t="shared" ref="K226" si="756">K225*$C225</f>
        <v>0</v>
      </c>
      <c r="L226" s="10">
        <f t="shared" ref="L226" si="757">L225*$C225</f>
        <v>0</v>
      </c>
      <c r="M226" s="10">
        <f t="shared" ref="M226" si="758">M225*$C225</f>
        <v>0</v>
      </c>
      <c r="N226" s="11" t="str">
        <f ca="1">IFERROR(N225/SUM($E225:$F225)*SUM($E226:$F226),"")</f>
        <v/>
      </c>
      <c r="O226" s="10">
        <f>O225*$C225</f>
        <v>0</v>
      </c>
    </row>
    <row r="227" spans="1:15" x14ac:dyDescent="0.55000000000000004">
      <c r="A227" s="80">
        <v>212</v>
      </c>
      <c r="B227" s="94" t="s">
        <v>131</v>
      </c>
      <c r="C227" s="78">
        <f>IFERROR(VLOOKUP(A227,'原料標準単価（貼付）'!B:E,3,FALSE),0)</f>
        <v>0</v>
      </c>
      <c r="D227" s="12" t="s">
        <v>18</v>
      </c>
      <c r="E227" s="13">
        <v>0</v>
      </c>
      <c r="F227" s="6">
        <f>IFERROR(VLOOKUP(A227,'1.2①原材料受入'!A:E,3,FALSE),0)</f>
        <v>0</v>
      </c>
      <c r="G227" s="6">
        <f ca="1">SUMIF('1.3②原材料使用'!C:E,A227,'1.3②原材料使用'!E:E)</f>
        <v>0</v>
      </c>
      <c r="H227" s="6">
        <f>SUMIFS('1.4原材料(その他)'!E:E,'1.4原材料(その他)'!C:C,A:A,'1.4原材料(その他)'!H:H,H$3)</f>
        <v>0</v>
      </c>
      <c r="I227" s="6">
        <f>SUMIFS('1.4原材料(その他)'!E:E,'1.4原材料(その他)'!C:C,A:A,'1.4原材料(その他)'!H:H,I$3)</f>
        <v>0</v>
      </c>
      <c r="J227" s="6">
        <f>SUMIFS('1.4原材料(その他)'!E:E,'1.4原材料(その他)'!C:C,A:A,'1.4原材料(その他)'!H:H,J$3)</f>
        <v>0</v>
      </c>
      <c r="K227" s="6">
        <f>SUMIFS('1.4原材料(その他)'!E:E,'1.4原材料(その他)'!C:C,A:A,'1.4原材料(その他)'!H:H,K$3)</f>
        <v>0</v>
      </c>
      <c r="L227" s="6">
        <f>SUMIFS('1.4原材料(その他)'!E:E,'1.4原材料(その他)'!C:C,A:A,'1.4原材料(その他)'!H:H,L$3)</f>
        <v>0</v>
      </c>
      <c r="M227" s="6">
        <f>SUMIFS('1.4原材料(その他)'!E:E,'1.4原材料(その他)'!C:C,A:A,'1.4原材料(その他)'!H:H,M$3)</f>
        <v>0</v>
      </c>
      <c r="N227" s="7">
        <f ca="1">O227-(E227+F227-SUM(G227:M227))</f>
        <v>0</v>
      </c>
      <c r="O227" s="8">
        <f>SUMIF('1.5原材料在庫'!A:A,原材料SC明細!A227,'1.5原材料在庫'!D:D)</f>
        <v>0</v>
      </c>
    </row>
    <row r="228" spans="1:15" x14ac:dyDescent="0.55000000000000004">
      <c r="A228" s="80"/>
      <c r="B228" s="80"/>
      <c r="C228" s="79"/>
      <c r="D228" s="9" t="s">
        <v>19</v>
      </c>
      <c r="E228" s="10">
        <v>0</v>
      </c>
      <c r="F228" s="10">
        <f>F227*$C227</f>
        <v>0</v>
      </c>
      <c r="G228" s="10">
        <f ca="1">G227*$C227</f>
        <v>0</v>
      </c>
      <c r="H228" s="10">
        <f t="shared" ref="H228" si="759">H227*$C227</f>
        <v>0</v>
      </c>
      <c r="I228" s="10">
        <f t="shared" ref="I228" si="760">I227*$C227</f>
        <v>0</v>
      </c>
      <c r="J228" s="10">
        <f t="shared" ref="J228" si="761">J227*$C227</f>
        <v>0</v>
      </c>
      <c r="K228" s="10">
        <f t="shared" ref="K228" si="762">K227*$C227</f>
        <v>0</v>
      </c>
      <c r="L228" s="10">
        <f t="shared" ref="L228" si="763">L227*$C227</f>
        <v>0</v>
      </c>
      <c r="M228" s="10">
        <f t="shared" ref="M228" si="764">M227*$C227</f>
        <v>0</v>
      </c>
      <c r="N228" s="11" t="str">
        <f ca="1">IFERROR(N227/SUM($E227:$F227)*SUM($E228:$F228),"")</f>
        <v/>
      </c>
      <c r="O228" s="10">
        <f>O227*$C227</f>
        <v>0</v>
      </c>
    </row>
    <row r="229" spans="1:15" x14ac:dyDescent="0.55000000000000004">
      <c r="A229" s="80">
        <v>301</v>
      </c>
      <c r="B229" s="80" t="s">
        <v>132</v>
      </c>
      <c r="C229" s="78">
        <f>IFERROR(VLOOKUP(A229,'原料標準単価（貼付）'!B:E,3,FALSE),0)</f>
        <v>40000</v>
      </c>
      <c r="D229" s="12" t="s">
        <v>18</v>
      </c>
      <c r="E229" s="13">
        <v>4</v>
      </c>
      <c r="F229" s="6">
        <f>IFERROR(VLOOKUP(A229,'1.2①原材料受入'!A:E,3,FALSE),0)</f>
        <v>53</v>
      </c>
      <c r="G229" s="6">
        <f ca="1">SUMIF('1.3②原材料使用'!C:E,A229,'1.3②原材料使用'!E:E)</f>
        <v>47</v>
      </c>
      <c r="H229" s="6">
        <f>SUMIFS('1.4原材料(その他)'!E:E,'1.4原材料(その他)'!C:C,A:A,'1.4原材料(その他)'!H:H,H$3)</f>
        <v>0</v>
      </c>
      <c r="I229" s="6">
        <f>SUMIFS('1.4原材料(その他)'!E:E,'1.4原材料(その他)'!C:C,A:A,'1.4原材料(その他)'!H:H,I$3)</f>
        <v>0</v>
      </c>
      <c r="J229" s="6">
        <f>SUMIFS('1.4原材料(その他)'!E:E,'1.4原材料(その他)'!C:C,A:A,'1.4原材料(その他)'!H:H,J$3)</f>
        <v>0</v>
      </c>
      <c r="K229" s="6">
        <f>SUMIFS('1.4原材料(その他)'!E:E,'1.4原材料(その他)'!C:C,A:A,'1.4原材料(その他)'!H:H,K$3)</f>
        <v>0</v>
      </c>
      <c r="L229" s="6">
        <f>SUMIFS('1.4原材料(その他)'!E:E,'1.4原材料(その他)'!C:C,A:A,'1.4原材料(その他)'!H:H,L$3)</f>
        <v>0</v>
      </c>
      <c r="M229" s="6">
        <f>SUMIFS('1.4原材料(その他)'!E:E,'1.4原材料(その他)'!C:C,A:A,'1.4原材料(その他)'!H:H,M$3)</f>
        <v>0</v>
      </c>
      <c r="N229" s="7">
        <f ca="1">O229-(E229+F229-SUM(G229:M229))</f>
        <v>0</v>
      </c>
      <c r="O229" s="8">
        <f>SUMIF('1.5原材料在庫'!A:A,原材料SC明細!A229,'1.5原材料在庫'!D:D)</f>
        <v>10</v>
      </c>
    </row>
    <row r="230" spans="1:15" x14ac:dyDescent="0.55000000000000004">
      <c r="A230" s="80"/>
      <c r="B230" s="80"/>
      <c r="C230" s="79"/>
      <c r="D230" s="9" t="s">
        <v>19</v>
      </c>
      <c r="E230" s="10">
        <v>159999.99997866122</v>
      </c>
      <c r="F230" s="10">
        <f>F229*$C229</f>
        <v>2120000</v>
      </c>
      <c r="G230" s="10">
        <f ca="1">G229*$C229</f>
        <v>1880000</v>
      </c>
      <c r="H230" s="10">
        <f t="shared" ref="H230" si="765">H229*$C229</f>
        <v>0</v>
      </c>
      <c r="I230" s="10">
        <f t="shared" ref="I230" si="766">I229*$C229</f>
        <v>0</v>
      </c>
      <c r="J230" s="10">
        <f t="shared" ref="J230" si="767">J229*$C229</f>
        <v>0</v>
      </c>
      <c r="K230" s="10">
        <f t="shared" ref="K230" si="768">K229*$C229</f>
        <v>0</v>
      </c>
      <c r="L230" s="10">
        <f t="shared" ref="L230" si="769">L229*$C229</f>
        <v>0</v>
      </c>
      <c r="M230" s="10">
        <f t="shared" ref="M230" si="770">M229*$C229</f>
        <v>0</v>
      </c>
      <c r="N230" s="11">
        <f t="shared" ref="N230" ca="1" si="771">IFERROR(N229/SUM($E229:$F229)*SUM($E230:$F230),"")</f>
        <v>0</v>
      </c>
      <c r="O230" s="10">
        <f>O229*$C229</f>
        <v>400000</v>
      </c>
    </row>
    <row r="231" spans="1:15" x14ac:dyDescent="0.55000000000000004">
      <c r="A231" s="80">
        <v>302</v>
      </c>
      <c r="B231" s="80" t="s">
        <v>133</v>
      </c>
      <c r="C231" s="78">
        <f>IFERROR(VLOOKUP(A231,'原料標準単価（貼付）'!B:E,3,FALSE),0)</f>
        <v>50000</v>
      </c>
      <c r="D231" s="12" t="s">
        <v>18</v>
      </c>
      <c r="E231" s="13">
        <v>1.25</v>
      </c>
      <c r="F231" s="6">
        <f>IFERROR(VLOOKUP(A231,'1.2①原材料受入'!A:E,3,FALSE),0)</f>
        <v>10</v>
      </c>
      <c r="G231" s="6">
        <f ca="1">SUMIF('1.3②原材料使用'!C:E,A231,'1.3②原材料使用'!E:E)</f>
        <v>6.8</v>
      </c>
      <c r="H231" s="6">
        <f>SUMIFS('1.4原材料(その他)'!E:E,'1.4原材料(その他)'!C:C,A:A,'1.4原材料(その他)'!H:H,H$3)</f>
        <v>0</v>
      </c>
      <c r="I231" s="6">
        <f>SUMIFS('1.4原材料(その他)'!E:E,'1.4原材料(その他)'!C:C,A:A,'1.4原材料(その他)'!H:H,I$3)</f>
        <v>0</v>
      </c>
      <c r="J231" s="6">
        <f>SUMIFS('1.4原材料(その他)'!E:E,'1.4原材料(その他)'!C:C,A:A,'1.4原材料(その他)'!H:H,J$3)</f>
        <v>0</v>
      </c>
      <c r="K231" s="6">
        <f>SUMIFS('1.4原材料(その他)'!E:E,'1.4原材料(その他)'!C:C,A:A,'1.4原材料(その他)'!H:H,K$3)</f>
        <v>0</v>
      </c>
      <c r="L231" s="6">
        <f>SUMIFS('1.4原材料(その他)'!E:E,'1.4原材料(その他)'!C:C,A:A,'1.4原材料(その他)'!H:H,L$3)</f>
        <v>4.49</v>
      </c>
      <c r="M231" s="6">
        <f>SUMIFS('1.4原材料(その他)'!E:E,'1.4原材料(その他)'!C:C,A:A,'1.4原材料(その他)'!H:H,M$3)</f>
        <v>-0.04</v>
      </c>
      <c r="N231" s="7">
        <f ca="1">O231-(E231+F231-SUM(G231:M231))</f>
        <v>0</v>
      </c>
      <c r="O231" s="8">
        <f>SUMIF('1.5原材料在庫'!A:A,原材料SC明細!A231,'1.5原材料在庫'!D:D)</f>
        <v>0</v>
      </c>
    </row>
    <row r="232" spans="1:15" x14ac:dyDescent="0.55000000000000004">
      <c r="A232" s="80"/>
      <c r="B232" s="80"/>
      <c r="C232" s="79"/>
      <c r="D232" s="9" t="s">
        <v>19</v>
      </c>
      <c r="E232" s="10">
        <v>62500.000000000007</v>
      </c>
      <c r="F232" s="10">
        <f>F231*$C231</f>
        <v>500000</v>
      </c>
      <c r="G232" s="10">
        <f ca="1">G231*$C231</f>
        <v>340000</v>
      </c>
      <c r="H232" s="10">
        <f t="shared" ref="H232" si="772">H231*$C231</f>
        <v>0</v>
      </c>
      <c r="I232" s="10">
        <f t="shared" ref="I232" si="773">I231*$C231</f>
        <v>0</v>
      </c>
      <c r="J232" s="10">
        <f t="shared" ref="J232" si="774">J231*$C231</f>
        <v>0</v>
      </c>
      <c r="K232" s="10">
        <f t="shared" ref="K232" si="775">K231*$C231</f>
        <v>0</v>
      </c>
      <c r="L232" s="10">
        <f t="shared" ref="L232" si="776">L231*$C231</f>
        <v>224500</v>
      </c>
      <c r="M232" s="10">
        <f t="shared" ref="M232" si="777">M231*$C231</f>
        <v>-2000</v>
      </c>
      <c r="N232" s="11">
        <f t="shared" ref="N232" ca="1" si="778">IFERROR(N231/SUM($E231:$F231)*SUM($E232:$F232),"")</f>
        <v>0</v>
      </c>
      <c r="O232" s="10">
        <f>O231*$C231</f>
        <v>0</v>
      </c>
    </row>
    <row r="233" spans="1:15" x14ac:dyDescent="0.55000000000000004">
      <c r="A233" s="80">
        <v>303</v>
      </c>
      <c r="B233" s="80" t="s">
        <v>134</v>
      </c>
      <c r="C233" s="78">
        <f>IFERROR(VLOOKUP(A233,'原料標準単価（貼付）'!B:E,3,FALSE),0)</f>
        <v>0</v>
      </c>
      <c r="D233" s="15" t="s">
        <v>135</v>
      </c>
      <c r="E233" s="13">
        <v>0</v>
      </c>
      <c r="F233" s="6">
        <f>IFERROR(VLOOKUP(A233,'1.2①原材料受入'!A:E,3,FALSE),0)</f>
        <v>0</v>
      </c>
      <c r="G233" s="6">
        <f ca="1">SUMIF('1.3②原材料使用'!C:E,A233,'1.3②原材料使用'!E:E)</f>
        <v>0</v>
      </c>
      <c r="H233" s="6">
        <f>SUMIFS('1.4原材料(その他)'!E:E,'1.4原材料(その他)'!C:C,A:A,'1.4原材料(その他)'!H:H,H$3)</f>
        <v>0</v>
      </c>
      <c r="I233" s="6">
        <f>SUMIFS('1.4原材料(その他)'!E:E,'1.4原材料(その他)'!C:C,A:A,'1.4原材料(その他)'!H:H,I$3)</f>
        <v>0</v>
      </c>
      <c r="J233" s="6">
        <f>SUMIFS('1.4原材料(その他)'!E:E,'1.4原材料(その他)'!C:C,A:A,'1.4原材料(その他)'!H:H,J$3)</f>
        <v>0</v>
      </c>
      <c r="K233" s="6">
        <f>SUMIFS('1.4原材料(その他)'!E:E,'1.4原材料(その他)'!C:C,A:A,'1.4原材料(その他)'!H:H,K$3)</f>
        <v>0</v>
      </c>
      <c r="L233" s="6">
        <f>SUMIFS('1.4原材料(その他)'!E:E,'1.4原材料(その他)'!C:C,A:A,'1.4原材料(その他)'!H:H,L$3)</f>
        <v>0</v>
      </c>
      <c r="M233" s="6">
        <f>SUMIFS('1.4原材料(その他)'!E:E,'1.4原材料(その他)'!C:C,A:A,'1.4原材料(その他)'!H:H,M$3)</f>
        <v>0</v>
      </c>
      <c r="N233" s="7">
        <f ca="1">O233-(E233+F233-SUM(G233:M233))</f>
        <v>0</v>
      </c>
      <c r="O233" s="8">
        <f>SUMIF('1.5原材料在庫'!A:A,原材料SC明細!A233,'1.5原材料在庫'!D:D)</f>
        <v>0</v>
      </c>
    </row>
    <row r="234" spans="1:15" x14ac:dyDescent="0.55000000000000004">
      <c r="A234" s="80"/>
      <c r="B234" s="80"/>
      <c r="C234" s="79"/>
      <c r="D234" s="9" t="s">
        <v>19</v>
      </c>
      <c r="E234" s="10" t="s">
        <v>68</v>
      </c>
      <c r="F234" s="10">
        <f>F233*$C233</f>
        <v>0</v>
      </c>
      <c r="G234" s="10">
        <f ca="1">G233*$C233</f>
        <v>0</v>
      </c>
      <c r="H234" s="10">
        <f t="shared" ref="H234" si="779">H233*$C233</f>
        <v>0</v>
      </c>
      <c r="I234" s="10">
        <f t="shared" ref="I234" si="780">I233*$C233</f>
        <v>0</v>
      </c>
      <c r="J234" s="10">
        <f t="shared" ref="J234" si="781">J233*$C233</f>
        <v>0</v>
      </c>
      <c r="K234" s="10">
        <f t="shared" ref="K234" si="782">K233*$C233</f>
        <v>0</v>
      </c>
      <c r="L234" s="10">
        <f t="shared" ref="L234" si="783">L233*$C233</f>
        <v>0</v>
      </c>
      <c r="M234" s="10">
        <f t="shared" ref="M234" si="784">M233*$C233</f>
        <v>0</v>
      </c>
      <c r="N234" s="11" t="str">
        <f t="shared" ref="N234" ca="1" si="785">IFERROR(N233/SUM($E233:$F233)*SUM($E234:$F234),"")</f>
        <v/>
      </c>
      <c r="O234" s="10">
        <f>O233*$C233</f>
        <v>0</v>
      </c>
    </row>
    <row r="235" spans="1:15" x14ac:dyDescent="0.55000000000000004">
      <c r="A235" s="80">
        <v>304</v>
      </c>
      <c r="B235" s="80" t="s">
        <v>136</v>
      </c>
      <c r="C235" s="78">
        <f>IFERROR(VLOOKUP(A235,'原料標準単価（貼付）'!B:E,3,FALSE),0)</f>
        <v>0</v>
      </c>
      <c r="D235" s="12" t="s">
        <v>18</v>
      </c>
      <c r="E235" s="13">
        <v>0</v>
      </c>
      <c r="F235" s="6">
        <f>IFERROR(VLOOKUP(A235,'1.2①原材料受入'!A:E,3,FALSE),0)</f>
        <v>0</v>
      </c>
      <c r="G235" s="6">
        <f ca="1">SUMIF('1.3②原材料使用'!C:E,A235,'1.3②原材料使用'!E:E)</f>
        <v>0</v>
      </c>
      <c r="H235" s="6">
        <f>SUMIFS('1.4原材料(その他)'!E:E,'1.4原材料(その他)'!C:C,A:A,'1.4原材料(その他)'!H:H,H$3)</f>
        <v>0</v>
      </c>
      <c r="I235" s="6">
        <f>SUMIFS('1.4原材料(その他)'!E:E,'1.4原材料(その他)'!C:C,A:A,'1.4原材料(その他)'!H:H,I$3)</f>
        <v>0</v>
      </c>
      <c r="J235" s="6">
        <f>SUMIFS('1.4原材料(その他)'!E:E,'1.4原材料(その他)'!C:C,A:A,'1.4原材料(その他)'!H:H,J$3)</f>
        <v>0</v>
      </c>
      <c r="K235" s="6">
        <f>SUMIFS('1.4原材料(その他)'!E:E,'1.4原材料(その他)'!C:C,A:A,'1.4原材料(その他)'!H:H,K$3)</f>
        <v>0</v>
      </c>
      <c r="L235" s="6">
        <f>SUMIFS('1.4原材料(その他)'!E:E,'1.4原材料(その他)'!C:C,A:A,'1.4原材料(その他)'!H:H,L$3)</f>
        <v>0</v>
      </c>
      <c r="M235" s="6">
        <f>SUMIFS('1.4原材料(その他)'!E:E,'1.4原材料(その他)'!C:C,A:A,'1.4原材料(その他)'!H:H,M$3)</f>
        <v>0</v>
      </c>
      <c r="N235" s="7">
        <f ca="1">O235-(E235+F235-SUM(G235:M235))</f>
        <v>0</v>
      </c>
      <c r="O235" s="8">
        <f>SUMIF('1.5原材料在庫'!A:A,原材料SC明細!A235,'1.5原材料在庫'!D:D)</f>
        <v>0</v>
      </c>
    </row>
    <row r="236" spans="1:15" x14ac:dyDescent="0.55000000000000004">
      <c r="A236" s="80"/>
      <c r="B236" s="80"/>
      <c r="C236" s="79"/>
      <c r="D236" s="9" t="s">
        <v>19</v>
      </c>
      <c r="E236" s="10" t="s">
        <v>68</v>
      </c>
      <c r="F236" s="10">
        <f>F235*$C235</f>
        <v>0</v>
      </c>
      <c r="G236" s="10">
        <f ca="1">G235*$C235</f>
        <v>0</v>
      </c>
      <c r="H236" s="10">
        <f t="shared" ref="H236" si="786">H235*$C235</f>
        <v>0</v>
      </c>
      <c r="I236" s="10">
        <f t="shared" ref="I236" si="787">I235*$C235</f>
        <v>0</v>
      </c>
      <c r="J236" s="10">
        <f t="shared" ref="J236" si="788">J235*$C235</f>
        <v>0</v>
      </c>
      <c r="K236" s="10">
        <f t="shared" ref="K236" si="789">K235*$C235</f>
        <v>0</v>
      </c>
      <c r="L236" s="10">
        <f t="shared" ref="L236" si="790">L235*$C235</f>
        <v>0</v>
      </c>
      <c r="M236" s="10">
        <f t="shared" ref="M236" si="791">M235*$C235</f>
        <v>0</v>
      </c>
      <c r="N236" s="11" t="str">
        <f t="shared" ref="N236" ca="1" si="792">IFERROR(N235/SUM($E235:$F235)*SUM($E236:$F236),"")</f>
        <v/>
      </c>
      <c r="O236" s="10">
        <f>O235*$C235</f>
        <v>0</v>
      </c>
    </row>
    <row r="237" spans="1:15" x14ac:dyDescent="0.55000000000000004">
      <c r="A237" s="80">
        <v>305</v>
      </c>
      <c r="B237" s="80" t="s">
        <v>137</v>
      </c>
      <c r="C237" s="78">
        <f>IFERROR(VLOOKUP(A237,'原料標準単価（貼付）'!B:E,3,FALSE),0)</f>
        <v>158000</v>
      </c>
      <c r="D237" s="12" t="s">
        <v>18</v>
      </c>
      <c r="E237" s="13">
        <v>35</v>
      </c>
      <c r="F237" s="6">
        <f>IFERROR(VLOOKUP(A237,'1.2①原材料受入'!A:E,3,FALSE),0)</f>
        <v>0</v>
      </c>
      <c r="G237" s="6">
        <f ca="1">SUMIF('1.3②原材料使用'!C:E,A237,'1.3②原材料使用'!E:E)</f>
        <v>0</v>
      </c>
      <c r="H237" s="6">
        <f>SUMIFS('1.4原材料(その他)'!E:E,'1.4原材料(その他)'!C:C,A:A,'1.4原材料(その他)'!H:H,H$3)</f>
        <v>0</v>
      </c>
      <c r="I237" s="6">
        <f>SUMIFS('1.4原材料(その他)'!E:E,'1.4原材料(その他)'!C:C,A:A,'1.4原材料(その他)'!H:H,I$3)</f>
        <v>0</v>
      </c>
      <c r="J237" s="6">
        <f>SUMIFS('1.4原材料(その他)'!E:E,'1.4原材料(その他)'!C:C,A:A,'1.4原材料(その他)'!H:H,J$3)</f>
        <v>0</v>
      </c>
      <c r="K237" s="6">
        <f>SUMIFS('1.4原材料(その他)'!E:E,'1.4原材料(その他)'!C:C,A:A,'1.4原材料(その他)'!H:H,K$3)</f>
        <v>0</v>
      </c>
      <c r="L237" s="6">
        <f>SUMIFS('1.4原材料(その他)'!E:E,'1.4原材料(その他)'!C:C,A:A,'1.4原材料(その他)'!H:H,L$3)</f>
        <v>0</v>
      </c>
      <c r="M237" s="6">
        <f>SUMIFS('1.4原材料(その他)'!E:E,'1.4原材料(その他)'!C:C,A:A,'1.4原材料(その他)'!H:H,M$3)</f>
        <v>0</v>
      </c>
      <c r="N237" s="7">
        <f ca="1">O237-(E237+F237-SUM(G237:M237))</f>
        <v>0</v>
      </c>
      <c r="O237" s="8">
        <f>SUMIF('1.5原材料在庫'!A:A,原材料SC明細!A237,'1.5原材料在庫'!D:D)</f>
        <v>35</v>
      </c>
    </row>
    <row r="238" spans="1:15" x14ac:dyDescent="0.55000000000000004">
      <c r="A238" s="80"/>
      <c r="B238" s="80"/>
      <c r="C238" s="79"/>
      <c r="D238" s="9" t="s">
        <v>19</v>
      </c>
      <c r="E238" s="10">
        <v>5530000</v>
      </c>
      <c r="F238" s="10">
        <f>F237*$C237</f>
        <v>0</v>
      </c>
      <c r="G238" s="10">
        <f ca="1">G237*$C237</f>
        <v>0</v>
      </c>
      <c r="H238" s="10">
        <f t="shared" ref="H238" si="793">H237*$C237</f>
        <v>0</v>
      </c>
      <c r="I238" s="10">
        <f t="shared" ref="I238" si="794">I237*$C237</f>
        <v>0</v>
      </c>
      <c r="J238" s="10">
        <f t="shared" ref="J238" si="795">J237*$C237</f>
        <v>0</v>
      </c>
      <c r="K238" s="10">
        <f t="shared" ref="K238" si="796">K237*$C237</f>
        <v>0</v>
      </c>
      <c r="L238" s="10">
        <f t="shared" ref="L238" si="797">L237*$C237</f>
        <v>0</v>
      </c>
      <c r="M238" s="10">
        <f t="shared" ref="M238" si="798">M237*$C237</f>
        <v>0</v>
      </c>
      <c r="N238" s="11">
        <f t="shared" ref="N238" ca="1" si="799">IFERROR(N237/SUM($E237:$F237)*SUM($E238:$F238),"")</f>
        <v>0</v>
      </c>
      <c r="O238" s="10">
        <f>O237*$C237</f>
        <v>5530000</v>
      </c>
    </row>
    <row r="239" spans="1:15" x14ac:dyDescent="0.55000000000000004">
      <c r="A239" s="80">
        <v>306</v>
      </c>
      <c r="B239" s="80" t="s">
        <v>138</v>
      </c>
      <c r="C239" s="78">
        <f>IFERROR(VLOOKUP(A239,'原料標準単価（貼付）'!B:E,3,FALSE),0)</f>
        <v>0</v>
      </c>
      <c r="D239" s="15" t="s">
        <v>135</v>
      </c>
      <c r="E239" s="13">
        <v>-3.5527136788005009E-15</v>
      </c>
      <c r="F239" s="6">
        <f>IFERROR(VLOOKUP(A239,'1.2①原材料受入'!A:E,3,FALSE),0)</f>
        <v>0</v>
      </c>
      <c r="G239" s="6">
        <f ca="1">SUMIF('1.3②原材料使用'!C:E,A239,'1.3②原材料使用'!E:E)</f>
        <v>0</v>
      </c>
      <c r="H239" s="6">
        <f>SUMIFS('1.4原材料(その他)'!E:E,'1.4原材料(その他)'!C:C,A:A,'1.4原材料(その他)'!H:H,H$3)</f>
        <v>0</v>
      </c>
      <c r="I239" s="6">
        <f>SUMIFS('1.4原材料(その他)'!E:E,'1.4原材料(その他)'!C:C,A:A,'1.4原材料(その他)'!H:H,I$3)</f>
        <v>0</v>
      </c>
      <c r="J239" s="6">
        <f>SUMIFS('1.4原材料(その他)'!E:E,'1.4原材料(その他)'!C:C,A:A,'1.4原材料(その他)'!H:H,J$3)</f>
        <v>0</v>
      </c>
      <c r="K239" s="6">
        <f>SUMIFS('1.4原材料(その他)'!E:E,'1.4原材料(その他)'!C:C,A:A,'1.4原材料(その他)'!H:H,K$3)</f>
        <v>0</v>
      </c>
      <c r="L239" s="6">
        <f>SUMIFS('1.4原材料(その他)'!E:E,'1.4原材料(その他)'!C:C,A:A,'1.4原材料(その他)'!H:H,L$3)</f>
        <v>0</v>
      </c>
      <c r="M239" s="6">
        <f>SUMIFS('1.4原材料(その他)'!E:E,'1.4原材料(その他)'!C:C,A:A,'1.4原材料(その他)'!H:H,M$3)</f>
        <v>0</v>
      </c>
      <c r="N239" s="7">
        <f ca="1">O239-(E239+F239-SUM(G239:M239))</f>
        <v>0</v>
      </c>
      <c r="O239" s="8">
        <f>SUMIF('1.5原材料在庫'!A:A,原材料SC明細!A239,'1.5原材料在庫'!D:D)</f>
        <v>-3.5527136788005009E-15</v>
      </c>
    </row>
    <row r="240" spans="1:15" x14ac:dyDescent="0.55000000000000004">
      <c r="A240" s="80"/>
      <c r="B240" s="80"/>
      <c r="C240" s="79"/>
      <c r="D240" s="9" t="s">
        <v>19</v>
      </c>
      <c r="E240" s="10">
        <v>-5.3290705182007514E-14</v>
      </c>
      <c r="F240" s="10">
        <f>F239*$C239</f>
        <v>0</v>
      </c>
      <c r="G240" s="10">
        <f ca="1">G239*$C239</f>
        <v>0</v>
      </c>
      <c r="H240" s="10">
        <f t="shared" ref="H240" si="800">H239*$C239</f>
        <v>0</v>
      </c>
      <c r="I240" s="10">
        <f t="shared" ref="I240" si="801">I239*$C239</f>
        <v>0</v>
      </c>
      <c r="J240" s="10">
        <f t="shared" ref="J240" si="802">J239*$C239</f>
        <v>0</v>
      </c>
      <c r="K240" s="10">
        <f t="shared" ref="K240" si="803">K239*$C239</f>
        <v>0</v>
      </c>
      <c r="L240" s="10">
        <f t="shared" ref="L240" si="804">L239*$C239</f>
        <v>0</v>
      </c>
      <c r="M240" s="10">
        <f t="shared" ref="M240" si="805">M239*$C239</f>
        <v>0</v>
      </c>
      <c r="N240" s="11">
        <f t="shared" ref="N240" ca="1" si="806">IFERROR(N239/SUM($E239:$F239)*SUM($E240:$F240),"")</f>
        <v>0</v>
      </c>
      <c r="O240" s="10">
        <f>O239*$C239</f>
        <v>0</v>
      </c>
    </row>
    <row r="241" spans="1:15" x14ac:dyDescent="0.55000000000000004">
      <c r="A241" s="80">
        <v>307</v>
      </c>
      <c r="B241" s="80" t="s">
        <v>139</v>
      </c>
      <c r="C241" s="78">
        <f>IFERROR(VLOOKUP(A241,'原料標準単価（貼付）'!B:E,3,FALSE),0)</f>
        <v>0</v>
      </c>
      <c r="D241" s="15" t="s">
        <v>135</v>
      </c>
      <c r="E241" s="13">
        <v>0</v>
      </c>
      <c r="F241" s="6">
        <f>IFERROR(VLOOKUP(A241,'1.2①原材料受入'!A:E,3,FALSE),0)</f>
        <v>0</v>
      </c>
      <c r="G241" s="6">
        <f ca="1">SUMIF('1.3②原材料使用'!C:E,A241,'1.3②原材料使用'!E:E)</f>
        <v>0</v>
      </c>
      <c r="H241" s="6">
        <f>SUMIFS('1.4原材料(その他)'!E:E,'1.4原材料(その他)'!C:C,A:A,'1.4原材料(その他)'!H:H,H$3)</f>
        <v>0</v>
      </c>
      <c r="I241" s="6">
        <f>SUMIFS('1.4原材料(その他)'!E:E,'1.4原材料(その他)'!C:C,A:A,'1.4原材料(その他)'!H:H,I$3)</f>
        <v>0</v>
      </c>
      <c r="J241" s="6">
        <f>SUMIFS('1.4原材料(その他)'!E:E,'1.4原材料(その他)'!C:C,A:A,'1.4原材料(その他)'!H:H,J$3)</f>
        <v>0</v>
      </c>
      <c r="K241" s="6">
        <f>SUMIFS('1.4原材料(その他)'!E:E,'1.4原材料(その他)'!C:C,A:A,'1.4原材料(その他)'!H:H,K$3)</f>
        <v>0</v>
      </c>
      <c r="L241" s="6">
        <f>SUMIFS('1.4原材料(その他)'!E:E,'1.4原材料(その他)'!C:C,A:A,'1.4原材料(その他)'!H:H,L$3)</f>
        <v>0</v>
      </c>
      <c r="M241" s="6">
        <f>SUMIFS('1.4原材料(その他)'!E:E,'1.4原材料(その他)'!C:C,A:A,'1.4原材料(その他)'!H:H,M$3)</f>
        <v>0</v>
      </c>
      <c r="N241" s="7">
        <f ca="1">O241-(E241+F241-SUM(G241:M241))</f>
        <v>0</v>
      </c>
      <c r="O241" s="8">
        <f>SUMIF('1.5原材料在庫'!A:A,原材料SC明細!A241,'1.5原材料在庫'!D:D)</f>
        <v>0</v>
      </c>
    </row>
    <row r="242" spans="1:15" x14ac:dyDescent="0.55000000000000004">
      <c r="A242" s="80"/>
      <c r="B242" s="80"/>
      <c r="C242" s="79"/>
      <c r="D242" s="9" t="s">
        <v>19</v>
      </c>
      <c r="E242" s="10" t="s">
        <v>68</v>
      </c>
      <c r="F242" s="10">
        <f>F241*$C241</f>
        <v>0</v>
      </c>
      <c r="G242" s="10">
        <f ca="1">G241*$C241</f>
        <v>0</v>
      </c>
      <c r="H242" s="10">
        <f t="shared" ref="H242" si="807">H241*$C241</f>
        <v>0</v>
      </c>
      <c r="I242" s="10">
        <f t="shared" ref="I242" si="808">I241*$C241</f>
        <v>0</v>
      </c>
      <c r="J242" s="10">
        <f t="shared" ref="J242" si="809">J241*$C241</f>
        <v>0</v>
      </c>
      <c r="K242" s="10">
        <f t="shared" ref="K242" si="810">K241*$C241</f>
        <v>0</v>
      </c>
      <c r="L242" s="10">
        <f t="shared" ref="L242" si="811">L241*$C241</f>
        <v>0</v>
      </c>
      <c r="M242" s="10">
        <f t="shared" ref="M242" si="812">M241*$C241</f>
        <v>0</v>
      </c>
      <c r="N242" s="11" t="str">
        <f t="shared" ref="N242" ca="1" si="813">IFERROR(N241/SUM($E241:$F241)*SUM($E242:$F242),"")</f>
        <v/>
      </c>
      <c r="O242" s="10">
        <f>O241*$C241</f>
        <v>0</v>
      </c>
    </row>
    <row r="243" spans="1:15" x14ac:dyDescent="0.55000000000000004">
      <c r="A243" s="80">
        <v>308</v>
      </c>
      <c r="B243" s="80" t="s">
        <v>140</v>
      </c>
      <c r="C243" s="78">
        <f>IFERROR(VLOOKUP(A243,'原料標準単価（貼付）'!B:E,3,FALSE),0)</f>
        <v>0</v>
      </c>
      <c r="D243" s="12" t="s">
        <v>18</v>
      </c>
      <c r="E243" s="13">
        <v>0</v>
      </c>
      <c r="F243" s="6">
        <f>IFERROR(VLOOKUP(A243,'1.2①原材料受入'!A:E,3,FALSE),0)</f>
        <v>0</v>
      </c>
      <c r="G243" s="6">
        <f ca="1">SUMIF('1.3②原材料使用'!C:E,A243,'1.3②原材料使用'!E:E)</f>
        <v>0</v>
      </c>
      <c r="H243" s="6">
        <f>SUMIFS('1.4原材料(その他)'!E:E,'1.4原材料(その他)'!C:C,A:A,'1.4原材料(その他)'!H:H,H$3)</f>
        <v>0</v>
      </c>
      <c r="I243" s="6">
        <f>SUMIFS('1.4原材料(その他)'!E:E,'1.4原材料(その他)'!C:C,A:A,'1.4原材料(その他)'!H:H,I$3)</f>
        <v>0</v>
      </c>
      <c r="J243" s="6">
        <f>SUMIFS('1.4原材料(その他)'!E:E,'1.4原材料(その他)'!C:C,A:A,'1.4原材料(その他)'!H:H,J$3)</f>
        <v>0</v>
      </c>
      <c r="K243" s="6">
        <f>SUMIFS('1.4原材料(その他)'!E:E,'1.4原材料(その他)'!C:C,A:A,'1.4原材料(その他)'!H:H,K$3)</f>
        <v>0</v>
      </c>
      <c r="L243" s="6">
        <f>SUMIFS('1.4原材料(その他)'!E:E,'1.4原材料(その他)'!C:C,A:A,'1.4原材料(その他)'!H:H,L$3)</f>
        <v>0</v>
      </c>
      <c r="M243" s="6">
        <f>SUMIFS('1.4原材料(その他)'!E:E,'1.4原材料(その他)'!C:C,A:A,'1.4原材料(その他)'!H:H,M$3)</f>
        <v>0</v>
      </c>
      <c r="N243" s="7">
        <f ca="1">O243-(E243+F243-SUM(G243:M243))</f>
        <v>0</v>
      </c>
      <c r="O243" s="8">
        <f>SUMIF('1.5原材料在庫'!A:A,原材料SC明細!A243,'1.5原材料在庫'!D:D)</f>
        <v>0</v>
      </c>
    </row>
    <row r="244" spans="1:15" x14ac:dyDescent="0.55000000000000004">
      <c r="A244" s="80"/>
      <c r="B244" s="80"/>
      <c r="C244" s="79"/>
      <c r="D244" s="9" t="s">
        <v>19</v>
      </c>
      <c r="E244" s="10" t="s">
        <v>68</v>
      </c>
      <c r="F244" s="10">
        <f>F243*$C243</f>
        <v>0</v>
      </c>
      <c r="G244" s="10">
        <f ca="1">G243*$C243</f>
        <v>0</v>
      </c>
      <c r="H244" s="10">
        <f t="shared" ref="H244" si="814">H243*$C243</f>
        <v>0</v>
      </c>
      <c r="I244" s="10">
        <f t="shared" ref="I244" si="815">I243*$C243</f>
        <v>0</v>
      </c>
      <c r="J244" s="10">
        <f t="shared" ref="J244" si="816">J243*$C243</f>
        <v>0</v>
      </c>
      <c r="K244" s="10">
        <f t="shared" ref="K244" si="817">K243*$C243</f>
        <v>0</v>
      </c>
      <c r="L244" s="10">
        <f t="shared" ref="L244" si="818">L243*$C243</f>
        <v>0</v>
      </c>
      <c r="M244" s="10">
        <f t="shared" ref="M244" si="819">M243*$C243</f>
        <v>0</v>
      </c>
      <c r="N244" s="11" t="str">
        <f t="shared" ref="N244" ca="1" si="820">IFERROR(N243/SUM($E243:$F243)*SUM($E244:$F244),"")</f>
        <v/>
      </c>
      <c r="O244" s="10">
        <f>O243*$C243</f>
        <v>0</v>
      </c>
    </row>
    <row r="245" spans="1:15" x14ac:dyDescent="0.55000000000000004">
      <c r="A245" s="80">
        <v>309</v>
      </c>
      <c r="B245" s="80" t="s">
        <v>141</v>
      </c>
      <c r="C245" s="78">
        <f>IFERROR(VLOOKUP(A245,'原料標準単価（貼付）'!B:E,3,FALSE),0)</f>
        <v>0</v>
      </c>
      <c r="D245" s="12" t="s">
        <v>18</v>
      </c>
      <c r="E245" s="13">
        <v>0</v>
      </c>
      <c r="F245" s="6">
        <f>IFERROR(VLOOKUP(A245,'1.2①原材料受入'!A:E,3,FALSE),0)</f>
        <v>0</v>
      </c>
      <c r="G245" s="6">
        <f ca="1">SUMIF('1.3②原材料使用'!C:E,A245,'1.3②原材料使用'!E:E)</f>
        <v>0</v>
      </c>
      <c r="H245" s="6">
        <f>SUMIFS('1.4原材料(その他)'!E:E,'1.4原材料(その他)'!C:C,A:A,'1.4原材料(その他)'!H:H,H$3)</f>
        <v>0</v>
      </c>
      <c r="I245" s="6">
        <f>SUMIFS('1.4原材料(その他)'!E:E,'1.4原材料(その他)'!C:C,A:A,'1.4原材料(その他)'!H:H,I$3)</f>
        <v>0</v>
      </c>
      <c r="J245" s="6">
        <f>SUMIFS('1.4原材料(その他)'!E:E,'1.4原材料(その他)'!C:C,A:A,'1.4原材料(その他)'!H:H,J$3)</f>
        <v>0</v>
      </c>
      <c r="K245" s="6">
        <f>SUMIFS('1.4原材料(その他)'!E:E,'1.4原材料(その他)'!C:C,A:A,'1.4原材料(その他)'!H:H,K$3)</f>
        <v>0</v>
      </c>
      <c r="L245" s="6">
        <f>SUMIFS('1.4原材料(その他)'!E:E,'1.4原材料(その他)'!C:C,A:A,'1.4原材料(その他)'!H:H,L$3)</f>
        <v>0</v>
      </c>
      <c r="M245" s="6">
        <f>SUMIFS('1.4原材料(その他)'!E:E,'1.4原材料(その他)'!C:C,A:A,'1.4原材料(その他)'!H:H,M$3)</f>
        <v>0</v>
      </c>
      <c r="N245" s="7">
        <f ca="1">O245-(E245+F245-SUM(G245:M245))</f>
        <v>0</v>
      </c>
      <c r="O245" s="8">
        <f>SUMIF('1.5原材料在庫'!A:A,原材料SC明細!A245,'1.5原材料在庫'!D:D)</f>
        <v>0</v>
      </c>
    </row>
    <row r="246" spans="1:15" x14ac:dyDescent="0.55000000000000004">
      <c r="A246" s="80"/>
      <c r="B246" s="80"/>
      <c r="C246" s="79"/>
      <c r="D246" s="9" t="s">
        <v>19</v>
      </c>
      <c r="E246" s="10" t="s">
        <v>68</v>
      </c>
      <c r="F246" s="10">
        <f>F245*$C245</f>
        <v>0</v>
      </c>
      <c r="G246" s="10">
        <f ca="1">G245*$C245</f>
        <v>0</v>
      </c>
      <c r="H246" s="10">
        <f t="shared" ref="H246" si="821">H245*$C245</f>
        <v>0</v>
      </c>
      <c r="I246" s="10">
        <f t="shared" ref="I246" si="822">I245*$C245</f>
        <v>0</v>
      </c>
      <c r="J246" s="10">
        <f t="shared" ref="J246" si="823">J245*$C245</f>
        <v>0</v>
      </c>
      <c r="K246" s="10">
        <f t="shared" ref="K246" si="824">K245*$C245</f>
        <v>0</v>
      </c>
      <c r="L246" s="10">
        <f t="shared" ref="L246" si="825">L245*$C245</f>
        <v>0</v>
      </c>
      <c r="M246" s="10">
        <f t="shared" ref="M246" si="826">M245*$C245</f>
        <v>0</v>
      </c>
      <c r="N246" s="11" t="str">
        <f t="shared" ref="N246" ca="1" si="827">IFERROR(N245/SUM($E245:$F245)*SUM($E246:$F246),"")</f>
        <v/>
      </c>
      <c r="O246" s="10">
        <f>O245*$C245</f>
        <v>0</v>
      </c>
    </row>
    <row r="247" spans="1:15" x14ac:dyDescent="0.55000000000000004">
      <c r="A247" s="80">
        <v>310</v>
      </c>
      <c r="B247" s="80" t="s">
        <v>142</v>
      </c>
      <c r="C247" s="78">
        <f>IFERROR(VLOOKUP(A247,'原料標準単価（貼付）'!B:E,3,FALSE),0)</f>
        <v>0</v>
      </c>
      <c r="D247" s="12" t="s">
        <v>18</v>
      </c>
      <c r="E247" s="13">
        <v>0</v>
      </c>
      <c r="F247" s="6">
        <f>IFERROR(VLOOKUP(A247,'1.2①原材料受入'!A:E,3,FALSE),0)</f>
        <v>0</v>
      </c>
      <c r="G247" s="6">
        <f ca="1">SUMIF('1.3②原材料使用'!C:E,A247,'1.3②原材料使用'!E:E)</f>
        <v>0</v>
      </c>
      <c r="H247" s="6">
        <f>SUMIFS('1.4原材料(その他)'!E:E,'1.4原材料(その他)'!C:C,A:A,'1.4原材料(その他)'!H:H,H$3)</f>
        <v>0</v>
      </c>
      <c r="I247" s="6">
        <f>SUMIFS('1.4原材料(その他)'!E:E,'1.4原材料(その他)'!C:C,A:A,'1.4原材料(その他)'!H:H,I$3)</f>
        <v>0</v>
      </c>
      <c r="J247" s="6">
        <f>SUMIFS('1.4原材料(その他)'!E:E,'1.4原材料(その他)'!C:C,A:A,'1.4原材料(その他)'!H:H,J$3)</f>
        <v>0</v>
      </c>
      <c r="K247" s="6">
        <f>SUMIFS('1.4原材料(その他)'!E:E,'1.4原材料(その他)'!C:C,A:A,'1.4原材料(その他)'!H:H,K$3)</f>
        <v>0</v>
      </c>
      <c r="L247" s="6">
        <f>SUMIFS('1.4原材料(その他)'!E:E,'1.4原材料(その他)'!C:C,A:A,'1.4原材料(その他)'!H:H,L$3)</f>
        <v>0</v>
      </c>
      <c r="M247" s="6">
        <f>SUMIFS('1.4原材料(その他)'!E:E,'1.4原材料(その他)'!C:C,A:A,'1.4原材料(その他)'!H:H,M$3)</f>
        <v>0</v>
      </c>
      <c r="N247" s="7">
        <f ca="1">O247-(E247+F247-SUM(G247:M247))</f>
        <v>0</v>
      </c>
      <c r="O247" s="8">
        <f>SUMIF('1.5原材料在庫'!A:A,原材料SC明細!A247,'1.5原材料在庫'!D:D)</f>
        <v>0</v>
      </c>
    </row>
    <row r="248" spans="1:15" x14ac:dyDescent="0.55000000000000004">
      <c r="A248" s="80"/>
      <c r="B248" s="80"/>
      <c r="C248" s="79"/>
      <c r="D248" s="9" t="s">
        <v>19</v>
      </c>
      <c r="E248" s="10" t="s">
        <v>68</v>
      </c>
      <c r="F248" s="10">
        <f>F247*$C247</f>
        <v>0</v>
      </c>
      <c r="G248" s="10">
        <f ca="1">G247*$C247</f>
        <v>0</v>
      </c>
      <c r="H248" s="10">
        <f t="shared" ref="H248" si="828">H247*$C247</f>
        <v>0</v>
      </c>
      <c r="I248" s="10">
        <f t="shared" ref="I248" si="829">I247*$C247</f>
        <v>0</v>
      </c>
      <c r="J248" s="10">
        <f t="shared" ref="J248" si="830">J247*$C247</f>
        <v>0</v>
      </c>
      <c r="K248" s="10">
        <f t="shared" ref="K248" si="831">K247*$C247</f>
        <v>0</v>
      </c>
      <c r="L248" s="10">
        <f t="shared" ref="L248" si="832">L247*$C247</f>
        <v>0</v>
      </c>
      <c r="M248" s="10">
        <f t="shared" ref="M248" si="833">M247*$C247</f>
        <v>0</v>
      </c>
      <c r="N248" s="11" t="str">
        <f t="shared" ref="N248" ca="1" si="834">IFERROR(N247/SUM($E247:$F247)*SUM($E248:$F248),"")</f>
        <v/>
      </c>
      <c r="O248" s="10">
        <f>O247*$C247</f>
        <v>0</v>
      </c>
    </row>
    <row r="249" spans="1:15" x14ac:dyDescent="0.55000000000000004">
      <c r="A249" s="80">
        <v>311</v>
      </c>
      <c r="B249" s="80" t="s">
        <v>143</v>
      </c>
      <c r="C249" s="78">
        <f>IFERROR(VLOOKUP(A249,'原料標準単価（貼付）'!B:E,3,FALSE),0)</f>
        <v>0</v>
      </c>
      <c r="D249" s="12" t="s">
        <v>18</v>
      </c>
      <c r="E249" s="13">
        <v>0</v>
      </c>
      <c r="F249" s="6">
        <f>IFERROR(VLOOKUP(A249,'1.2①原材料受入'!A:E,3,FALSE),0)</f>
        <v>0</v>
      </c>
      <c r="G249" s="6">
        <f ca="1">SUMIF('1.3②原材料使用'!C:E,A249,'1.3②原材料使用'!E:E)</f>
        <v>0</v>
      </c>
      <c r="H249" s="6">
        <f>SUMIFS('1.4原材料(その他)'!E:E,'1.4原材料(その他)'!C:C,A:A,'1.4原材料(その他)'!H:H,H$3)</f>
        <v>0</v>
      </c>
      <c r="I249" s="6">
        <f>SUMIFS('1.4原材料(その他)'!E:E,'1.4原材料(その他)'!C:C,A:A,'1.4原材料(その他)'!H:H,I$3)</f>
        <v>0</v>
      </c>
      <c r="J249" s="6">
        <f>SUMIFS('1.4原材料(その他)'!E:E,'1.4原材料(その他)'!C:C,A:A,'1.4原材料(その他)'!H:H,J$3)</f>
        <v>0</v>
      </c>
      <c r="K249" s="6">
        <f>SUMIFS('1.4原材料(その他)'!E:E,'1.4原材料(その他)'!C:C,A:A,'1.4原材料(その他)'!H:H,K$3)</f>
        <v>0</v>
      </c>
      <c r="L249" s="6">
        <f>SUMIFS('1.4原材料(その他)'!E:E,'1.4原材料(その他)'!C:C,A:A,'1.4原材料(その他)'!H:H,L$3)</f>
        <v>0</v>
      </c>
      <c r="M249" s="6">
        <f>SUMIFS('1.4原材料(その他)'!E:E,'1.4原材料(その他)'!C:C,A:A,'1.4原材料(その他)'!H:H,M$3)</f>
        <v>0</v>
      </c>
      <c r="N249" s="7">
        <f ca="1">O249-(E249+F249-SUM(G249:M249))</f>
        <v>0</v>
      </c>
      <c r="O249" s="8">
        <f>SUMIF('1.5原材料在庫'!A:A,原材料SC明細!A249,'1.5原材料在庫'!D:D)</f>
        <v>0</v>
      </c>
    </row>
    <row r="250" spans="1:15" x14ac:dyDescent="0.55000000000000004">
      <c r="A250" s="80"/>
      <c r="B250" s="80"/>
      <c r="C250" s="79"/>
      <c r="D250" s="9" t="s">
        <v>19</v>
      </c>
      <c r="E250" s="10" t="s">
        <v>68</v>
      </c>
      <c r="F250" s="10">
        <f>F249*$C249</f>
        <v>0</v>
      </c>
      <c r="G250" s="10">
        <f ca="1">G249*$C249</f>
        <v>0</v>
      </c>
      <c r="H250" s="10">
        <f t="shared" ref="H250" si="835">H249*$C249</f>
        <v>0</v>
      </c>
      <c r="I250" s="10">
        <f t="shared" ref="I250" si="836">I249*$C249</f>
        <v>0</v>
      </c>
      <c r="J250" s="10">
        <f t="shared" ref="J250" si="837">J249*$C249</f>
        <v>0</v>
      </c>
      <c r="K250" s="10">
        <f t="shared" ref="K250" si="838">K249*$C249</f>
        <v>0</v>
      </c>
      <c r="L250" s="10">
        <f t="shared" ref="L250" si="839">L249*$C249</f>
        <v>0</v>
      </c>
      <c r="M250" s="10">
        <f t="shared" ref="M250" si="840">M249*$C249</f>
        <v>0</v>
      </c>
      <c r="N250" s="11" t="str">
        <f t="shared" ref="N250" ca="1" si="841">IFERROR(N249/SUM($E249:$F249)*SUM($E250:$F250),"")</f>
        <v/>
      </c>
      <c r="O250" s="10">
        <f>O249*$C249</f>
        <v>0</v>
      </c>
    </row>
    <row r="251" spans="1:15" x14ac:dyDescent="0.55000000000000004">
      <c r="A251" s="80">
        <v>312</v>
      </c>
      <c r="B251" s="80" t="s">
        <v>144</v>
      </c>
      <c r="C251" s="78">
        <f>IFERROR(VLOOKUP(A251,'原料標準単価（貼付）'!B:E,3,FALSE),0)</f>
        <v>3800</v>
      </c>
      <c r="D251" s="12" t="s">
        <v>18</v>
      </c>
      <c r="E251" s="13">
        <v>19</v>
      </c>
      <c r="F251" s="6">
        <f>IFERROR(VLOOKUP(A251,'1.2①原材料受入'!A:E,3,FALSE),0)</f>
        <v>20</v>
      </c>
      <c r="G251" s="6">
        <f ca="1">SUMIF('1.3②原材料使用'!C:E,A251,'1.3②原材料使用'!E:E)</f>
        <v>25</v>
      </c>
      <c r="H251" s="6">
        <f>SUMIFS('1.4原材料(その他)'!E:E,'1.4原材料(その他)'!C:C,A:A,'1.4原材料(その他)'!H:H,H$3)</f>
        <v>0</v>
      </c>
      <c r="I251" s="6">
        <f>SUMIFS('1.4原材料(その他)'!E:E,'1.4原材料(その他)'!C:C,A:A,'1.4原材料(その他)'!H:H,I$3)</f>
        <v>0</v>
      </c>
      <c r="J251" s="6">
        <f>SUMIFS('1.4原材料(その他)'!E:E,'1.4原材料(その他)'!C:C,A:A,'1.4原材料(その他)'!H:H,J$3)</f>
        <v>0</v>
      </c>
      <c r="K251" s="6">
        <f>SUMIFS('1.4原材料(その他)'!E:E,'1.4原材料(その他)'!C:C,A:A,'1.4原材料(その他)'!H:H,K$3)</f>
        <v>0</v>
      </c>
      <c r="L251" s="6">
        <f>SUMIFS('1.4原材料(その他)'!E:E,'1.4原材料(その他)'!C:C,A:A,'1.4原材料(その他)'!H:H,L$3)</f>
        <v>14</v>
      </c>
      <c r="M251" s="6">
        <f>SUMIFS('1.4原材料(その他)'!E:E,'1.4原材料(その他)'!C:C,A:A,'1.4原材料(その他)'!H:H,M$3)</f>
        <v>0</v>
      </c>
      <c r="N251" s="7">
        <f ca="1">O251-(E251+F251-SUM(G251:M251))</f>
        <v>0</v>
      </c>
      <c r="O251" s="8">
        <f>SUMIF('1.5原材料在庫'!A:A,原材料SC明細!A251,'1.5原材料在庫'!D:D)</f>
        <v>0</v>
      </c>
    </row>
    <row r="252" spans="1:15" x14ac:dyDescent="0.55000000000000004">
      <c r="A252" s="80"/>
      <c r="B252" s="80"/>
      <c r="C252" s="79"/>
      <c r="D252" s="9" t="s">
        <v>19</v>
      </c>
      <c r="E252" s="10">
        <v>72200</v>
      </c>
      <c r="F252" s="10">
        <f>F251*$C251</f>
        <v>76000</v>
      </c>
      <c r="G252" s="10">
        <f ca="1">G251*$C251</f>
        <v>95000</v>
      </c>
      <c r="H252" s="10">
        <f t="shared" ref="H252" si="842">H251*$C251</f>
        <v>0</v>
      </c>
      <c r="I252" s="10">
        <f t="shared" ref="I252" si="843">I251*$C251</f>
        <v>0</v>
      </c>
      <c r="J252" s="10">
        <f t="shared" ref="J252" si="844">J251*$C251</f>
        <v>0</v>
      </c>
      <c r="K252" s="10">
        <f t="shared" ref="K252" si="845">K251*$C251</f>
        <v>0</v>
      </c>
      <c r="L252" s="10">
        <f t="shared" ref="L252" si="846">L251*$C251</f>
        <v>53200</v>
      </c>
      <c r="M252" s="10">
        <f t="shared" ref="M252" si="847">M251*$C251</f>
        <v>0</v>
      </c>
      <c r="N252" s="11">
        <f t="shared" ref="N252" ca="1" si="848">IFERROR(N251/SUM($E251:$F251)*SUM($E252:$F252),"")</f>
        <v>0</v>
      </c>
      <c r="O252" s="10">
        <f>O251*$C251</f>
        <v>0</v>
      </c>
    </row>
    <row r="253" spans="1:15" x14ac:dyDescent="0.55000000000000004">
      <c r="A253" s="80">
        <v>313</v>
      </c>
      <c r="B253" s="80" t="s">
        <v>145</v>
      </c>
      <c r="C253" s="78">
        <f>IFERROR(VLOOKUP(A253,'原料標準単価（貼付）'!B:E,3,FALSE),0)</f>
        <v>0</v>
      </c>
      <c r="D253" s="12" t="s">
        <v>18</v>
      </c>
      <c r="E253" s="13">
        <v>0</v>
      </c>
      <c r="F253" s="6">
        <f>IFERROR(VLOOKUP(A253,'1.2①原材料受入'!A:E,3,FALSE),0)</f>
        <v>0</v>
      </c>
      <c r="G253" s="6">
        <f ca="1">SUMIF('1.3②原材料使用'!C:E,A253,'1.3②原材料使用'!E:E)</f>
        <v>0</v>
      </c>
      <c r="H253" s="6">
        <f>SUMIFS('1.4原材料(その他)'!E:E,'1.4原材料(その他)'!C:C,A:A,'1.4原材料(その他)'!H:H,H$3)</f>
        <v>0</v>
      </c>
      <c r="I253" s="6">
        <f>SUMIFS('1.4原材料(その他)'!E:E,'1.4原材料(その他)'!C:C,A:A,'1.4原材料(その他)'!H:H,I$3)</f>
        <v>0</v>
      </c>
      <c r="J253" s="6">
        <f>SUMIFS('1.4原材料(その他)'!E:E,'1.4原材料(その他)'!C:C,A:A,'1.4原材料(その他)'!H:H,J$3)</f>
        <v>0</v>
      </c>
      <c r="K253" s="6">
        <f>SUMIFS('1.4原材料(その他)'!E:E,'1.4原材料(その他)'!C:C,A:A,'1.4原材料(その他)'!H:H,K$3)</f>
        <v>0</v>
      </c>
      <c r="L253" s="6">
        <f>SUMIFS('1.4原材料(その他)'!E:E,'1.4原材料(その他)'!C:C,A:A,'1.4原材料(その他)'!H:H,L$3)</f>
        <v>0</v>
      </c>
      <c r="M253" s="6">
        <f>SUMIFS('1.4原材料(その他)'!E:E,'1.4原材料(その他)'!C:C,A:A,'1.4原材料(その他)'!H:H,M$3)</f>
        <v>0</v>
      </c>
      <c r="N253" s="7">
        <f ca="1">O253-(E253+F253-SUM(G253:M253))</f>
        <v>0</v>
      </c>
      <c r="O253" s="8">
        <f>SUMIF('1.5原材料在庫'!A:A,原材料SC明細!A253,'1.5原材料在庫'!D:D)</f>
        <v>0</v>
      </c>
    </row>
    <row r="254" spans="1:15" x14ac:dyDescent="0.55000000000000004">
      <c r="A254" s="80"/>
      <c r="B254" s="80"/>
      <c r="C254" s="79"/>
      <c r="D254" s="9" t="s">
        <v>19</v>
      </c>
      <c r="E254" s="10" t="s">
        <v>68</v>
      </c>
      <c r="F254" s="10">
        <f>F253*$C253</f>
        <v>0</v>
      </c>
      <c r="G254" s="10">
        <f ca="1">G253*$C253</f>
        <v>0</v>
      </c>
      <c r="H254" s="10">
        <f t="shared" ref="H254" si="849">H253*$C253</f>
        <v>0</v>
      </c>
      <c r="I254" s="10">
        <f t="shared" ref="I254" si="850">I253*$C253</f>
        <v>0</v>
      </c>
      <c r="J254" s="10">
        <f t="shared" ref="J254" si="851">J253*$C253</f>
        <v>0</v>
      </c>
      <c r="K254" s="10">
        <f t="shared" ref="K254" si="852">K253*$C253</f>
        <v>0</v>
      </c>
      <c r="L254" s="10">
        <f t="shared" ref="L254" si="853">L253*$C253</f>
        <v>0</v>
      </c>
      <c r="M254" s="10">
        <f t="shared" ref="M254" si="854">M253*$C253</f>
        <v>0</v>
      </c>
      <c r="N254" s="11" t="str">
        <f t="shared" ref="N254" ca="1" si="855">IFERROR(N253/SUM($E253:$F253)*SUM($E254:$F254),"")</f>
        <v/>
      </c>
      <c r="O254" s="10">
        <f>O253*$C253</f>
        <v>0</v>
      </c>
    </row>
    <row r="255" spans="1:15" x14ac:dyDescent="0.55000000000000004">
      <c r="A255" s="80">
        <v>314</v>
      </c>
      <c r="B255" s="80" t="s">
        <v>146</v>
      </c>
      <c r="C255" s="78">
        <f>IFERROR(VLOOKUP(A255,'原料標準単価（貼付）'!B:E,3,FALSE),0)</f>
        <v>0</v>
      </c>
      <c r="D255" s="12" t="s">
        <v>18</v>
      </c>
      <c r="E255" s="13">
        <v>0</v>
      </c>
      <c r="F255" s="6">
        <f>IFERROR(VLOOKUP(A255,'1.2①原材料受入'!A:E,3,FALSE),0)</f>
        <v>0</v>
      </c>
      <c r="G255" s="6">
        <f ca="1">SUMIF('1.3②原材料使用'!C:E,A255,'1.3②原材料使用'!E:E)</f>
        <v>0</v>
      </c>
      <c r="H255" s="6">
        <f>SUMIFS('1.4原材料(その他)'!E:E,'1.4原材料(その他)'!C:C,A:A,'1.4原材料(その他)'!H:H,H$3)</f>
        <v>0</v>
      </c>
      <c r="I255" s="6">
        <f>SUMIFS('1.4原材料(その他)'!E:E,'1.4原材料(その他)'!C:C,A:A,'1.4原材料(その他)'!H:H,I$3)</f>
        <v>0</v>
      </c>
      <c r="J255" s="6">
        <f>SUMIFS('1.4原材料(その他)'!E:E,'1.4原材料(その他)'!C:C,A:A,'1.4原材料(その他)'!H:H,J$3)</f>
        <v>0</v>
      </c>
      <c r="K255" s="6">
        <f>SUMIFS('1.4原材料(その他)'!E:E,'1.4原材料(その他)'!C:C,A:A,'1.4原材料(その他)'!H:H,K$3)</f>
        <v>0</v>
      </c>
      <c r="L255" s="6">
        <f>SUMIFS('1.4原材料(その他)'!E:E,'1.4原材料(その他)'!C:C,A:A,'1.4原材料(その他)'!H:H,L$3)</f>
        <v>0</v>
      </c>
      <c r="M255" s="6">
        <f>SUMIFS('1.4原材料(その他)'!E:E,'1.4原材料(その他)'!C:C,A:A,'1.4原材料(その他)'!H:H,M$3)</f>
        <v>0</v>
      </c>
      <c r="N255" s="7">
        <f ca="1">O255-(E255+F255-SUM(G255:M255))</f>
        <v>0</v>
      </c>
      <c r="O255" s="8">
        <f>SUMIF('1.5原材料在庫'!A:A,原材料SC明細!A255,'1.5原材料在庫'!D:D)</f>
        <v>0</v>
      </c>
    </row>
    <row r="256" spans="1:15" x14ac:dyDescent="0.55000000000000004">
      <c r="A256" s="80"/>
      <c r="B256" s="80"/>
      <c r="C256" s="79"/>
      <c r="D256" s="9" t="s">
        <v>19</v>
      </c>
      <c r="E256" s="10" t="s">
        <v>68</v>
      </c>
      <c r="F256" s="10">
        <f>F255*$C255</f>
        <v>0</v>
      </c>
      <c r="G256" s="10">
        <f ca="1">G255*$C255</f>
        <v>0</v>
      </c>
      <c r="H256" s="10">
        <f t="shared" ref="H256" si="856">H255*$C255</f>
        <v>0</v>
      </c>
      <c r="I256" s="10">
        <f t="shared" ref="I256" si="857">I255*$C255</f>
        <v>0</v>
      </c>
      <c r="J256" s="10">
        <f t="shared" ref="J256" si="858">J255*$C255</f>
        <v>0</v>
      </c>
      <c r="K256" s="10">
        <f t="shared" ref="K256" si="859">K255*$C255</f>
        <v>0</v>
      </c>
      <c r="L256" s="10">
        <f t="shared" ref="L256" si="860">L255*$C255</f>
        <v>0</v>
      </c>
      <c r="M256" s="10">
        <f t="shared" ref="M256" si="861">M255*$C255</f>
        <v>0</v>
      </c>
      <c r="N256" s="11" t="str">
        <f t="shared" ref="N256" ca="1" si="862">IFERROR(N255/SUM($E255:$F255)*SUM($E256:$F256),"")</f>
        <v/>
      </c>
      <c r="O256" s="10">
        <f>O255*$C255</f>
        <v>0</v>
      </c>
    </row>
    <row r="257" spans="1:15" x14ac:dyDescent="0.55000000000000004">
      <c r="A257" s="80">
        <v>315</v>
      </c>
      <c r="B257" s="80" t="s">
        <v>147</v>
      </c>
      <c r="C257" s="78">
        <f>IFERROR(VLOOKUP(A257,'原料標準単価（貼付）'!B:E,3,FALSE),0)</f>
        <v>0</v>
      </c>
      <c r="D257" s="12" t="s">
        <v>18</v>
      </c>
      <c r="E257" s="13">
        <v>0</v>
      </c>
      <c r="F257" s="6">
        <f>IFERROR(VLOOKUP(A257,'1.2①原材料受入'!A:E,3,FALSE),0)</f>
        <v>0</v>
      </c>
      <c r="G257" s="6">
        <f ca="1">SUMIF('1.3②原材料使用'!C:E,A257,'1.3②原材料使用'!E:E)</f>
        <v>0</v>
      </c>
      <c r="H257" s="6">
        <f>SUMIFS('1.4原材料(その他)'!E:E,'1.4原材料(その他)'!C:C,A:A,'1.4原材料(その他)'!H:H,H$3)</f>
        <v>0</v>
      </c>
      <c r="I257" s="6">
        <f>SUMIFS('1.4原材料(その他)'!E:E,'1.4原材料(その他)'!C:C,A:A,'1.4原材料(その他)'!H:H,I$3)</f>
        <v>0</v>
      </c>
      <c r="J257" s="6">
        <f>SUMIFS('1.4原材料(その他)'!E:E,'1.4原材料(その他)'!C:C,A:A,'1.4原材料(その他)'!H:H,J$3)</f>
        <v>0</v>
      </c>
      <c r="K257" s="6">
        <f>SUMIFS('1.4原材料(その他)'!E:E,'1.4原材料(その他)'!C:C,A:A,'1.4原材料(その他)'!H:H,K$3)</f>
        <v>0</v>
      </c>
      <c r="L257" s="6">
        <f>SUMIFS('1.4原材料(その他)'!E:E,'1.4原材料(その他)'!C:C,A:A,'1.4原材料(その他)'!H:H,L$3)</f>
        <v>0</v>
      </c>
      <c r="M257" s="6">
        <f>SUMIFS('1.4原材料(その他)'!E:E,'1.4原材料(その他)'!C:C,A:A,'1.4原材料(その他)'!H:H,M$3)</f>
        <v>0</v>
      </c>
      <c r="N257" s="7">
        <f ca="1">O257-(E257+F257-SUM(G257:M257))</f>
        <v>0</v>
      </c>
      <c r="O257" s="8">
        <f>SUMIF('1.5原材料在庫'!A:A,原材料SC明細!A257,'1.5原材料在庫'!D:D)</f>
        <v>0</v>
      </c>
    </row>
    <row r="258" spans="1:15" x14ac:dyDescent="0.55000000000000004">
      <c r="A258" s="80"/>
      <c r="B258" s="80"/>
      <c r="C258" s="79"/>
      <c r="D258" s="9" t="s">
        <v>19</v>
      </c>
      <c r="E258" s="10" t="s">
        <v>68</v>
      </c>
      <c r="F258" s="10">
        <f>F257*$C257</f>
        <v>0</v>
      </c>
      <c r="G258" s="10">
        <f ca="1">G257*$C257</f>
        <v>0</v>
      </c>
      <c r="H258" s="10">
        <f t="shared" ref="H258" si="863">H257*$C257</f>
        <v>0</v>
      </c>
      <c r="I258" s="10">
        <f t="shared" ref="I258" si="864">I257*$C257</f>
        <v>0</v>
      </c>
      <c r="J258" s="10">
        <f t="shared" ref="J258" si="865">J257*$C257</f>
        <v>0</v>
      </c>
      <c r="K258" s="10">
        <f t="shared" ref="K258" si="866">K257*$C257</f>
        <v>0</v>
      </c>
      <c r="L258" s="10">
        <f t="shared" ref="L258" si="867">L257*$C257</f>
        <v>0</v>
      </c>
      <c r="M258" s="10">
        <f t="shared" ref="M258" si="868">M257*$C257</f>
        <v>0</v>
      </c>
      <c r="N258" s="11" t="str">
        <f t="shared" ref="N258" ca="1" si="869">IFERROR(N257/SUM($E257:$F257)*SUM($E258:$F258),"")</f>
        <v/>
      </c>
      <c r="O258" s="10">
        <f>O257*$C257</f>
        <v>0</v>
      </c>
    </row>
    <row r="259" spans="1:15" x14ac:dyDescent="0.55000000000000004">
      <c r="A259" s="80">
        <v>316</v>
      </c>
      <c r="B259" s="80" t="s">
        <v>148</v>
      </c>
      <c r="C259" s="78">
        <f>IFERROR(VLOOKUP(A259,'原料標準単価（貼付）'!B:E,3,FALSE),0)</f>
        <v>0</v>
      </c>
      <c r="D259" s="12" t="s">
        <v>18</v>
      </c>
      <c r="E259" s="13">
        <v>0</v>
      </c>
      <c r="F259" s="6">
        <f>IFERROR(VLOOKUP(A259,'1.2①原材料受入'!A:E,3,FALSE),0)</f>
        <v>0</v>
      </c>
      <c r="G259" s="6">
        <f ca="1">SUMIF('1.3②原材料使用'!C:E,A259,'1.3②原材料使用'!E:E)</f>
        <v>0</v>
      </c>
      <c r="H259" s="6">
        <f>SUMIFS('1.4原材料(その他)'!E:E,'1.4原材料(その他)'!C:C,A:A,'1.4原材料(その他)'!H:H,H$3)</f>
        <v>0</v>
      </c>
      <c r="I259" s="6">
        <f>SUMIFS('1.4原材料(その他)'!E:E,'1.4原材料(その他)'!C:C,A:A,'1.4原材料(その他)'!H:H,I$3)</f>
        <v>0</v>
      </c>
      <c r="J259" s="6">
        <f>SUMIFS('1.4原材料(その他)'!E:E,'1.4原材料(その他)'!C:C,A:A,'1.4原材料(その他)'!H:H,J$3)</f>
        <v>0</v>
      </c>
      <c r="K259" s="6">
        <f>SUMIFS('1.4原材料(その他)'!E:E,'1.4原材料(その他)'!C:C,A:A,'1.4原材料(その他)'!H:H,K$3)</f>
        <v>0</v>
      </c>
      <c r="L259" s="6">
        <f>SUMIFS('1.4原材料(その他)'!E:E,'1.4原材料(その他)'!C:C,A:A,'1.4原材料(その他)'!H:H,L$3)</f>
        <v>0</v>
      </c>
      <c r="M259" s="6">
        <f>SUMIFS('1.4原材料(その他)'!E:E,'1.4原材料(その他)'!C:C,A:A,'1.4原材料(その他)'!H:H,M$3)</f>
        <v>0</v>
      </c>
      <c r="N259" s="7">
        <f ca="1">O259-(E259+F259-SUM(G259:M259))</f>
        <v>0</v>
      </c>
      <c r="O259" s="8">
        <f>SUMIF('1.5原材料在庫'!A:A,原材料SC明細!A259,'1.5原材料在庫'!D:D)</f>
        <v>0</v>
      </c>
    </row>
    <row r="260" spans="1:15" x14ac:dyDescent="0.55000000000000004">
      <c r="A260" s="80"/>
      <c r="B260" s="80"/>
      <c r="C260" s="79"/>
      <c r="D260" s="9" t="s">
        <v>19</v>
      </c>
      <c r="E260" s="10">
        <v>0</v>
      </c>
      <c r="F260" s="10">
        <f>F259*$C259</f>
        <v>0</v>
      </c>
      <c r="G260" s="10">
        <f ca="1">G259*$C259</f>
        <v>0</v>
      </c>
      <c r="H260" s="10">
        <f t="shared" ref="H260" si="870">H259*$C259</f>
        <v>0</v>
      </c>
      <c r="I260" s="10">
        <f t="shared" ref="I260" si="871">I259*$C259</f>
        <v>0</v>
      </c>
      <c r="J260" s="10">
        <f t="shared" ref="J260" si="872">J259*$C259</f>
        <v>0</v>
      </c>
      <c r="K260" s="10">
        <f t="shared" ref="K260" si="873">K259*$C259</f>
        <v>0</v>
      </c>
      <c r="L260" s="10">
        <f t="shared" ref="L260" si="874">L259*$C259</f>
        <v>0</v>
      </c>
      <c r="M260" s="10">
        <f t="shared" ref="M260" si="875">M259*$C259</f>
        <v>0</v>
      </c>
      <c r="N260" s="11" t="str">
        <f t="shared" ref="N260" ca="1" si="876">IFERROR(N259/SUM($E259:$F259)*SUM($E260:$F260),"")</f>
        <v/>
      </c>
      <c r="O260" s="10">
        <f>O259*$C259</f>
        <v>0</v>
      </c>
    </row>
    <row r="261" spans="1:15" x14ac:dyDescent="0.55000000000000004">
      <c r="A261" s="80">
        <v>317</v>
      </c>
      <c r="B261" s="80" t="s">
        <v>149</v>
      </c>
      <c r="C261" s="78">
        <f>IFERROR(VLOOKUP(A261,'原料標準単価（貼付）'!B:E,3,FALSE),0)</f>
        <v>23000</v>
      </c>
      <c r="D261" s="12" t="s">
        <v>18</v>
      </c>
      <c r="E261" s="13">
        <v>0.4</v>
      </c>
      <c r="F261" s="6">
        <f>IFERROR(VLOOKUP(A261,'1.2①原材料受入'!A:E,3,FALSE),0)</f>
        <v>2.5</v>
      </c>
      <c r="G261" s="6">
        <f ca="1">SUMIF('1.3②原材料使用'!C:E,A261,'1.3②原材料使用'!E:E)</f>
        <v>2.5</v>
      </c>
      <c r="H261" s="6">
        <f>SUMIFS('1.4原材料(その他)'!E:E,'1.4原材料(その他)'!C:C,A:A,'1.4原材料(その他)'!H:H,H$3)</f>
        <v>0</v>
      </c>
      <c r="I261" s="6">
        <f>SUMIFS('1.4原材料(その他)'!E:E,'1.4原材料(その他)'!C:C,A:A,'1.4原材料(その他)'!H:H,I$3)</f>
        <v>0</v>
      </c>
      <c r="J261" s="6">
        <f>SUMIFS('1.4原材料(その他)'!E:E,'1.4原材料(その他)'!C:C,A:A,'1.4原材料(その他)'!H:H,J$3)</f>
        <v>0</v>
      </c>
      <c r="K261" s="6">
        <f>SUMIFS('1.4原材料(その他)'!E:E,'1.4原材料(その他)'!C:C,A:A,'1.4原材料(その他)'!H:H,K$3)</f>
        <v>0</v>
      </c>
      <c r="L261" s="6">
        <f>SUMIFS('1.4原材料(その他)'!E:E,'1.4原材料(その他)'!C:C,A:A,'1.4原材料(その他)'!H:H,L$3)</f>
        <v>0.4</v>
      </c>
      <c r="M261" s="6">
        <f>SUMIFS('1.4原材料(その他)'!E:E,'1.4原材料(その他)'!C:C,A:A,'1.4原材料(その他)'!H:H,M$3)</f>
        <v>0</v>
      </c>
      <c r="N261" s="7">
        <f ca="1">O261-(E261+F261-SUM(G261:M261))</f>
        <v>0</v>
      </c>
      <c r="O261" s="8">
        <f>SUMIF('1.5原材料在庫'!A:A,原材料SC明細!A261,'1.5原材料在庫'!D:D)</f>
        <v>0</v>
      </c>
    </row>
    <row r="262" spans="1:15" x14ac:dyDescent="0.55000000000000004">
      <c r="A262" s="80"/>
      <c r="B262" s="80"/>
      <c r="C262" s="79"/>
      <c r="D262" s="9" t="s">
        <v>19</v>
      </c>
      <c r="E262" s="10">
        <v>9200</v>
      </c>
      <c r="F262" s="10">
        <f>F261*$C261</f>
        <v>57500</v>
      </c>
      <c r="G262" s="10">
        <f ca="1">G261*$C261</f>
        <v>57500</v>
      </c>
      <c r="H262" s="10">
        <f t="shared" ref="H262" si="877">H261*$C261</f>
        <v>0</v>
      </c>
      <c r="I262" s="10">
        <f t="shared" ref="I262" si="878">I261*$C261</f>
        <v>0</v>
      </c>
      <c r="J262" s="10">
        <f t="shared" ref="J262" si="879">J261*$C261</f>
        <v>0</v>
      </c>
      <c r="K262" s="10">
        <f t="shared" ref="K262" si="880">K261*$C261</f>
        <v>0</v>
      </c>
      <c r="L262" s="10">
        <f t="shared" ref="L262" si="881">L261*$C261</f>
        <v>9200</v>
      </c>
      <c r="M262" s="10">
        <f t="shared" ref="M262" si="882">M261*$C261</f>
        <v>0</v>
      </c>
      <c r="N262" s="11">
        <f t="shared" ref="N262" ca="1" si="883">IFERROR(N261/SUM($E261:$F261)*SUM($E262:$F262),"")</f>
        <v>0</v>
      </c>
      <c r="O262" s="10">
        <f>O261*$C261</f>
        <v>0</v>
      </c>
    </row>
    <row r="263" spans="1:15" x14ac:dyDescent="0.55000000000000004">
      <c r="A263" s="80">
        <v>318</v>
      </c>
      <c r="B263" s="80" t="s">
        <v>150</v>
      </c>
      <c r="C263" s="78">
        <f>IFERROR(VLOOKUP(A263,'原料標準単価（貼付）'!B:E,3,FALSE),0)</f>
        <v>0</v>
      </c>
      <c r="D263" s="12" t="s">
        <v>18</v>
      </c>
      <c r="E263" s="13">
        <v>16</v>
      </c>
      <c r="F263" s="6">
        <f>IFERROR(VLOOKUP(A263,'1.2①原材料受入'!A:E,3,FALSE),0)</f>
        <v>0</v>
      </c>
      <c r="G263" s="6">
        <f ca="1">SUMIF('1.3②原材料使用'!C:E,A263,'1.3②原材料使用'!E:E)</f>
        <v>16</v>
      </c>
      <c r="H263" s="6">
        <f>SUMIFS('1.4原材料(その他)'!E:E,'1.4原材料(その他)'!C:C,A:A,'1.4原材料(その他)'!H:H,H$3)</f>
        <v>0</v>
      </c>
      <c r="I263" s="6">
        <f>SUMIFS('1.4原材料(その他)'!E:E,'1.4原材料(その他)'!C:C,A:A,'1.4原材料(その他)'!H:H,I$3)</f>
        <v>0</v>
      </c>
      <c r="J263" s="6">
        <f>SUMIFS('1.4原材料(その他)'!E:E,'1.4原材料(その他)'!C:C,A:A,'1.4原材料(その他)'!H:H,J$3)</f>
        <v>0</v>
      </c>
      <c r="K263" s="6">
        <f>SUMIFS('1.4原材料(その他)'!E:E,'1.4原材料(その他)'!C:C,A:A,'1.4原材料(その他)'!H:H,K$3)</f>
        <v>0</v>
      </c>
      <c r="L263" s="6">
        <f>SUMIFS('1.4原材料(その他)'!E:E,'1.4原材料(その他)'!C:C,A:A,'1.4原材料(その他)'!H:H,L$3)</f>
        <v>0</v>
      </c>
      <c r="M263" s="6">
        <f>SUMIFS('1.4原材料(その他)'!E:E,'1.4原材料(その他)'!C:C,A:A,'1.4原材料(その他)'!H:H,M$3)</f>
        <v>0</v>
      </c>
      <c r="N263" s="7">
        <f ca="1">O263-(E263+F263-SUM(G263:M263))</f>
        <v>0</v>
      </c>
      <c r="O263" s="8">
        <f>SUMIF('1.5原材料在庫'!A:A,原材料SC明細!A263,'1.5原材料在庫'!D:D)</f>
        <v>0</v>
      </c>
    </row>
    <row r="264" spans="1:15" x14ac:dyDescent="0.55000000000000004">
      <c r="A264" s="80"/>
      <c r="B264" s="80"/>
      <c r="C264" s="79"/>
      <c r="D264" s="9" t="s">
        <v>19</v>
      </c>
      <c r="E264" s="10">
        <v>96000</v>
      </c>
      <c r="F264" s="10">
        <f>F263*$C263</f>
        <v>0</v>
      </c>
      <c r="G264" s="10">
        <f ca="1">G263*$C263</f>
        <v>0</v>
      </c>
      <c r="H264" s="10">
        <f t="shared" ref="H264" si="884">H263*$C263</f>
        <v>0</v>
      </c>
      <c r="I264" s="10">
        <f t="shared" ref="I264" si="885">I263*$C263</f>
        <v>0</v>
      </c>
      <c r="J264" s="10">
        <f t="shared" ref="J264" si="886">J263*$C263</f>
        <v>0</v>
      </c>
      <c r="K264" s="10">
        <f t="shared" ref="K264" si="887">K263*$C263</f>
        <v>0</v>
      </c>
      <c r="L264" s="10">
        <f t="shared" ref="L264" si="888">L263*$C263</f>
        <v>0</v>
      </c>
      <c r="M264" s="10">
        <f t="shared" ref="M264" si="889">M263*$C263</f>
        <v>0</v>
      </c>
      <c r="N264" s="11">
        <f t="shared" ref="N264" ca="1" si="890">IFERROR(N263/SUM($E263:$F263)*SUM($E264:$F264),"")</f>
        <v>0</v>
      </c>
      <c r="O264" s="10">
        <f>O263*$C263</f>
        <v>0</v>
      </c>
    </row>
    <row r="265" spans="1:15" x14ac:dyDescent="0.55000000000000004">
      <c r="A265" s="80">
        <v>319</v>
      </c>
      <c r="B265" s="80" t="s">
        <v>151</v>
      </c>
      <c r="C265" s="78">
        <f>IFERROR(VLOOKUP(A265,'原料標準単価（貼付）'!B:E,3,FALSE),0)</f>
        <v>0</v>
      </c>
      <c r="D265" s="12" t="s">
        <v>18</v>
      </c>
      <c r="E265" s="13">
        <v>0</v>
      </c>
      <c r="F265" s="6">
        <f>IFERROR(VLOOKUP(A265,'1.2①原材料受入'!A:E,3,FALSE),0)</f>
        <v>0</v>
      </c>
      <c r="G265" s="6">
        <f ca="1">SUMIF('1.3②原材料使用'!C:E,A265,'1.3②原材料使用'!E:E)</f>
        <v>0</v>
      </c>
      <c r="H265" s="6">
        <f>SUMIFS('1.4原材料(その他)'!E:E,'1.4原材料(その他)'!C:C,A:A,'1.4原材料(その他)'!H:H,H$3)</f>
        <v>0</v>
      </c>
      <c r="I265" s="6">
        <f>SUMIFS('1.4原材料(その他)'!E:E,'1.4原材料(その他)'!C:C,A:A,'1.4原材料(その他)'!H:H,I$3)</f>
        <v>0</v>
      </c>
      <c r="J265" s="6">
        <f>SUMIFS('1.4原材料(その他)'!E:E,'1.4原材料(その他)'!C:C,A:A,'1.4原材料(その他)'!H:H,J$3)</f>
        <v>0</v>
      </c>
      <c r="K265" s="6">
        <f>SUMIFS('1.4原材料(その他)'!E:E,'1.4原材料(その他)'!C:C,A:A,'1.4原材料(その他)'!H:H,K$3)</f>
        <v>0</v>
      </c>
      <c r="L265" s="6">
        <f>SUMIFS('1.4原材料(その他)'!E:E,'1.4原材料(その他)'!C:C,A:A,'1.4原材料(その他)'!H:H,L$3)</f>
        <v>0</v>
      </c>
      <c r="M265" s="6">
        <f>SUMIFS('1.4原材料(その他)'!E:E,'1.4原材料(その他)'!C:C,A:A,'1.4原材料(その他)'!H:H,M$3)</f>
        <v>0</v>
      </c>
      <c r="N265" s="7">
        <f ca="1">O265-(E265+F265-SUM(G265:M265))</f>
        <v>0</v>
      </c>
      <c r="O265" s="8">
        <f>SUMIF('1.5原材料在庫'!A:A,原材料SC明細!A265,'1.5原材料在庫'!D:D)</f>
        <v>0</v>
      </c>
    </row>
    <row r="266" spans="1:15" x14ac:dyDescent="0.55000000000000004">
      <c r="A266" s="80"/>
      <c r="B266" s="80"/>
      <c r="C266" s="79"/>
      <c r="D266" s="9" t="s">
        <v>19</v>
      </c>
      <c r="E266" s="10" t="s">
        <v>68</v>
      </c>
      <c r="F266" s="10">
        <f>F265*$C265</f>
        <v>0</v>
      </c>
      <c r="G266" s="10">
        <f ca="1">G265*$C265</f>
        <v>0</v>
      </c>
      <c r="H266" s="10">
        <f t="shared" ref="H266" si="891">H265*$C265</f>
        <v>0</v>
      </c>
      <c r="I266" s="10">
        <f t="shared" ref="I266" si="892">I265*$C265</f>
        <v>0</v>
      </c>
      <c r="J266" s="10">
        <f t="shared" ref="J266" si="893">J265*$C265</f>
        <v>0</v>
      </c>
      <c r="K266" s="10">
        <f t="shared" ref="K266" si="894">K265*$C265</f>
        <v>0</v>
      </c>
      <c r="L266" s="10">
        <f t="shared" ref="L266" si="895">L265*$C265</f>
        <v>0</v>
      </c>
      <c r="M266" s="10">
        <f t="shared" ref="M266" si="896">M265*$C265</f>
        <v>0</v>
      </c>
      <c r="N266" s="11" t="str">
        <f t="shared" ref="N266" ca="1" si="897">IFERROR(N265/SUM($E265:$F265)*SUM($E266:$F266),"")</f>
        <v/>
      </c>
      <c r="O266" s="10">
        <f>O265*$C265</f>
        <v>0</v>
      </c>
    </row>
    <row r="267" spans="1:15" x14ac:dyDescent="0.55000000000000004">
      <c r="A267" s="80">
        <v>320</v>
      </c>
      <c r="B267" s="80" t="s">
        <v>152</v>
      </c>
      <c r="C267" s="78">
        <f>IFERROR(VLOOKUP(A267,'原料標準単価（貼付）'!B:E,3,FALSE),0)</f>
        <v>0</v>
      </c>
      <c r="D267" s="12" t="s">
        <v>18</v>
      </c>
      <c r="E267" s="13">
        <v>0</v>
      </c>
      <c r="F267" s="6">
        <f>IFERROR(VLOOKUP(A267,'1.2①原材料受入'!A:E,3,FALSE),0)</f>
        <v>0</v>
      </c>
      <c r="G267" s="6">
        <f ca="1">SUMIF('1.3②原材料使用'!C:E,A267,'1.3②原材料使用'!E:E)</f>
        <v>0</v>
      </c>
      <c r="H267" s="6">
        <f>SUMIFS('1.4原材料(その他)'!E:E,'1.4原材料(その他)'!C:C,A:A,'1.4原材料(その他)'!H:H,H$3)</f>
        <v>0</v>
      </c>
      <c r="I267" s="6">
        <f>SUMIFS('1.4原材料(その他)'!E:E,'1.4原材料(その他)'!C:C,A:A,'1.4原材料(その他)'!H:H,I$3)</f>
        <v>0</v>
      </c>
      <c r="J267" s="6">
        <f>SUMIFS('1.4原材料(その他)'!E:E,'1.4原材料(その他)'!C:C,A:A,'1.4原材料(その他)'!H:H,J$3)</f>
        <v>0</v>
      </c>
      <c r="K267" s="6">
        <f>SUMIFS('1.4原材料(その他)'!E:E,'1.4原材料(その他)'!C:C,A:A,'1.4原材料(その他)'!H:H,K$3)</f>
        <v>0</v>
      </c>
      <c r="L267" s="6">
        <f>SUMIFS('1.4原材料(その他)'!E:E,'1.4原材料(その他)'!C:C,A:A,'1.4原材料(その他)'!H:H,L$3)</f>
        <v>0</v>
      </c>
      <c r="M267" s="6">
        <f>SUMIFS('1.4原材料(その他)'!E:E,'1.4原材料(その他)'!C:C,A:A,'1.4原材料(その他)'!H:H,M$3)</f>
        <v>0</v>
      </c>
      <c r="N267" s="7">
        <f ca="1">O267-(E267+F267-SUM(G267:M267))</f>
        <v>0</v>
      </c>
      <c r="O267" s="8">
        <f>SUMIF('1.5原材料在庫'!A:A,原材料SC明細!A267,'1.5原材料在庫'!D:D)</f>
        <v>0</v>
      </c>
    </row>
    <row r="268" spans="1:15" x14ac:dyDescent="0.55000000000000004">
      <c r="A268" s="80"/>
      <c r="B268" s="80"/>
      <c r="C268" s="79"/>
      <c r="D268" s="9" t="s">
        <v>19</v>
      </c>
      <c r="E268" s="10" t="s">
        <v>68</v>
      </c>
      <c r="F268" s="10">
        <f>F267*$C267</f>
        <v>0</v>
      </c>
      <c r="G268" s="10">
        <f ca="1">G267*$C267</f>
        <v>0</v>
      </c>
      <c r="H268" s="10">
        <f t="shared" ref="H268" si="898">H267*$C267</f>
        <v>0</v>
      </c>
      <c r="I268" s="10">
        <f t="shared" ref="I268" si="899">I267*$C267</f>
        <v>0</v>
      </c>
      <c r="J268" s="10">
        <f t="shared" ref="J268" si="900">J267*$C267</f>
        <v>0</v>
      </c>
      <c r="K268" s="10">
        <f t="shared" ref="K268" si="901">K267*$C267</f>
        <v>0</v>
      </c>
      <c r="L268" s="10">
        <f t="shared" ref="L268" si="902">L267*$C267</f>
        <v>0</v>
      </c>
      <c r="M268" s="10">
        <f t="shared" ref="M268" si="903">M267*$C267</f>
        <v>0</v>
      </c>
      <c r="N268" s="11" t="str">
        <f t="shared" ref="N268" ca="1" si="904">IFERROR(N267/SUM($E267:$F267)*SUM($E268:$F268),"")</f>
        <v/>
      </c>
      <c r="O268" s="10">
        <f>O267*$C267</f>
        <v>0</v>
      </c>
    </row>
    <row r="269" spans="1:15" x14ac:dyDescent="0.55000000000000004">
      <c r="A269" s="80">
        <v>321</v>
      </c>
      <c r="B269" s="80" t="s">
        <v>153</v>
      </c>
      <c r="C269" s="78">
        <f>IFERROR(VLOOKUP(A269,'原料標準単価（貼付）'!B:E,3,FALSE),0)</f>
        <v>0</v>
      </c>
      <c r="D269" s="12" t="s">
        <v>18</v>
      </c>
      <c r="E269" s="13">
        <v>9.6</v>
      </c>
      <c r="F269" s="6">
        <f>IFERROR(VLOOKUP(A269,'1.2①原材料受入'!A:E,3,FALSE),0)</f>
        <v>0</v>
      </c>
      <c r="G269" s="6">
        <f ca="1">SUMIF('1.3②原材料使用'!C:E,A269,'1.3②原材料使用'!E:E)</f>
        <v>0</v>
      </c>
      <c r="H269" s="6">
        <f>SUMIFS('1.4原材料(その他)'!E:E,'1.4原材料(その他)'!C:C,A:A,'1.4原材料(その他)'!H:H,H$3)</f>
        <v>0</v>
      </c>
      <c r="I269" s="6">
        <f>SUMIFS('1.4原材料(その他)'!E:E,'1.4原材料(その他)'!C:C,A:A,'1.4原材料(その他)'!H:H,I$3)</f>
        <v>0</v>
      </c>
      <c r="J269" s="6">
        <f>SUMIFS('1.4原材料(その他)'!E:E,'1.4原材料(その他)'!C:C,A:A,'1.4原材料(その他)'!H:H,J$3)</f>
        <v>0</v>
      </c>
      <c r="K269" s="6">
        <f>SUMIFS('1.4原材料(その他)'!E:E,'1.4原材料(その他)'!C:C,A:A,'1.4原材料(その他)'!H:H,K$3)</f>
        <v>0</v>
      </c>
      <c r="L269" s="6">
        <f>SUMIFS('1.4原材料(その他)'!E:E,'1.4原材料(その他)'!C:C,A:A,'1.4原材料(その他)'!H:H,L$3)</f>
        <v>9.6</v>
      </c>
      <c r="M269" s="6">
        <f>SUMIFS('1.4原材料(その他)'!E:E,'1.4原材料(その他)'!C:C,A:A,'1.4原材料(その他)'!H:H,M$3)</f>
        <v>0</v>
      </c>
      <c r="N269" s="7">
        <f ca="1">O269-(E269+F269-SUM(G269:M269))</f>
        <v>0</v>
      </c>
      <c r="O269" s="8">
        <f>SUMIF('1.5原材料在庫'!A:A,原材料SC明細!A269,'1.5原材料在庫'!D:D)</f>
        <v>0</v>
      </c>
    </row>
    <row r="270" spans="1:15" x14ac:dyDescent="0.55000000000000004">
      <c r="A270" s="80"/>
      <c r="B270" s="80"/>
      <c r="C270" s="79"/>
      <c r="D270" s="9" t="s">
        <v>19</v>
      </c>
      <c r="E270" s="10">
        <v>51840</v>
      </c>
      <c r="F270" s="10">
        <f>F269*$C269</f>
        <v>0</v>
      </c>
      <c r="G270" s="10">
        <f ca="1">G269*$C269</f>
        <v>0</v>
      </c>
      <c r="H270" s="10">
        <f t="shared" ref="H270" si="905">H269*$C269</f>
        <v>0</v>
      </c>
      <c r="I270" s="10">
        <f t="shared" ref="I270" si="906">I269*$C269</f>
        <v>0</v>
      </c>
      <c r="J270" s="10">
        <f t="shared" ref="J270" si="907">J269*$C269</f>
        <v>0</v>
      </c>
      <c r="K270" s="10">
        <f t="shared" ref="K270" si="908">K269*$C269</f>
        <v>0</v>
      </c>
      <c r="L270" s="10">
        <f t="shared" ref="L270" si="909">L269*$C269</f>
        <v>0</v>
      </c>
      <c r="M270" s="10">
        <f t="shared" ref="M270" si="910">M269*$C269</f>
        <v>0</v>
      </c>
      <c r="N270" s="11">
        <f t="shared" ref="N270" ca="1" si="911">IFERROR(N269/SUM($E269:$F269)*SUM($E270:$F270),"")</f>
        <v>0</v>
      </c>
      <c r="O270" s="10">
        <f>O269*$C269</f>
        <v>0</v>
      </c>
    </row>
    <row r="271" spans="1:15" x14ac:dyDescent="0.55000000000000004">
      <c r="A271" s="80">
        <v>322</v>
      </c>
      <c r="B271" s="80" t="s">
        <v>154</v>
      </c>
      <c r="C271" s="78">
        <f>IFERROR(VLOOKUP(A271,'原料標準単価（貼付）'!B:E,3,FALSE),0)</f>
        <v>0</v>
      </c>
      <c r="D271" s="15" t="s">
        <v>155</v>
      </c>
      <c r="E271" s="13">
        <v>17.100000000000009</v>
      </c>
      <c r="F271" s="6">
        <f>IFERROR(VLOOKUP(A271,'1.2①原材料受入'!A:E,3,FALSE),0)</f>
        <v>0</v>
      </c>
      <c r="G271" s="6">
        <f ca="1">SUMIF('1.3②原材料使用'!C:E,A271,'1.3②原材料使用'!E:E)</f>
        <v>0</v>
      </c>
      <c r="H271" s="6">
        <f>SUMIFS('1.4原材料(その他)'!E:E,'1.4原材料(その他)'!C:C,A:A,'1.4原材料(その他)'!H:H,H$3)</f>
        <v>0</v>
      </c>
      <c r="I271" s="6">
        <f>SUMIFS('1.4原材料(その他)'!E:E,'1.4原材料(その他)'!C:C,A:A,'1.4原材料(その他)'!H:H,I$3)</f>
        <v>0</v>
      </c>
      <c r="J271" s="6">
        <f>SUMIFS('1.4原材料(その他)'!E:E,'1.4原材料(その他)'!C:C,A:A,'1.4原材料(その他)'!H:H,J$3)</f>
        <v>0</v>
      </c>
      <c r="K271" s="6">
        <f>SUMIFS('1.4原材料(その他)'!E:E,'1.4原材料(その他)'!C:C,A:A,'1.4原材料(その他)'!H:H,K$3)</f>
        <v>0</v>
      </c>
      <c r="L271" s="6">
        <f>SUMIFS('1.4原材料(その他)'!E:E,'1.4原材料(その他)'!C:C,A:A,'1.4原材料(その他)'!H:H,L$3)</f>
        <v>17.100000000000001</v>
      </c>
      <c r="M271" s="6">
        <f>SUMIFS('1.4原材料(その他)'!E:E,'1.4原材料(その他)'!C:C,A:A,'1.4原材料(その他)'!H:H,M$3)</f>
        <v>0</v>
      </c>
      <c r="N271" s="7">
        <f ca="1">O271-(E271+F271-SUM(G271:M271))</f>
        <v>0</v>
      </c>
      <c r="O271" s="8">
        <f>SUMIF('1.5原材料在庫'!A:A,原材料SC明細!A271,'1.5原材料在庫'!D:D)</f>
        <v>7.1054273576010019E-15</v>
      </c>
    </row>
    <row r="272" spans="1:15" x14ac:dyDescent="0.55000000000000004">
      <c r="A272" s="80"/>
      <c r="B272" s="80"/>
      <c r="C272" s="79"/>
      <c r="D272" s="9" t="s">
        <v>19</v>
      </c>
      <c r="E272" s="10">
        <v>2076.8225939186541</v>
      </c>
      <c r="F272" s="10">
        <f>F271*$C271</f>
        <v>0</v>
      </c>
      <c r="G272" s="10">
        <f ca="1">G271*$C271</f>
        <v>0</v>
      </c>
      <c r="H272" s="10">
        <f t="shared" ref="H272" si="912">H271*$C271</f>
        <v>0</v>
      </c>
      <c r="I272" s="10">
        <f t="shared" ref="I272" si="913">I271*$C271</f>
        <v>0</v>
      </c>
      <c r="J272" s="10">
        <f t="shared" ref="J272" si="914">J271*$C271</f>
        <v>0</v>
      </c>
      <c r="K272" s="10">
        <f t="shared" ref="K272" si="915">K271*$C271</f>
        <v>0</v>
      </c>
      <c r="L272" s="10">
        <f t="shared" ref="L272" si="916">L271*$C271</f>
        <v>0</v>
      </c>
      <c r="M272" s="10">
        <f t="shared" ref="M272" si="917">M271*$C271</f>
        <v>0</v>
      </c>
      <c r="N272" s="11">
        <f t="shared" ref="N272" ca="1" si="918">IFERROR(N271/SUM($E271:$F271)*SUM($E272:$F272),"")</f>
        <v>0</v>
      </c>
      <c r="O272" s="10">
        <f>O271*$C271</f>
        <v>0</v>
      </c>
    </row>
    <row r="273" spans="1:15" x14ac:dyDescent="0.55000000000000004">
      <c r="A273" s="80">
        <v>323</v>
      </c>
      <c r="B273" s="80" t="s">
        <v>156</v>
      </c>
      <c r="C273" s="78">
        <f>IFERROR(VLOOKUP(A273,'原料標準単価（貼付）'!B:E,3,FALSE),0)</f>
        <v>0</v>
      </c>
      <c r="D273" s="12" t="s">
        <v>18</v>
      </c>
      <c r="E273" s="13">
        <v>6</v>
      </c>
      <c r="F273" s="6">
        <f>IFERROR(VLOOKUP(A273,'1.2①原材料受入'!A:E,3,FALSE),0)</f>
        <v>0</v>
      </c>
      <c r="G273" s="6">
        <f ca="1">SUMIF('1.3②原材料使用'!C:E,A273,'1.3②原材料使用'!E:E)</f>
        <v>0</v>
      </c>
      <c r="H273" s="6">
        <f>SUMIFS('1.4原材料(その他)'!E:E,'1.4原材料(その他)'!C:C,A:A,'1.4原材料(その他)'!H:H,H$3)</f>
        <v>0</v>
      </c>
      <c r="I273" s="6">
        <f>SUMIFS('1.4原材料(その他)'!E:E,'1.4原材料(その他)'!C:C,A:A,'1.4原材料(その他)'!H:H,I$3)</f>
        <v>0</v>
      </c>
      <c r="J273" s="6">
        <f>SUMIFS('1.4原材料(その他)'!E:E,'1.4原材料(その他)'!C:C,A:A,'1.4原材料(その他)'!H:H,J$3)</f>
        <v>0</v>
      </c>
      <c r="K273" s="6">
        <f>SUMIFS('1.4原材料(その他)'!E:E,'1.4原材料(その他)'!C:C,A:A,'1.4原材料(その他)'!H:H,K$3)</f>
        <v>0</v>
      </c>
      <c r="L273" s="6">
        <f>SUMIFS('1.4原材料(その他)'!E:E,'1.4原材料(その他)'!C:C,A:A,'1.4原材料(その他)'!H:H,L$3)</f>
        <v>0</v>
      </c>
      <c r="M273" s="6">
        <f>SUMIFS('1.4原材料(その他)'!E:E,'1.4原材料(その他)'!C:C,A:A,'1.4原材料(その他)'!H:H,M$3)</f>
        <v>0</v>
      </c>
      <c r="N273" s="7">
        <f ca="1">O273-(E273+F273-SUM(G273:M273))</f>
        <v>0</v>
      </c>
      <c r="O273" s="8">
        <f>SUMIF('1.5原材料在庫'!A:A,原材料SC明細!A273,'1.5原材料在庫'!D:D)</f>
        <v>6</v>
      </c>
    </row>
    <row r="274" spans="1:15" x14ac:dyDescent="0.55000000000000004">
      <c r="A274" s="80"/>
      <c r="B274" s="80"/>
      <c r="C274" s="79"/>
      <c r="D274" s="9" t="s">
        <v>19</v>
      </c>
      <c r="E274" s="10">
        <v>565.74074074074076</v>
      </c>
      <c r="F274" s="10">
        <f>F273*$C273</f>
        <v>0</v>
      </c>
      <c r="G274" s="10">
        <f ca="1">G273*$C273</f>
        <v>0</v>
      </c>
      <c r="H274" s="10">
        <f t="shared" ref="H274" si="919">H273*$C273</f>
        <v>0</v>
      </c>
      <c r="I274" s="10">
        <f t="shared" ref="I274" si="920">I273*$C273</f>
        <v>0</v>
      </c>
      <c r="J274" s="10">
        <f t="shared" ref="J274" si="921">J273*$C273</f>
        <v>0</v>
      </c>
      <c r="K274" s="10">
        <f t="shared" ref="K274" si="922">K273*$C273</f>
        <v>0</v>
      </c>
      <c r="L274" s="10">
        <f t="shared" ref="L274" si="923">L273*$C273</f>
        <v>0</v>
      </c>
      <c r="M274" s="10">
        <f t="shared" ref="M274" si="924">M273*$C273</f>
        <v>0</v>
      </c>
      <c r="N274" s="11">
        <f t="shared" ref="N274" ca="1" si="925">IFERROR(N273/SUM($E273:$F273)*SUM($E274:$F274),"")</f>
        <v>0</v>
      </c>
      <c r="O274" s="10">
        <f>O273*$C273</f>
        <v>0</v>
      </c>
    </row>
    <row r="275" spans="1:15" x14ac:dyDescent="0.55000000000000004">
      <c r="A275" s="80">
        <v>324</v>
      </c>
      <c r="B275" s="95" t="s">
        <v>157</v>
      </c>
      <c r="C275" s="78">
        <f>IFERROR(VLOOKUP(A275,'原料標準単価（貼付）'!B:E,3,FALSE),0)</f>
        <v>0</v>
      </c>
      <c r="D275" s="12" t="s">
        <v>18</v>
      </c>
      <c r="E275" s="13">
        <v>0</v>
      </c>
      <c r="F275" s="6">
        <f>IFERROR(VLOOKUP(A275,'1.2①原材料受入'!A:E,3,FALSE),0)</f>
        <v>0</v>
      </c>
      <c r="G275" s="6">
        <f ca="1">SUMIF('1.3②原材料使用'!C:E,A275,'1.3②原材料使用'!E:E)</f>
        <v>0</v>
      </c>
      <c r="H275" s="6">
        <f>SUMIFS('1.4原材料(その他)'!E:E,'1.4原材料(その他)'!C:C,A:A,'1.4原材料(その他)'!H:H,H$3)</f>
        <v>0</v>
      </c>
      <c r="I275" s="6">
        <f>SUMIFS('1.4原材料(その他)'!E:E,'1.4原材料(その他)'!C:C,A:A,'1.4原材料(その他)'!H:H,I$3)</f>
        <v>0</v>
      </c>
      <c r="J275" s="6">
        <f>SUMIFS('1.4原材料(その他)'!E:E,'1.4原材料(その他)'!C:C,A:A,'1.4原材料(その他)'!H:H,J$3)</f>
        <v>0</v>
      </c>
      <c r="K275" s="6">
        <f>SUMIFS('1.4原材料(その他)'!E:E,'1.4原材料(その他)'!C:C,A:A,'1.4原材料(その他)'!H:H,K$3)</f>
        <v>0</v>
      </c>
      <c r="L275" s="6">
        <f>SUMIFS('1.4原材料(その他)'!E:E,'1.4原材料(その他)'!C:C,A:A,'1.4原材料(その他)'!H:H,L$3)</f>
        <v>0</v>
      </c>
      <c r="M275" s="6">
        <f>SUMIFS('1.4原材料(その他)'!E:E,'1.4原材料(その他)'!C:C,A:A,'1.4原材料(その他)'!H:H,M$3)</f>
        <v>0</v>
      </c>
      <c r="N275" s="7">
        <f ca="1">O275-(E275+F275-SUM(G275:M275))</f>
        <v>0</v>
      </c>
      <c r="O275" s="8">
        <f>SUMIF('1.5原材料在庫'!A:A,原材料SC明細!A275,'1.5原材料在庫'!D:D)</f>
        <v>0</v>
      </c>
    </row>
    <row r="276" spans="1:15" x14ac:dyDescent="0.55000000000000004">
      <c r="A276" s="80"/>
      <c r="B276" s="86"/>
      <c r="C276" s="79"/>
      <c r="D276" s="9" t="s">
        <v>19</v>
      </c>
      <c r="E276" s="10" t="s">
        <v>68</v>
      </c>
      <c r="F276" s="10">
        <f>F275*$C275</f>
        <v>0</v>
      </c>
      <c r="G276" s="10">
        <f ca="1">G275*$C275</f>
        <v>0</v>
      </c>
      <c r="H276" s="10">
        <f t="shared" ref="H276" si="926">H275*$C275</f>
        <v>0</v>
      </c>
      <c r="I276" s="10">
        <f t="shared" ref="I276" si="927">I275*$C275</f>
        <v>0</v>
      </c>
      <c r="J276" s="10">
        <f t="shared" ref="J276" si="928">J275*$C275</f>
        <v>0</v>
      </c>
      <c r="K276" s="10">
        <f t="shared" ref="K276" si="929">K275*$C275</f>
        <v>0</v>
      </c>
      <c r="L276" s="10">
        <f t="shared" ref="L276" si="930">L275*$C275</f>
        <v>0</v>
      </c>
      <c r="M276" s="10">
        <f t="shared" ref="M276" si="931">M275*$C275</f>
        <v>0</v>
      </c>
      <c r="N276" s="11" t="str">
        <f t="shared" ref="N276" ca="1" si="932">IFERROR(N275/SUM($E275:$F275)*SUM($E276:$F276),"")</f>
        <v/>
      </c>
      <c r="O276" s="10">
        <f>O275*$C275</f>
        <v>0</v>
      </c>
    </row>
    <row r="277" spans="1:15" x14ac:dyDescent="0.55000000000000004">
      <c r="A277" s="80">
        <v>325</v>
      </c>
      <c r="B277" s="95" t="s">
        <v>158</v>
      </c>
      <c r="C277" s="78">
        <f>IFERROR(VLOOKUP(A277,'原料標準単価（貼付）'!B:E,3,FALSE),0)</f>
        <v>50000</v>
      </c>
      <c r="D277" s="12" t="s">
        <v>18</v>
      </c>
      <c r="E277" s="13">
        <v>7.5999999999999925</v>
      </c>
      <c r="F277" s="6">
        <f>IFERROR(VLOOKUP(A277,'1.2①原材料受入'!A:E,3,FALSE),0)</f>
        <v>115</v>
      </c>
      <c r="G277" s="6">
        <f ca="1">SUMIF('1.3②原材料使用'!C:E,A277,'1.3②原材料使用'!E:E)</f>
        <v>73</v>
      </c>
      <c r="H277" s="6">
        <f>SUMIFS('1.4原材料(その他)'!E:E,'1.4原材料(その他)'!C:C,A:A,'1.4原材料(その他)'!H:H,H$3)</f>
        <v>0</v>
      </c>
      <c r="I277" s="6">
        <f>SUMIFS('1.4原材料(その他)'!E:E,'1.4原材料(その他)'!C:C,A:A,'1.4原材料(その他)'!H:H,I$3)</f>
        <v>0</v>
      </c>
      <c r="J277" s="6">
        <f>SUMIFS('1.4原材料(その他)'!E:E,'1.4原材料(その他)'!C:C,A:A,'1.4原材料(その他)'!H:H,J$3)</f>
        <v>0</v>
      </c>
      <c r="K277" s="6">
        <f>SUMIFS('1.4原材料(その他)'!E:E,'1.4原材料(その他)'!C:C,A:A,'1.4原材料(その他)'!H:H,K$3)</f>
        <v>0</v>
      </c>
      <c r="L277" s="6">
        <f>SUMIFS('1.4原材料(その他)'!E:E,'1.4原材料(その他)'!C:C,A:A,'1.4原材料(その他)'!H:H,L$3)</f>
        <v>0</v>
      </c>
      <c r="M277" s="6">
        <f>SUMIFS('1.4原材料(その他)'!E:E,'1.4原材料(その他)'!C:C,A:A,'1.4原材料(その他)'!H:H,M$3)</f>
        <v>0</v>
      </c>
      <c r="N277" s="7">
        <f ca="1">O277-(E277+F277-SUM(G277:M277))</f>
        <v>0</v>
      </c>
      <c r="O277" s="8">
        <f>SUMIF('1.5原材料在庫'!A:A,原材料SC明細!A277,'1.5原材料在庫'!D:D)</f>
        <v>49.599999999999994</v>
      </c>
    </row>
    <row r="278" spans="1:15" x14ac:dyDescent="0.55000000000000004">
      <c r="A278" s="80"/>
      <c r="B278" s="86"/>
      <c r="C278" s="79"/>
      <c r="D278" s="9" t="s">
        <v>19</v>
      </c>
      <c r="E278" s="10">
        <v>379999.99999999965</v>
      </c>
      <c r="F278" s="10">
        <f>F277*$C277</f>
        <v>5750000</v>
      </c>
      <c r="G278" s="10">
        <f ca="1">G277*$C277</f>
        <v>3650000</v>
      </c>
      <c r="H278" s="10">
        <f t="shared" ref="H278" si="933">H277*$C277</f>
        <v>0</v>
      </c>
      <c r="I278" s="10">
        <f t="shared" ref="I278" si="934">I277*$C277</f>
        <v>0</v>
      </c>
      <c r="J278" s="10">
        <f t="shared" ref="J278" si="935">J277*$C277</f>
        <v>0</v>
      </c>
      <c r="K278" s="10">
        <f t="shared" ref="K278" si="936">K277*$C277</f>
        <v>0</v>
      </c>
      <c r="L278" s="10">
        <f t="shared" ref="L278" si="937">L277*$C277</f>
        <v>0</v>
      </c>
      <c r="M278" s="10">
        <f t="shared" ref="M278" si="938">M277*$C277</f>
        <v>0</v>
      </c>
      <c r="N278" s="11">
        <f t="shared" ref="N278" ca="1" si="939">IFERROR(N277/SUM($E277:$F277)*SUM($E278:$F278),"")</f>
        <v>0</v>
      </c>
      <c r="O278" s="10">
        <f>O277*$C277</f>
        <v>2479999.9999999995</v>
      </c>
    </row>
    <row r="279" spans="1:15" x14ac:dyDescent="0.55000000000000004">
      <c r="A279" s="80">
        <v>326</v>
      </c>
      <c r="B279" s="95" t="s">
        <v>159</v>
      </c>
      <c r="C279" s="78">
        <f>IFERROR(VLOOKUP(A279,'原料標準単価（貼付）'!B:E,3,FALSE),0)</f>
        <v>0</v>
      </c>
      <c r="D279" s="12" t="s">
        <v>18</v>
      </c>
      <c r="E279" s="13">
        <v>0</v>
      </c>
      <c r="F279" s="6">
        <f>IFERROR(VLOOKUP(A279,'1.2①原材料受入'!A:E,3,FALSE),0)</f>
        <v>0</v>
      </c>
      <c r="G279" s="6">
        <f ca="1">SUMIF('1.3②原材料使用'!C:E,A279,'1.3②原材料使用'!E:E)</f>
        <v>0</v>
      </c>
      <c r="H279" s="6">
        <f>SUMIFS('1.4原材料(その他)'!E:E,'1.4原材料(その他)'!C:C,A:A,'1.4原材料(その他)'!H:H,H$3)</f>
        <v>0</v>
      </c>
      <c r="I279" s="6">
        <f>SUMIFS('1.4原材料(その他)'!E:E,'1.4原材料(その他)'!C:C,A:A,'1.4原材料(その他)'!H:H,I$3)</f>
        <v>0</v>
      </c>
      <c r="J279" s="6">
        <f>SUMIFS('1.4原材料(その他)'!E:E,'1.4原材料(その他)'!C:C,A:A,'1.4原材料(その他)'!H:H,J$3)</f>
        <v>0</v>
      </c>
      <c r="K279" s="6">
        <f>SUMIFS('1.4原材料(その他)'!E:E,'1.4原材料(その他)'!C:C,A:A,'1.4原材料(その他)'!H:H,K$3)</f>
        <v>0</v>
      </c>
      <c r="L279" s="6">
        <f>SUMIFS('1.4原材料(その他)'!E:E,'1.4原材料(その他)'!C:C,A:A,'1.4原材料(その他)'!H:H,L$3)</f>
        <v>0</v>
      </c>
      <c r="M279" s="6">
        <f>SUMIFS('1.4原材料(その他)'!E:E,'1.4原材料(その他)'!C:C,A:A,'1.4原材料(その他)'!H:H,M$3)</f>
        <v>0</v>
      </c>
      <c r="N279" s="7">
        <f ca="1">O279-(E279+F279-SUM(G279:M279))</f>
        <v>0</v>
      </c>
      <c r="O279" s="8">
        <f>SUMIF('1.5原材料在庫'!A:A,原材料SC明細!A279,'1.5原材料在庫'!D:D)</f>
        <v>0</v>
      </c>
    </row>
    <row r="280" spans="1:15" x14ac:dyDescent="0.55000000000000004">
      <c r="A280" s="80"/>
      <c r="B280" s="86"/>
      <c r="C280" s="79"/>
      <c r="D280" s="9" t="s">
        <v>19</v>
      </c>
      <c r="E280" s="10" t="s">
        <v>68</v>
      </c>
      <c r="F280" s="10">
        <f>F279*$C279</f>
        <v>0</v>
      </c>
      <c r="G280" s="10">
        <f ca="1">G279*$C279</f>
        <v>0</v>
      </c>
      <c r="H280" s="10">
        <f t="shared" ref="H280" si="940">H279*$C279</f>
        <v>0</v>
      </c>
      <c r="I280" s="10">
        <f t="shared" ref="I280" si="941">I279*$C279</f>
        <v>0</v>
      </c>
      <c r="J280" s="10">
        <f t="shared" ref="J280" si="942">J279*$C279</f>
        <v>0</v>
      </c>
      <c r="K280" s="10">
        <f t="shared" ref="K280" si="943">K279*$C279</f>
        <v>0</v>
      </c>
      <c r="L280" s="10">
        <f t="shared" ref="L280" si="944">L279*$C279</f>
        <v>0</v>
      </c>
      <c r="M280" s="10">
        <f t="shared" ref="M280" si="945">M279*$C279</f>
        <v>0</v>
      </c>
      <c r="N280" s="11" t="str">
        <f t="shared" ref="N280" ca="1" si="946">IFERROR(N279/SUM($E279:$F279)*SUM($E280:$F280),"")</f>
        <v/>
      </c>
      <c r="O280" s="10">
        <f>O279*$C279</f>
        <v>0</v>
      </c>
    </row>
    <row r="281" spans="1:15" x14ac:dyDescent="0.55000000000000004">
      <c r="A281" s="80">
        <v>327</v>
      </c>
      <c r="B281" s="95" t="s">
        <v>160</v>
      </c>
      <c r="C281" s="78">
        <f>IFERROR(VLOOKUP(A281,'原料標準単価（貼付）'!B:E,3,FALSE),0)</f>
        <v>120000</v>
      </c>
      <c r="D281" s="12" t="s">
        <v>18</v>
      </c>
      <c r="E281" s="13">
        <v>1</v>
      </c>
      <c r="F281" s="6">
        <f>IFERROR(VLOOKUP(A281,'1.2①原材料受入'!A:E,3,FALSE),0)</f>
        <v>7</v>
      </c>
      <c r="G281" s="6">
        <f ca="1">SUMIF('1.3②原材料使用'!C:E,A281,'1.3②原材料使用'!E:E)</f>
        <v>7.9</v>
      </c>
      <c r="H281" s="6">
        <f>SUMIFS('1.4原材料(その他)'!E:E,'1.4原材料(その他)'!C:C,A:A,'1.4原材料(その他)'!H:H,H$3)</f>
        <v>0</v>
      </c>
      <c r="I281" s="6">
        <f>SUMIFS('1.4原材料(その他)'!E:E,'1.4原材料(その他)'!C:C,A:A,'1.4原材料(その他)'!H:H,I$3)</f>
        <v>0</v>
      </c>
      <c r="J281" s="6">
        <f>SUMIFS('1.4原材料(その他)'!E:E,'1.4原材料(その他)'!C:C,A:A,'1.4原材料(その他)'!H:H,J$3)</f>
        <v>0</v>
      </c>
      <c r="K281" s="6">
        <f>SUMIFS('1.4原材料(その他)'!E:E,'1.4原材料(その他)'!C:C,A:A,'1.4原材料(その他)'!H:H,K$3)</f>
        <v>0</v>
      </c>
      <c r="L281" s="6">
        <f>SUMIFS('1.4原材料(その他)'!E:E,'1.4原材料(その他)'!C:C,A:A,'1.4原材料(その他)'!H:H,L$3)</f>
        <v>0</v>
      </c>
      <c r="M281" s="6">
        <f>SUMIFS('1.4原材料(その他)'!E:E,'1.4原材料(その他)'!C:C,A:A,'1.4原材料(その他)'!H:H,M$3)</f>
        <v>0</v>
      </c>
      <c r="N281" s="7">
        <f ca="1">O281-(E281+F281-SUM(G281:M281))</f>
        <v>4.4408920985006262E-16</v>
      </c>
      <c r="O281" s="8">
        <f>SUMIF('1.5原材料在庫'!A:A,原材料SC明細!A281,'1.5原材料在庫'!D:D)</f>
        <v>0.10000000000000009</v>
      </c>
    </row>
    <row r="282" spans="1:15" x14ac:dyDescent="0.55000000000000004">
      <c r="A282" s="80"/>
      <c r="B282" s="86"/>
      <c r="C282" s="79"/>
      <c r="D282" s="9" t="s">
        <v>19</v>
      </c>
      <c r="E282" s="10">
        <v>119999.90062207915</v>
      </c>
      <c r="F282" s="10">
        <f>F281*$C281</f>
        <v>840000</v>
      </c>
      <c r="G282" s="10">
        <f ca="1">G281*$C281</f>
        <v>948000</v>
      </c>
      <c r="H282" s="10">
        <f t="shared" ref="H282" si="947">H281*$C281</f>
        <v>0</v>
      </c>
      <c r="I282" s="10">
        <f t="shared" ref="I282" si="948">I281*$C281</f>
        <v>0</v>
      </c>
      <c r="J282" s="10">
        <f t="shared" ref="J282" si="949">J281*$C281</f>
        <v>0</v>
      </c>
      <c r="K282" s="10">
        <f t="shared" ref="K282" si="950">K281*$C281</f>
        <v>0</v>
      </c>
      <c r="L282" s="10">
        <f t="shared" ref="L282" si="951">L281*$C281</f>
        <v>0</v>
      </c>
      <c r="M282" s="10">
        <f t="shared" ref="M282" si="952">M281*$C281</f>
        <v>0</v>
      </c>
      <c r="N282" s="11">
        <f t="shared" ref="N282" ca="1" si="953">IFERROR(N281/SUM($E281:$F281)*SUM($E282:$F282),"")</f>
        <v>5.3290699665424721E-11</v>
      </c>
      <c r="O282" s="10">
        <f>O281*$C281</f>
        <v>12000.000000000011</v>
      </c>
    </row>
    <row r="283" spans="1:15" x14ac:dyDescent="0.55000000000000004">
      <c r="A283" s="80">
        <v>328</v>
      </c>
      <c r="B283" s="95" t="s">
        <v>161</v>
      </c>
      <c r="C283" s="78">
        <f>IFERROR(VLOOKUP(A283,'原料標準単価（貼付）'!B:E,3,FALSE),0)</f>
        <v>0</v>
      </c>
      <c r="D283" s="12" t="s">
        <v>18</v>
      </c>
      <c r="E283" s="13">
        <v>-2.7755575615628914E-17</v>
      </c>
      <c r="F283" s="6">
        <f>IFERROR(VLOOKUP(A283,'1.2①原材料受入'!A:E,3,FALSE),0)</f>
        <v>0</v>
      </c>
      <c r="G283" s="6">
        <f ca="1">SUMIF('1.3②原材料使用'!C:E,A283,'1.3②原材料使用'!E:E)</f>
        <v>0</v>
      </c>
      <c r="H283" s="6">
        <f>SUMIFS('1.4原材料(その他)'!E:E,'1.4原材料(その他)'!C:C,A:A,'1.4原材料(その他)'!H:H,H$3)</f>
        <v>0</v>
      </c>
      <c r="I283" s="6">
        <f>SUMIFS('1.4原材料(その他)'!E:E,'1.4原材料(その他)'!C:C,A:A,'1.4原材料(その他)'!H:H,I$3)</f>
        <v>0</v>
      </c>
      <c r="J283" s="6">
        <f>SUMIFS('1.4原材料(その他)'!E:E,'1.4原材料(その他)'!C:C,A:A,'1.4原材料(その他)'!H:H,J$3)</f>
        <v>0</v>
      </c>
      <c r="K283" s="6">
        <f>SUMIFS('1.4原材料(その他)'!E:E,'1.4原材料(その他)'!C:C,A:A,'1.4原材料(その他)'!H:H,K$3)</f>
        <v>0</v>
      </c>
      <c r="L283" s="6">
        <f>SUMIFS('1.4原材料(その他)'!E:E,'1.4原材料(その他)'!C:C,A:A,'1.4原材料(その他)'!H:H,L$3)</f>
        <v>0</v>
      </c>
      <c r="M283" s="6">
        <f>SUMIFS('1.4原材料(その他)'!E:E,'1.4原材料(その他)'!C:C,A:A,'1.4原材料(その他)'!H:H,M$3)</f>
        <v>0</v>
      </c>
      <c r="N283" s="7">
        <f ca="1">O283-(E283+F283-SUM(G283:M283))</f>
        <v>0</v>
      </c>
      <c r="O283" s="8">
        <f>SUMIF('1.5原材料在庫'!A:A,原材料SC明細!A283,'1.5原材料在庫'!D:D)</f>
        <v>-2.7755575615628914E-17</v>
      </c>
    </row>
    <row r="284" spans="1:15" x14ac:dyDescent="0.55000000000000004">
      <c r="A284" s="80"/>
      <c r="B284" s="86"/>
      <c r="C284" s="79"/>
      <c r="D284" s="9" t="s">
        <v>19</v>
      </c>
      <c r="E284" s="10">
        <v>-1.8847886214719742E-12</v>
      </c>
      <c r="F284" s="10">
        <f>F283*$C283</f>
        <v>0</v>
      </c>
      <c r="G284" s="10">
        <f ca="1">G283*$C283</f>
        <v>0</v>
      </c>
      <c r="H284" s="10">
        <f t="shared" ref="H284" si="954">H283*$C283</f>
        <v>0</v>
      </c>
      <c r="I284" s="10">
        <f t="shared" ref="I284" si="955">I283*$C283</f>
        <v>0</v>
      </c>
      <c r="J284" s="10">
        <f t="shared" ref="J284" si="956">J283*$C283</f>
        <v>0</v>
      </c>
      <c r="K284" s="10">
        <f t="shared" ref="K284" si="957">K283*$C283</f>
        <v>0</v>
      </c>
      <c r="L284" s="10">
        <f t="shared" ref="L284" si="958">L283*$C283</f>
        <v>0</v>
      </c>
      <c r="M284" s="10">
        <f t="shared" ref="M284" si="959">M283*$C283</f>
        <v>0</v>
      </c>
      <c r="N284" s="11">
        <f t="shared" ref="N284" ca="1" si="960">IFERROR(N283/SUM($E283:$F283)*SUM($E284:$F284),"")</f>
        <v>0</v>
      </c>
      <c r="O284" s="10">
        <f>O283*$C283</f>
        <v>0</v>
      </c>
    </row>
    <row r="285" spans="1:15" x14ac:dyDescent="0.55000000000000004">
      <c r="A285" s="80">
        <v>329</v>
      </c>
      <c r="B285" s="95" t="s">
        <v>162</v>
      </c>
      <c r="C285" s="78">
        <f>IFERROR(VLOOKUP(A285,'原料標準単価（貼付）'!B:E,3,FALSE),0)</f>
        <v>0</v>
      </c>
      <c r="D285" s="12" t="s">
        <v>18</v>
      </c>
      <c r="E285" s="13">
        <v>0</v>
      </c>
      <c r="F285" s="6">
        <f>IFERROR(VLOOKUP(A285,'1.2①原材料受入'!A:E,3,FALSE),0)</f>
        <v>0</v>
      </c>
      <c r="G285" s="6">
        <f ca="1">SUMIF('1.3②原材料使用'!C:E,A285,'1.3②原材料使用'!E:E)</f>
        <v>0</v>
      </c>
      <c r="H285" s="6">
        <f>SUMIFS('1.4原材料(その他)'!E:E,'1.4原材料(その他)'!C:C,A:A,'1.4原材料(その他)'!H:H,H$3)</f>
        <v>0</v>
      </c>
      <c r="I285" s="6">
        <f>SUMIFS('1.4原材料(その他)'!E:E,'1.4原材料(その他)'!C:C,A:A,'1.4原材料(その他)'!H:H,I$3)</f>
        <v>0</v>
      </c>
      <c r="J285" s="6">
        <f>SUMIFS('1.4原材料(その他)'!E:E,'1.4原材料(その他)'!C:C,A:A,'1.4原材料(その他)'!H:H,J$3)</f>
        <v>0</v>
      </c>
      <c r="K285" s="6">
        <f>SUMIFS('1.4原材料(その他)'!E:E,'1.4原材料(その他)'!C:C,A:A,'1.4原材料(その他)'!H:H,K$3)</f>
        <v>0</v>
      </c>
      <c r="L285" s="6">
        <f>SUMIFS('1.4原材料(その他)'!E:E,'1.4原材料(その他)'!C:C,A:A,'1.4原材料(その他)'!H:H,L$3)</f>
        <v>0</v>
      </c>
      <c r="M285" s="6">
        <f>SUMIFS('1.4原材料(その他)'!E:E,'1.4原材料(その他)'!C:C,A:A,'1.4原材料(その他)'!H:H,M$3)</f>
        <v>0</v>
      </c>
      <c r="N285" s="7">
        <f ca="1">O285-(E285+F285-SUM(G285:M285))</f>
        <v>0</v>
      </c>
      <c r="O285" s="8">
        <f>SUMIF('1.5原材料在庫'!A:A,原材料SC明細!A285,'1.5原材料在庫'!D:D)</f>
        <v>0</v>
      </c>
    </row>
    <row r="286" spans="1:15" x14ac:dyDescent="0.55000000000000004">
      <c r="A286" s="80"/>
      <c r="B286" s="86"/>
      <c r="C286" s="79"/>
      <c r="D286" s="9" t="s">
        <v>19</v>
      </c>
      <c r="E286" s="10" t="s">
        <v>68</v>
      </c>
      <c r="F286" s="10">
        <f>F285*$C285</f>
        <v>0</v>
      </c>
      <c r="G286" s="10">
        <f ca="1">G285*$C285</f>
        <v>0</v>
      </c>
      <c r="H286" s="10">
        <f t="shared" ref="H286" si="961">H285*$C285</f>
        <v>0</v>
      </c>
      <c r="I286" s="10">
        <f t="shared" ref="I286" si="962">I285*$C285</f>
        <v>0</v>
      </c>
      <c r="J286" s="10">
        <f t="shared" ref="J286" si="963">J285*$C285</f>
        <v>0</v>
      </c>
      <c r="K286" s="10">
        <f t="shared" ref="K286" si="964">K285*$C285</f>
        <v>0</v>
      </c>
      <c r="L286" s="10">
        <f t="shared" ref="L286" si="965">L285*$C285</f>
        <v>0</v>
      </c>
      <c r="M286" s="10">
        <f t="shared" ref="M286" si="966">M285*$C285</f>
        <v>0</v>
      </c>
      <c r="N286" s="11" t="str">
        <f t="shared" ref="N286" ca="1" si="967">IFERROR(N285/SUM($E285:$F285)*SUM($E286:$F286),"")</f>
        <v/>
      </c>
      <c r="O286" s="10">
        <f>O285*$C285</f>
        <v>0</v>
      </c>
    </row>
    <row r="287" spans="1:15" x14ac:dyDescent="0.55000000000000004">
      <c r="A287" s="80">
        <v>330</v>
      </c>
      <c r="B287" s="95" t="s">
        <v>163</v>
      </c>
      <c r="C287" s="78">
        <f>IFERROR(VLOOKUP(A287,'原料標準単価（貼付）'!B:E,3,FALSE),0)</f>
        <v>0</v>
      </c>
      <c r="D287" s="12" t="s">
        <v>18</v>
      </c>
      <c r="E287" s="13">
        <v>0</v>
      </c>
      <c r="F287" s="6">
        <f>IFERROR(VLOOKUP(A287,'1.2①原材料受入'!A:E,3,FALSE),0)</f>
        <v>0</v>
      </c>
      <c r="G287" s="6">
        <f ca="1">SUMIF('1.3②原材料使用'!C:E,A287,'1.3②原材料使用'!E:E)</f>
        <v>0</v>
      </c>
      <c r="H287" s="6">
        <f>SUMIFS('1.4原材料(その他)'!E:E,'1.4原材料(その他)'!C:C,A:A,'1.4原材料(その他)'!H:H,H$3)</f>
        <v>0</v>
      </c>
      <c r="I287" s="6">
        <f>SUMIFS('1.4原材料(その他)'!E:E,'1.4原材料(その他)'!C:C,A:A,'1.4原材料(その他)'!H:H,I$3)</f>
        <v>0</v>
      </c>
      <c r="J287" s="6">
        <f>SUMIFS('1.4原材料(その他)'!E:E,'1.4原材料(その他)'!C:C,A:A,'1.4原材料(その他)'!H:H,J$3)</f>
        <v>0</v>
      </c>
      <c r="K287" s="6">
        <f>SUMIFS('1.4原材料(その他)'!E:E,'1.4原材料(その他)'!C:C,A:A,'1.4原材料(その他)'!H:H,K$3)</f>
        <v>0</v>
      </c>
      <c r="L287" s="6">
        <f>SUMIFS('1.4原材料(その他)'!E:E,'1.4原材料(その他)'!C:C,A:A,'1.4原材料(その他)'!H:H,L$3)</f>
        <v>0</v>
      </c>
      <c r="M287" s="6">
        <f>SUMIFS('1.4原材料(その他)'!E:E,'1.4原材料(その他)'!C:C,A:A,'1.4原材料(その他)'!H:H,M$3)</f>
        <v>0</v>
      </c>
      <c r="N287" s="7">
        <f ca="1">O287-(E287+F287-SUM(G287:M287))</f>
        <v>0</v>
      </c>
      <c r="O287" s="8">
        <f>SUMIF('1.5原材料在庫'!A:A,原材料SC明細!A287,'1.5原材料在庫'!D:D)</f>
        <v>0</v>
      </c>
    </row>
    <row r="288" spans="1:15" x14ac:dyDescent="0.55000000000000004">
      <c r="A288" s="80"/>
      <c r="B288" s="86"/>
      <c r="C288" s="79"/>
      <c r="D288" s="9" t="s">
        <v>19</v>
      </c>
      <c r="E288" s="10" t="s">
        <v>68</v>
      </c>
      <c r="F288" s="10">
        <f>F287*$C287</f>
        <v>0</v>
      </c>
      <c r="G288" s="10">
        <f ca="1">G287*$C287</f>
        <v>0</v>
      </c>
      <c r="H288" s="10">
        <f t="shared" ref="H288" si="968">H287*$C287</f>
        <v>0</v>
      </c>
      <c r="I288" s="10">
        <f t="shared" ref="I288" si="969">I287*$C287</f>
        <v>0</v>
      </c>
      <c r="J288" s="10">
        <f t="shared" ref="J288" si="970">J287*$C287</f>
        <v>0</v>
      </c>
      <c r="K288" s="10">
        <f t="shared" ref="K288" si="971">K287*$C287</f>
        <v>0</v>
      </c>
      <c r="L288" s="10">
        <f t="shared" ref="L288" si="972">L287*$C287</f>
        <v>0</v>
      </c>
      <c r="M288" s="10">
        <f t="shared" ref="M288" si="973">M287*$C287</f>
        <v>0</v>
      </c>
      <c r="N288" s="11" t="str">
        <f t="shared" ref="N288" ca="1" si="974">IFERROR(N287/SUM($E287:$F287)*SUM($E288:$F288),"")</f>
        <v/>
      </c>
      <c r="O288" s="10">
        <f>O287*$C287</f>
        <v>0</v>
      </c>
    </row>
    <row r="289" spans="1:15" x14ac:dyDescent="0.55000000000000004">
      <c r="A289" s="80">
        <v>331</v>
      </c>
      <c r="B289" s="95" t="s">
        <v>164</v>
      </c>
      <c r="C289" s="78">
        <f>IFERROR(VLOOKUP(A289,'原料標準単価（貼付）'!B:E,3,FALSE),0)</f>
        <v>0</v>
      </c>
      <c r="D289" s="12" t="s">
        <v>18</v>
      </c>
      <c r="E289" s="13">
        <v>0</v>
      </c>
      <c r="F289" s="6">
        <f>IFERROR(VLOOKUP(A289,'1.2①原材料受入'!A:E,3,FALSE),0)</f>
        <v>0</v>
      </c>
      <c r="G289" s="6">
        <f ca="1">SUMIF('1.3②原材料使用'!C:E,A289,'1.3②原材料使用'!E:E)</f>
        <v>0</v>
      </c>
      <c r="H289" s="6">
        <f>SUMIFS('1.4原材料(その他)'!E:E,'1.4原材料(その他)'!C:C,A:A,'1.4原材料(その他)'!H:H,H$3)</f>
        <v>0</v>
      </c>
      <c r="I289" s="6">
        <f>SUMIFS('1.4原材料(その他)'!E:E,'1.4原材料(その他)'!C:C,A:A,'1.4原材料(その他)'!H:H,I$3)</f>
        <v>0</v>
      </c>
      <c r="J289" s="6">
        <f>SUMIFS('1.4原材料(その他)'!E:E,'1.4原材料(その他)'!C:C,A:A,'1.4原材料(その他)'!H:H,J$3)</f>
        <v>0</v>
      </c>
      <c r="K289" s="6">
        <f>SUMIFS('1.4原材料(その他)'!E:E,'1.4原材料(その他)'!C:C,A:A,'1.4原材料(その他)'!H:H,K$3)</f>
        <v>0</v>
      </c>
      <c r="L289" s="6">
        <f>SUMIFS('1.4原材料(その他)'!E:E,'1.4原材料(その他)'!C:C,A:A,'1.4原材料(その他)'!H:H,L$3)</f>
        <v>0</v>
      </c>
      <c r="M289" s="6">
        <f>SUMIFS('1.4原材料(その他)'!E:E,'1.4原材料(その他)'!C:C,A:A,'1.4原材料(その他)'!H:H,M$3)</f>
        <v>0</v>
      </c>
      <c r="N289" s="7">
        <f ca="1">O289-(E289+F289-SUM(G289:M289))</f>
        <v>0</v>
      </c>
      <c r="O289" s="8">
        <f>SUMIF('1.5原材料在庫'!A:A,原材料SC明細!A289,'1.5原材料在庫'!D:D)</f>
        <v>0</v>
      </c>
    </row>
    <row r="290" spans="1:15" x14ac:dyDescent="0.55000000000000004">
      <c r="A290" s="80"/>
      <c r="B290" s="86"/>
      <c r="C290" s="79"/>
      <c r="D290" s="9" t="s">
        <v>19</v>
      </c>
      <c r="E290" s="10" t="s">
        <v>68</v>
      </c>
      <c r="F290" s="10">
        <f>F289*$C289</f>
        <v>0</v>
      </c>
      <c r="G290" s="10">
        <f ca="1">G289*$C289</f>
        <v>0</v>
      </c>
      <c r="H290" s="10">
        <f t="shared" ref="H290" si="975">H289*$C289</f>
        <v>0</v>
      </c>
      <c r="I290" s="10">
        <f t="shared" ref="I290" si="976">I289*$C289</f>
        <v>0</v>
      </c>
      <c r="J290" s="10">
        <f t="shared" ref="J290" si="977">J289*$C289</f>
        <v>0</v>
      </c>
      <c r="K290" s="10">
        <f t="shared" ref="K290" si="978">K289*$C289</f>
        <v>0</v>
      </c>
      <c r="L290" s="10">
        <f t="shared" ref="L290" si="979">L289*$C289</f>
        <v>0</v>
      </c>
      <c r="M290" s="10">
        <f t="shared" ref="M290" si="980">M289*$C289</f>
        <v>0</v>
      </c>
      <c r="N290" s="11" t="str">
        <f t="shared" ref="N290" ca="1" si="981">IFERROR(N289/SUM($E289:$F289)*SUM($E290:$F290),"")</f>
        <v/>
      </c>
      <c r="O290" s="10">
        <f>O289*$C289</f>
        <v>0</v>
      </c>
    </row>
    <row r="291" spans="1:15" x14ac:dyDescent="0.55000000000000004">
      <c r="A291" s="80">
        <v>332</v>
      </c>
      <c r="B291" s="95" t="s">
        <v>165</v>
      </c>
      <c r="C291" s="78">
        <f>IFERROR(VLOOKUP(A291,'原料標準単価（貼付）'!B:E,3,FALSE),0)</f>
        <v>0</v>
      </c>
      <c r="D291" s="12" t="s">
        <v>18</v>
      </c>
      <c r="E291" s="13">
        <v>0</v>
      </c>
      <c r="F291" s="6">
        <f>IFERROR(VLOOKUP(A291,'1.2①原材料受入'!A:E,3,FALSE),0)</f>
        <v>0</v>
      </c>
      <c r="G291" s="6">
        <f ca="1">SUMIF('1.3②原材料使用'!C:E,A291,'1.3②原材料使用'!E:E)</f>
        <v>0</v>
      </c>
      <c r="H291" s="6">
        <f>SUMIFS('1.4原材料(その他)'!E:E,'1.4原材料(その他)'!C:C,A:A,'1.4原材料(その他)'!H:H,H$3)</f>
        <v>0</v>
      </c>
      <c r="I291" s="6">
        <f>SUMIFS('1.4原材料(その他)'!E:E,'1.4原材料(その他)'!C:C,A:A,'1.4原材料(その他)'!H:H,I$3)</f>
        <v>0</v>
      </c>
      <c r="J291" s="6">
        <f>SUMIFS('1.4原材料(その他)'!E:E,'1.4原材料(その他)'!C:C,A:A,'1.4原材料(その他)'!H:H,J$3)</f>
        <v>0</v>
      </c>
      <c r="K291" s="6">
        <f>SUMIFS('1.4原材料(その他)'!E:E,'1.4原材料(その他)'!C:C,A:A,'1.4原材料(その他)'!H:H,K$3)</f>
        <v>0</v>
      </c>
      <c r="L291" s="6">
        <f>SUMIFS('1.4原材料(その他)'!E:E,'1.4原材料(その他)'!C:C,A:A,'1.4原材料(その他)'!H:H,L$3)</f>
        <v>0</v>
      </c>
      <c r="M291" s="6">
        <f>SUMIFS('1.4原材料(その他)'!E:E,'1.4原材料(その他)'!C:C,A:A,'1.4原材料(その他)'!H:H,M$3)</f>
        <v>0</v>
      </c>
      <c r="N291" s="7">
        <f ca="1">O291-(E291+F291-SUM(G291:M291))</f>
        <v>0</v>
      </c>
      <c r="O291" s="8">
        <f>SUMIF('1.5原材料在庫'!A:A,原材料SC明細!A291,'1.5原材料在庫'!D:D)</f>
        <v>0</v>
      </c>
    </row>
    <row r="292" spans="1:15" x14ac:dyDescent="0.55000000000000004">
      <c r="A292" s="80"/>
      <c r="B292" s="86"/>
      <c r="C292" s="79"/>
      <c r="D292" s="9" t="s">
        <v>19</v>
      </c>
      <c r="E292" s="10" t="s">
        <v>68</v>
      </c>
      <c r="F292" s="10">
        <f>F291*$C291</f>
        <v>0</v>
      </c>
      <c r="G292" s="10">
        <f ca="1">G291*$C291</f>
        <v>0</v>
      </c>
      <c r="H292" s="10">
        <f t="shared" ref="H292" si="982">H291*$C291</f>
        <v>0</v>
      </c>
      <c r="I292" s="10">
        <f t="shared" ref="I292" si="983">I291*$C291</f>
        <v>0</v>
      </c>
      <c r="J292" s="10">
        <f t="shared" ref="J292" si="984">J291*$C291</f>
        <v>0</v>
      </c>
      <c r="K292" s="10">
        <f t="shared" ref="K292" si="985">K291*$C291</f>
        <v>0</v>
      </c>
      <c r="L292" s="10">
        <f t="shared" ref="L292" si="986">L291*$C291</f>
        <v>0</v>
      </c>
      <c r="M292" s="10">
        <f t="shared" ref="M292" si="987">M291*$C291</f>
        <v>0</v>
      </c>
      <c r="N292" s="11" t="str">
        <f t="shared" ref="N292" ca="1" si="988">IFERROR(N291/SUM($E291:$F291)*SUM($E292:$F292),"")</f>
        <v/>
      </c>
      <c r="O292" s="10">
        <f>O291*$C291</f>
        <v>0</v>
      </c>
    </row>
    <row r="293" spans="1:15" x14ac:dyDescent="0.55000000000000004">
      <c r="A293" s="80">
        <v>333</v>
      </c>
      <c r="B293" s="95" t="s">
        <v>166</v>
      </c>
      <c r="C293" s="78">
        <f>IFERROR(VLOOKUP(A293,'原料標準単価（貼付）'!B:E,3,FALSE),0)</f>
        <v>0</v>
      </c>
      <c r="D293" s="12" t="s">
        <v>18</v>
      </c>
      <c r="E293" s="13">
        <v>32.700000000000038</v>
      </c>
      <c r="F293" s="6">
        <f>IFERROR(VLOOKUP(A293,'1.2①原材料受入'!A:E,3,FALSE),0)</f>
        <v>120</v>
      </c>
      <c r="G293" s="6">
        <f ca="1">SUMIF('1.3②原材料使用'!C:E,A293,'1.3②原材料使用'!E:E)</f>
        <v>113.3</v>
      </c>
      <c r="H293" s="6">
        <f>SUMIFS('1.4原材料(その他)'!E:E,'1.4原材料(その他)'!C:C,A:A,'1.4原材料(その他)'!H:H,H$3)</f>
        <v>0</v>
      </c>
      <c r="I293" s="6">
        <f>SUMIFS('1.4原材料(その他)'!E:E,'1.4原材料(その他)'!C:C,A:A,'1.4原材料(その他)'!H:H,I$3)</f>
        <v>0</v>
      </c>
      <c r="J293" s="6">
        <f>SUMIFS('1.4原材料(その他)'!E:E,'1.4原材料(その他)'!C:C,A:A,'1.4原材料(その他)'!H:H,J$3)</f>
        <v>0</v>
      </c>
      <c r="K293" s="6">
        <f>SUMIFS('1.4原材料(その他)'!E:E,'1.4原材料(その他)'!C:C,A:A,'1.4原材料(その他)'!H:H,K$3)</f>
        <v>0</v>
      </c>
      <c r="L293" s="6">
        <f>SUMIFS('1.4原材料(その他)'!E:E,'1.4原材料(その他)'!C:C,A:A,'1.4原材料(その他)'!H:H,L$3)</f>
        <v>0</v>
      </c>
      <c r="M293" s="6">
        <f>SUMIFS('1.4原材料(その他)'!E:E,'1.4原材料(その他)'!C:C,A:A,'1.4原材料(その他)'!H:H,M$3)</f>
        <v>-1.7000000000000002</v>
      </c>
      <c r="N293" s="7">
        <f ca="1">O293-(E293+F293-SUM(G293:M293))</f>
        <v>0</v>
      </c>
      <c r="O293" s="8">
        <f>SUMIF('1.5原材料在庫'!A:A,原材料SC明細!A293,'1.5原材料在庫'!D:D)</f>
        <v>41.100000000000023</v>
      </c>
    </row>
    <row r="294" spans="1:15" x14ac:dyDescent="0.55000000000000004">
      <c r="A294" s="80"/>
      <c r="B294" s="86"/>
      <c r="C294" s="79"/>
      <c r="D294" s="9" t="s">
        <v>19</v>
      </c>
      <c r="E294" s="10">
        <v>0</v>
      </c>
      <c r="F294" s="10">
        <f>F293*$C293</f>
        <v>0</v>
      </c>
      <c r="G294" s="10">
        <f ca="1">G293*$C293</f>
        <v>0</v>
      </c>
      <c r="H294" s="10">
        <f t="shared" ref="H294" si="989">H293*$C293</f>
        <v>0</v>
      </c>
      <c r="I294" s="10">
        <f t="shared" ref="I294" si="990">I293*$C293</f>
        <v>0</v>
      </c>
      <c r="J294" s="10">
        <f t="shared" ref="J294" si="991">J293*$C293</f>
        <v>0</v>
      </c>
      <c r="K294" s="10">
        <f t="shared" ref="K294" si="992">K293*$C293</f>
        <v>0</v>
      </c>
      <c r="L294" s="10">
        <f t="shared" ref="L294" si="993">L293*$C293</f>
        <v>0</v>
      </c>
      <c r="M294" s="10">
        <f t="shared" ref="M294" si="994">M293*$C293</f>
        <v>0</v>
      </c>
      <c r="N294" s="11">
        <f t="shared" ref="N294" ca="1" si="995">IFERROR(N293/SUM($E293:$F293)*SUM($E294:$F294),"")</f>
        <v>0</v>
      </c>
      <c r="O294" s="10">
        <f>O293*$C293</f>
        <v>0</v>
      </c>
    </row>
    <row r="295" spans="1:15" x14ac:dyDescent="0.55000000000000004">
      <c r="A295" s="80">
        <v>334</v>
      </c>
      <c r="B295" s="95" t="s">
        <v>167</v>
      </c>
      <c r="C295" s="78">
        <f>IFERROR(VLOOKUP(A295,'原料標準単価（貼付）'!B:E,3,FALSE),0)</f>
        <v>0</v>
      </c>
      <c r="D295" s="12" t="s">
        <v>18</v>
      </c>
      <c r="E295" s="13">
        <v>0</v>
      </c>
      <c r="F295" s="6">
        <f>IFERROR(VLOOKUP(A295,'1.2①原材料受入'!A:E,3,FALSE),0)</f>
        <v>0</v>
      </c>
      <c r="G295" s="6">
        <f ca="1">SUMIF('1.3②原材料使用'!C:E,A295,'1.3②原材料使用'!E:E)</f>
        <v>0</v>
      </c>
      <c r="H295" s="6">
        <f>SUMIFS('1.4原材料(その他)'!E:E,'1.4原材料(その他)'!C:C,A:A,'1.4原材料(その他)'!H:H,H$3)</f>
        <v>0</v>
      </c>
      <c r="I295" s="6">
        <f>SUMIFS('1.4原材料(その他)'!E:E,'1.4原材料(その他)'!C:C,A:A,'1.4原材料(その他)'!H:H,I$3)</f>
        <v>0</v>
      </c>
      <c r="J295" s="6">
        <f>SUMIFS('1.4原材料(その他)'!E:E,'1.4原材料(その他)'!C:C,A:A,'1.4原材料(その他)'!H:H,J$3)</f>
        <v>0</v>
      </c>
      <c r="K295" s="6">
        <f>SUMIFS('1.4原材料(その他)'!E:E,'1.4原材料(その他)'!C:C,A:A,'1.4原材料(その他)'!H:H,K$3)</f>
        <v>0</v>
      </c>
      <c r="L295" s="6">
        <f>SUMIFS('1.4原材料(その他)'!E:E,'1.4原材料(その他)'!C:C,A:A,'1.4原材料(その他)'!H:H,L$3)</f>
        <v>0</v>
      </c>
      <c r="M295" s="6">
        <f>SUMIFS('1.4原材料(その他)'!E:E,'1.4原材料(その他)'!C:C,A:A,'1.4原材料(その他)'!H:H,M$3)</f>
        <v>0</v>
      </c>
      <c r="N295" s="7">
        <f ca="1">O295-(E295+F295-SUM(G295:M295))</f>
        <v>0</v>
      </c>
      <c r="O295" s="8">
        <f>SUMIF('1.5原材料在庫'!A:A,原材料SC明細!A295,'1.5原材料在庫'!D:D)</f>
        <v>0</v>
      </c>
    </row>
    <row r="296" spans="1:15" x14ac:dyDescent="0.55000000000000004">
      <c r="A296" s="80"/>
      <c r="B296" s="86"/>
      <c r="C296" s="79"/>
      <c r="D296" s="9" t="s">
        <v>19</v>
      </c>
      <c r="E296" s="10" t="s">
        <v>68</v>
      </c>
      <c r="F296" s="10">
        <f>F295*$C295</f>
        <v>0</v>
      </c>
      <c r="G296" s="10">
        <f ca="1">G295*$C295</f>
        <v>0</v>
      </c>
      <c r="H296" s="10">
        <f t="shared" ref="H296" si="996">H295*$C295</f>
        <v>0</v>
      </c>
      <c r="I296" s="10">
        <f t="shared" ref="I296" si="997">I295*$C295</f>
        <v>0</v>
      </c>
      <c r="J296" s="10">
        <f t="shared" ref="J296" si="998">J295*$C295</f>
        <v>0</v>
      </c>
      <c r="K296" s="10">
        <f t="shared" ref="K296" si="999">K295*$C295</f>
        <v>0</v>
      </c>
      <c r="L296" s="10">
        <f t="shared" ref="L296" si="1000">L295*$C295</f>
        <v>0</v>
      </c>
      <c r="M296" s="10">
        <f t="shared" ref="M296" si="1001">M295*$C295</f>
        <v>0</v>
      </c>
      <c r="N296" s="11" t="str">
        <f t="shared" ref="N296" ca="1" si="1002">IFERROR(N295/SUM($E295:$F295)*SUM($E296:$F296),"")</f>
        <v/>
      </c>
      <c r="O296" s="10">
        <f>O295*$C295</f>
        <v>0</v>
      </c>
    </row>
    <row r="297" spans="1:15" x14ac:dyDescent="0.55000000000000004">
      <c r="A297" s="80">
        <v>335</v>
      </c>
      <c r="B297" s="95" t="s">
        <v>168</v>
      </c>
      <c r="C297" s="78">
        <f>IFERROR(VLOOKUP(A297,'原料標準単価（貼付）'!B:E,3,FALSE),0)</f>
        <v>0</v>
      </c>
      <c r="D297" s="12" t="s">
        <v>18</v>
      </c>
      <c r="E297" s="13">
        <v>4.6000000000000005</v>
      </c>
      <c r="F297" s="6">
        <f>IFERROR(VLOOKUP(A297,'1.2①原材料受入'!A:E,3,FALSE),0)</f>
        <v>0</v>
      </c>
      <c r="G297" s="6">
        <f ca="1">SUMIF('1.3②原材料使用'!C:E,A297,'1.3②原材料使用'!E:E)</f>
        <v>0</v>
      </c>
      <c r="H297" s="6">
        <f>SUMIFS('1.4原材料(その他)'!E:E,'1.4原材料(その他)'!C:C,A:A,'1.4原材料(その他)'!H:H,H$3)</f>
        <v>0</v>
      </c>
      <c r="I297" s="6">
        <f>SUMIFS('1.4原材料(その他)'!E:E,'1.4原材料(その他)'!C:C,A:A,'1.4原材料(その他)'!H:H,I$3)</f>
        <v>0</v>
      </c>
      <c r="J297" s="6">
        <f>SUMIFS('1.4原材料(その他)'!E:E,'1.4原材料(その他)'!C:C,A:A,'1.4原材料(その他)'!H:H,J$3)</f>
        <v>0</v>
      </c>
      <c r="K297" s="6">
        <f>SUMIFS('1.4原材料(その他)'!E:E,'1.4原材料(その他)'!C:C,A:A,'1.4原材料(その他)'!H:H,K$3)</f>
        <v>0</v>
      </c>
      <c r="L297" s="6">
        <f>SUMIFS('1.4原材料(その他)'!E:E,'1.4原材料(その他)'!C:C,A:A,'1.4原材料(その他)'!H:H,L$3)</f>
        <v>4.5999999999999996</v>
      </c>
      <c r="M297" s="6">
        <f>SUMIFS('1.4原材料(その他)'!E:E,'1.4原材料(その他)'!C:C,A:A,'1.4原材料(その他)'!H:H,M$3)</f>
        <v>0</v>
      </c>
      <c r="N297" s="7">
        <f ca="1">O297-(E297+F297-SUM(G297:M297))</f>
        <v>0</v>
      </c>
      <c r="O297" s="8">
        <f>SUMIF('1.5原材料在庫'!A:A,原材料SC明細!A297,'1.5原材料在庫'!D:D)</f>
        <v>8.8817841970012523E-16</v>
      </c>
    </row>
    <row r="298" spans="1:15" x14ac:dyDescent="0.55000000000000004">
      <c r="A298" s="80"/>
      <c r="B298" s="86"/>
      <c r="C298" s="79"/>
      <c r="D298" s="9" t="s">
        <v>19</v>
      </c>
      <c r="E298" s="10">
        <v>13267.461499197807</v>
      </c>
      <c r="F298" s="10">
        <f>F297*$C297</f>
        <v>0</v>
      </c>
      <c r="G298" s="10">
        <f ca="1">G297*$C297</f>
        <v>0</v>
      </c>
      <c r="H298" s="10">
        <f t="shared" ref="H298" si="1003">H297*$C297</f>
        <v>0</v>
      </c>
      <c r="I298" s="10">
        <f t="shared" ref="I298" si="1004">I297*$C297</f>
        <v>0</v>
      </c>
      <c r="J298" s="10">
        <f t="shared" ref="J298" si="1005">J297*$C297</f>
        <v>0</v>
      </c>
      <c r="K298" s="10">
        <f t="shared" ref="K298" si="1006">K297*$C297</f>
        <v>0</v>
      </c>
      <c r="L298" s="10">
        <f t="shared" ref="L298" si="1007">L297*$C297</f>
        <v>0</v>
      </c>
      <c r="M298" s="10">
        <f t="shared" ref="M298" si="1008">M297*$C297</f>
        <v>0</v>
      </c>
      <c r="N298" s="11">
        <f t="shared" ref="N298" ca="1" si="1009">IFERROR(N297/SUM($E297:$F297)*SUM($E298:$F298),"")</f>
        <v>0</v>
      </c>
      <c r="O298" s="10">
        <f>O297*$C297</f>
        <v>0</v>
      </c>
    </row>
    <row r="299" spans="1:15" x14ac:dyDescent="0.55000000000000004">
      <c r="A299" s="80">
        <v>336</v>
      </c>
      <c r="B299" s="95" t="s">
        <v>169</v>
      </c>
      <c r="C299" s="78">
        <f>IFERROR(VLOOKUP(A299,'原料標準単価（貼付）'!B:E,3,FALSE),0)</f>
        <v>0</v>
      </c>
      <c r="D299" s="12" t="s">
        <v>18</v>
      </c>
      <c r="E299" s="13">
        <v>0</v>
      </c>
      <c r="F299" s="6">
        <f>IFERROR(VLOOKUP(A299,'1.2①原材料受入'!A:E,3,FALSE),0)</f>
        <v>20</v>
      </c>
      <c r="G299" s="6">
        <f ca="1">SUMIF('1.3②原材料使用'!C:E,A299,'1.3②原材料使用'!E:E)</f>
        <v>20</v>
      </c>
      <c r="H299" s="6">
        <f>SUMIFS('1.4原材料(その他)'!E:E,'1.4原材料(その他)'!C:C,A:A,'1.4原材料(その他)'!H:H,H$3)</f>
        <v>0</v>
      </c>
      <c r="I299" s="6">
        <f>SUMIFS('1.4原材料(その他)'!E:E,'1.4原材料(その他)'!C:C,A:A,'1.4原材料(その他)'!H:H,I$3)</f>
        <v>0</v>
      </c>
      <c r="J299" s="6">
        <f>SUMIFS('1.4原材料(その他)'!E:E,'1.4原材料(その他)'!C:C,A:A,'1.4原材料(その他)'!H:H,J$3)</f>
        <v>0</v>
      </c>
      <c r="K299" s="6">
        <f>SUMIFS('1.4原材料(その他)'!E:E,'1.4原材料(その他)'!C:C,A:A,'1.4原材料(その他)'!H:H,K$3)</f>
        <v>0</v>
      </c>
      <c r="L299" s="6">
        <f>SUMIFS('1.4原材料(その他)'!E:E,'1.4原材料(その他)'!C:C,A:A,'1.4原材料(その他)'!H:H,L$3)</f>
        <v>0</v>
      </c>
      <c r="M299" s="6">
        <f>SUMIFS('1.4原材料(その他)'!E:E,'1.4原材料(その他)'!C:C,A:A,'1.4原材料(その他)'!H:H,M$3)</f>
        <v>0</v>
      </c>
      <c r="N299" s="7">
        <f ca="1">O299-(E299+F299-SUM(G299:M299))</f>
        <v>0</v>
      </c>
      <c r="O299" s="8">
        <f>SUMIF('1.5原材料在庫'!A:A,原材料SC明細!A299,'1.5原材料在庫'!D:D)</f>
        <v>0</v>
      </c>
    </row>
    <row r="300" spans="1:15" x14ac:dyDescent="0.55000000000000004">
      <c r="A300" s="80"/>
      <c r="B300" s="86"/>
      <c r="C300" s="79"/>
      <c r="D300" s="9" t="s">
        <v>19</v>
      </c>
      <c r="E300" s="10" t="s">
        <v>68</v>
      </c>
      <c r="F300" s="10">
        <f>F299*$C299</f>
        <v>0</v>
      </c>
      <c r="G300" s="10">
        <f ca="1">G299*$C299</f>
        <v>0</v>
      </c>
      <c r="H300" s="10">
        <f t="shared" ref="H300" si="1010">H299*$C299</f>
        <v>0</v>
      </c>
      <c r="I300" s="10">
        <f t="shared" ref="I300" si="1011">I299*$C299</f>
        <v>0</v>
      </c>
      <c r="J300" s="10">
        <f t="shared" ref="J300" si="1012">J299*$C299</f>
        <v>0</v>
      </c>
      <c r="K300" s="10">
        <f t="shared" ref="K300" si="1013">K299*$C299</f>
        <v>0</v>
      </c>
      <c r="L300" s="10">
        <f t="shared" ref="L300" si="1014">L299*$C299</f>
        <v>0</v>
      </c>
      <c r="M300" s="10">
        <f t="shared" ref="M300" si="1015">M299*$C299</f>
        <v>0</v>
      </c>
      <c r="N300" s="11">
        <f t="shared" ref="N300" ca="1" si="1016">IFERROR(N299/SUM($E299:$F299)*SUM($E300:$F300),"")</f>
        <v>0</v>
      </c>
      <c r="O300" s="10">
        <f>O299*$C299</f>
        <v>0</v>
      </c>
    </row>
    <row r="301" spans="1:15" x14ac:dyDescent="0.55000000000000004">
      <c r="A301" s="80">
        <v>337</v>
      </c>
      <c r="B301" s="95" t="s">
        <v>170</v>
      </c>
      <c r="C301" s="78">
        <f>IFERROR(VLOOKUP(A301,'原料標準単価（貼付）'!B:E,3,FALSE),0)</f>
        <v>47000.000000000007</v>
      </c>
      <c r="D301" s="12" t="s">
        <v>18</v>
      </c>
      <c r="E301" s="13">
        <v>0.69999999999999929</v>
      </c>
      <c r="F301" s="6">
        <f>IFERROR(VLOOKUP(A301,'1.2①原材料受入'!A:E,3,FALSE),0)</f>
        <v>0</v>
      </c>
      <c r="G301" s="6">
        <f ca="1">SUMIF('1.3②原材料使用'!C:E,A301,'1.3②原材料使用'!E:E)</f>
        <v>0</v>
      </c>
      <c r="H301" s="6">
        <f>SUMIFS('1.4原材料(その他)'!E:E,'1.4原材料(その他)'!C:C,A:A,'1.4原材料(その他)'!H:H,H$3)</f>
        <v>0</v>
      </c>
      <c r="I301" s="6">
        <f>SUMIFS('1.4原材料(その他)'!E:E,'1.4原材料(その他)'!C:C,A:A,'1.4原材料(その他)'!H:H,I$3)</f>
        <v>0</v>
      </c>
      <c r="J301" s="6">
        <f>SUMIFS('1.4原材料(その他)'!E:E,'1.4原材料(その他)'!C:C,A:A,'1.4原材料(その他)'!H:H,J$3)</f>
        <v>0</v>
      </c>
      <c r="K301" s="6">
        <f>SUMIFS('1.4原材料(その他)'!E:E,'1.4原材料(その他)'!C:C,A:A,'1.4原材料(その他)'!H:H,K$3)</f>
        <v>0</v>
      </c>
      <c r="L301" s="6">
        <f>SUMIFS('1.4原材料(その他)'!E:E,'1.4原材料(その他)'!C:C,A:A,'1.4原材料(その他)'!H:H,L$3)</f>
        <v>0</v>
      </c>
      <c r="M301" s="6">
        <f>SUMIFS('1.4原材料(その他)'!E:E,'1.4原材料(その他)'!C:C,A:A,'1.4原材料(その他)'!H:H,M$3)</f>
        <v>0</v>
      </c>
      <c r="N301" s="7">
        <f ca="1">O301-(E301+F301-SUM(G301:M301))</f>
        <v>0</v>
      </c>
      <c r="O301" s="8">
        <f>SUMIF('1.5原材料在庫'!A:A,原材料SC明細!A301,'1.5原材料在庫'!D:D)</f>
        <v>0.69999999999999929</v>
      </c>
    </row>
    <row r="302" spans="1:15" x14ac:dyDescent="0.55000000000000004">
      <c r="A302" s="80"/>
      <c r="B302" s="86"/>
      <c r="C302" s="79"/>
      <c r="D302" s="9" t="s">
        <v>19</v>
      </c>
      <c r="E302" s="10">
        <v>32899.999999999971</v>
      </c>
      <c r="F302" s="10">
        <f>F301*$C301</f>
        <v>0</v>
      </c>
      <c r="G302" s="10">
        <f ca="1">G301*$C301</f>
        <v>0</v>
      </c>
      <c r="H302" s="10">
        <f t="shared" ref="H302" si="1017">H301*$C301</f>
        <v>0</v>
      </c>
      <c r="I302" s="10">
        <f t="shared" ref="I302" si="1018">I301*$C301</f>
        <v>0</v>
      </c>
      <c r="J302" s="10">
        <f t="shared" ref="J302" si="1019">J301*$C301</f>
        <v>0</v>
      </c>
      <c r="K302" s="10">
        <f t="shared" ref="K302" si="1020">K301*$C301</f>
        <v>0</v>
      </c>
      <c r="L302" s="10">
        <f t="shared" ref="L302" si="1021">L301*$C301</f>
        <v>0</v>
      </c>
      <c r="M302" s="10">
        <f t="shared" ref="M302" si="1022">M301*$C301</f>
        <v>0</v>
      </c>
      <c r="N302" s="11">
        <f t="shared" ref="N302" ca="1" si="1023">IFERROR(N301/SUM($E301:$F301)*SUM($E302:$F302),"")</f>
        <v>0</v>
      </c>
      <c r="O302" s="10">
        <f>O301*$C301</f>
        <v>32899.999999999971</v>
      </c>
    </row>
    <row r="303" spans="1:15" x14ac:dyDescent="0.55000000000000004">
      <c r="A303" s="80">
        <v>338</v>
      </c>
      <c r="B303" s="95" t="s">
        <v>171</v>
      </c>
      <c r="C303" s="78">
        <f>IFERROR(VLOOKUP(A303,'原料標準単価（貼付）'!B:E,3,FALSE),0)</f>
        <v>14413.40782122905</v>
      </c>
      <c r="D303" s="12" t="s">
        <v>18</v>
      </c>
      <c r="E303" s="13">
        <v>75.099999999999994</v>
      </c>
      <c r="F303" s="6">
        <f>IFERROR(VLOOKUP(A303,'1.2①原材料受入'!A:E,3,FALSE),0)</f>
        <v>0</v>
      </c>
      <c r="G303" s="6">
        <f ca="1">SUMIF('1.3②原材料使用'!C:E,A303,'1.3②原材料使用'!E:E)</f>
        <v>50.400000000000013</v>
      </c>
      <c r="H303" s="6">
        <f>SUMIFS('1.4原材料(その他)'!E:E,'1.4原材料(その他)'!C:C,A:A,'1.4原材料(その他)'!H:H,H$3)</f>
        <v>0</v>
      </c>
      <c r="I303" s="6">
        <f>SUMIFS('1.4原材料(その他)'!E:E,'1.4原材料(その他)'!C:C,A:A,'1.4原材料(その他)'!H:H,I$3)</f>
        <v>0</v>
      </c>
      <c r="J303" s="6">
        <f>SUMIFS('1.4原材料(その他)'!E:E,'1.4原材料(その他)'!C:C,A:A,'1.4原材料(その他)'!H:H,J$3)</f>
        <v>0</v>
      </c>
      <c r="K303" s="6">
        <f>SUMIFS('1.4原材料(その他)'!E:E,'1.4原材料(その他)'!C:C,A:A,'1.4原材料(その他)'!H:H,K$3)</f>
        <v>0</v>
      </c>
      <c r="L303" s="6">
        <f>SUMIFS('1.4原材料(その他)'!E:E,'1.4原材料(その他)'!C:C,A:A,'1.4原材料(その他)'!H:H,L$3)</f>
        <v>0</v>
      </c>
      <c r="M303" s="6">
        <f>SUMIFS('1.4原材料(その他)'!E:E,'1.4原材料(その他)'!C:C,A:A,'1.4原材料(その他)'!H:H,M$3)</f>
        <v>-0.1</v>
      </c>
      <c r="N303" s="7">
        <f ca="1">O303-(E303+F303-SUM(G303:M303))</f>
        <v>0</v>
      </c>
      <c r="O303" s="8">
        <f>SUMIF('1.5原材料在庫'!A:A,原材料SC明細!A303,'1.5原材料在庫'!D:D)</f>
        <v>24.8</v>
      </c>
    </row>
    <row r="304" spans="1:15" x14ac:dyDescent="0.55000000000000004">
      <c r="A304" s="80"/>
      <c r="B304" s="86"/>
      <c r="C304" s="79"/>
      <c r="D304" s="9" t="s">
        <v>19</v>
      </c>
      <c r="E304" s="10">
        <v>1082446.9273743017</v>
      </c>
      <c r="F304" s="10">
        <f>F303*$C303</f>
        <v>0</v>
      </c>
      <c r="G304" s="10">
        <f ca="1">G303*$C303</f>
        <v>726435.75418994424</v>
      </c>
      <c r="H304" s="10">
        <f t="shared" ref="H304" si="1024">H303*$C303</f>
        <v>0</v>
      </c>
      <c r="I304" s="10">
        <f t="shared" ref="I304" si="1025">I303*$C303</f>
        <v>0</v>
      </c>
      <c r="J304" s="10">
        <f t="shared" ref="J304" si="1026">J303*$C303</f>
        <v>0</v>
      </c>
      <c r="K304" s="10">
        <f t="shared" ref="K304" si="1027">K303*$C303</f>
        <v>0</v>
      </c>
      <c r="L304" s="10">
        <f t="shared" ref="L304" si="1028">L303*$C303</f>
        <v>0</v>
      </c>
      <c r="M304" s="10">
        <f t="shared" ref="M304" si="1029">M303*$C303</f>
        <v>-1441.340782122905</v>
      </c>
      <c r="N304" s="11">
        <f t="shared" ref="N304" ca="1" si="1030">IFERROR(N303/SUM($E303:$F303)*SUM($E304:$F304),"")</f>
        <v>0</v>
      </c>
      <c r="O304" s="10">
        <f>O303*$C303</f>
        <v>357452.51396648044</v>
      </c>
    </row>
    <row r="305" spans="1:15" x14ac:dyDescent="0.55000000000000004">
      <c r="A305" s="80">
        <v>339</v>
      </c>
      <c r="B305" s="95" t="s">
        <v>172</v>
      </c>
      <c r="C305" s="78">
        <f>IFERROR(VLOOKUP(A305,'原料標準単価（貼付）'!B:E,3,FALSE),0)</f>
        <v>0</v>
      </c>
      <c r="D305" s="12" t="s">
        <v>18</v>
      </c>
      <c r="E305" s="13">
        <v>0</v>
      </c>
      <c r="F305" s="6">
        <f>IFERROR(VLOOKUP(A305,'1.2①原材料受入'!A:E,3,FALSE),0)</f>
        <v>0</v>
      </c>
      <c r="G305" s="6">
        <f ca="1">SUMIF('1.3②原材料使用'!C:E,A305,'1.3②原材料使用'!E:E)</f>
        <v>0</v>
      </c>
      <c r="H305" s="6">
        <f>SUMIFS('1.4原材料(その他)'!E:E,'1.4原材料(その他)'!C:C,A:A,'1.4原材料(その他)'!H:H,H$3)</f>
        <v>0</v>
      </c>
      <c r="I305" s="6">
        <f>SUMIFS('1.4原材料(その他)'!E:E,'1.4原材料(その他)'!C:C,A:A,'1.4原材料(その他)'!H:H,I$3)</f>
        <v>0</v>
      </c>
      <c r="J305" s="6">
        <f>SUMIFS('1.4原材料(その他)'!E:E,'1.4原材料(その他)'!C:C,A:A,'1.4原材料(その他)'!H:H,J$3)</f>
        <v>0</v>
      </c>
      <c r="K305" s="6">
        <f>SUMIFS('1.4原材料(その他)'!E:E,'1.4原材料(その他)'!C:C,A:A,'1.4原材料(その他)'!H:H,K$3)</f>
        <v>0</v>
      </c>
      <c r="L305" s="6">
        <f>SUMIFS('1.4原材料(その他)'!E:E,'1.4原材料(その他)'!C:C,A:A,'1.4原材料(その他)'!H:H,L$3)</f>
        <v>0</v>
      </c>
      <c r="M305" s="6">
        <f>SUMIFS('1.4原材料(その他)'!E:E,'1.4原材料(その他)'!C:C,A:A,'1.4原材料(その他)'!H:H,M$3)</f>
        <v>0</v>
      </c>
      <c r="N305" s="7">
        <f ca="1">O305-(E305+F305-SUM(G305:M305))</f>
        <v>0</v>
      </c>
      <c r="O305" s="8">
        <f>SUMIF('1.5原材料在庫'!A:A,原材料SC明細!A305,'1.5原材料在庫'!D:D)</f>
        <v>0</v>
      </c>
    </row>
    <row r="306" spans="1:15" x14ac:dyDescent="0.55000000000000004">
      <c r="A306" s="80"/>
      <c r="B306" s="86"/>
      <c r="C306" s="79"/>
      <c r="D306" s="9" t="s">
        <v>19</v>
      </c>
      <c r="E306" s="10" t="s">
        <v>68</v>
      </c>
      <c r="F306" s="10">
        <f>F305*$C305</f>
        <v>0</v>
      </c>
      <c r="G306" s="10">
        <f ca="1">G305*$C305</f>
        <v>0</v>
      </c>
      <c r="H306" s="10">
        <f t="shared" ref="H306" si="1031">H305*$C305</f>
        <v>0</v>
      </c>
      <c r="I306" s="10">
        <f t="shared" ref="I306" si="1032">I305*$C305</f>
        <v>0</v>
      </c>
      <c r="J306" s="10">
        <f t="shared" ref="J306" si="1033">J305*$C305</f>
        <v>0</v>
      </c>
      <c r="K306" s="10">
        <f t="shared" ref="K306" si="1034">K305*$C305</f>
        <v>0</v>
      </c>
      <c r="L306" s="10">
        <f t="shared" ref="L306" si="1035">L305*$C305</f>
        <v>0</v>
      </c>
      <c r="M306" s="10">
        <f t="shared" ref="M306" si="1036">M305*$C305</f>
        <v>0</v>
      </c>
      <c r="N306" s="11" t="str">
        <f t="shared" ref="N306" ca="1" si="1037">IFERROR(N305/SUM($E305:$F305)*SUM($E306:$F306),"")</f>
        <v/>
      </c>
      <c r="O306" s="10">
        <f>O305*$C305</f>
        <v>0</v>
      </c>
    </row>
    <row r="307" spans="1:15" x14ac:dyDescent="0.55000000000000004">
      <c r="A307" s="80">
        <v>340</v>
      </c>
      <c r="B307" s="95" t="s">
        <v>173</v>
      </c>
      <c r="C307" s="78">
        <f>IFERROR(VLOOKUP(A307,'原料標準単価（貼付）'!B:E,3,FALSE),0)</f>
        <v>0</v>
      </c>
      <c r="D307" s="12" t="s">
        <v>18</v>
      </c>
      <c r="E307" s="13">
        <v>0</v>
      </c>
      <c r="F307" s="6">
        <f>IFERROR(VLOOKUP(A307,'1.2①原材料受入'!A:E,3,FALSE),0)</f>
        <v>0</v>
      </c>
      <c r="G307" s="6">
        <f ca="1">SUMIF('1.3②原材料使用'!C:E,A307,'1.3②原材料使用'!E:E)</f>
        <v>0</v>
      </c>
      <c r="H307" s="6">
        <f>SUMIFS('1.4原材料(その他)'!E:E,'1.4原材料(その他)'!C:C,A:A,'1.4原材料(その他)'!H:H,H$3)</f>
        <v>0</v>
      </c>
      <c r="I307" s="6">
        <f>SUMIFS('1.4原材料(その他)'!E:E,'1.4原材料(その他)'!C:C,A:A,'1.4原材料(その他)'!H:H,I$3)</f>
        <v>0</v>
      </c>
      <c r="J307" s="6">
        <f>SUMIFS('1.4原材料(その他)'!E:E,'1.4原材料(その他)'!C:C,A:A,'1.4原材料(その他)'!H:H,J$3)</f>
        <v>0</v>
      </c>
      <c r="K307" s="6">
        <f>SUMIFS('1.4原材料(その他)'!E:E,'1.4原材料(その他)'!C:C,A:A,'1.4原材料(その他)'!H:H,K$3)</f>
        <v>0</v>
      </c>
      <c r="L307" s="6">
        <f>SUMIFS('1.4原材料(その他)'!E:E,'1.4原材料(その他)'!C:C,A:A,'1.4原材料(その他)'!H:H,L$3)</f>
        <v>0</v>
      </c>
      <c r="M307" s="6">
        <f>SUMIFS('1.4原材料(その他)'!E:E,'1.4原材料(その他)'!C:C,A:A,'1.4原材料(その他)'!H:H,M$3)</f>
        <v>0</v>
      </c>
      <c r="N307" s="7">
        <f ca="1">O307-(E307+F307-SUM(G307:M307))</f>
        <v>0</v>
      </c>
      <c r="O307" s="8">
        <f>SUMIF('1.5原材料在庫'!A:A,原材料SC明細!A307,'1.5原材料在庫'!D:D)</f>
        <v>0</v>
      </c>
    </row>
    <row r="308" spans="1:15" s="17" customFormat="1" x14ac:dyDescent="0.55000000000000004">
      <c r="A308" s="80"/>
      <c r="B308" s="86"/>
      <c r="C308" s="79"/>
      <c r="D308" s="16" t="s">
        <v>19</v>
      </c>
      <c r="E308" s="10" t="s">
        <v>68</v>
      </c>
      <c r="F308" s="10">
        <f>F307*$C307</f>
        <v>0</v>
      </c>
      <c r="G308" s="10">
        <f ca="1">G307*$C307</f>
        <v>0</v>
      </c>
      <c r="H308" s="10">
        <f t="shared" ref="H308" si="1038">H307*$C307</f>
        <v>0</v>
      </c>
      <c r="I308" s="10">
        <f t="shared" ref="I308" si="1039">I307*$C307</f>
        <v>0</v>
      </c>
      <c r="J308" s="10">
        <f t="shared" ref="J308" si="1040">J307*$C307</f>
        <v>0</v>
      </c>
      <c r="K308" s="10">
        <f t="shared" ref="K308" si="1041">K307*$C307</f>
        <v>0</v>
      </c>
      <c r="L308" s="10">
        <f t="shared" ref="L308" si="1042">L307*$C307</f>
        <v>0</v>
      </c>
      <c r="M308" s="10">
        <f t="shared" ref="M308" si="1043">M307*$C307</f>
        <v>0</v>
      </c>
      <c r="N308" s="11" t="str">
        <f t="shared" ref="N308" ca="1" si="1044">IFERROR(N307/SUM($E307:$F307)*SUM($E308:$F308),"")</f>
        <v/>
      </c>
      <c r="O308" s="10">
        <f>O307*$C307</f>
        <v>0</v>
      </c>
    </row>
    <row r="309" spans="1:15" x14ac:dyDescent="0.55000000000000004">
      <c r="A309" s="80">
        <v>341</v>
      </c>
      <c r="B309" s="95" t="s">
        <v>174</v>
      </c>
      <c r="C309" s="78">
        <f>IFERROR(VLOOKUP(A309,'原料標準単価（貼付）'!B:E,3,FALSE),0)</f>
        <v>308.97364599350755</v>
      </c>
      <c r="D309" s="12" t="s">
        <v>18</v>
      </c>
      <c r="E309" s="13">
        <v>33.999999999999943</v>
      </c>
      <c r="F309" s="6">
        <f>IFERROR(VLOOKUP(A309,'1.2①原材料受入'!A:E,3,FALSE),0)</f>
        <v>0</v>
      </c>
      <c r="G309" s="6">
        <f ca="1">SUMIF('1.3②原材料使用'!C:E,A309,'1.3②原材料使用'!E:E)</f>
        <v>0</v>
      </c>
      <c r="H309" s="6">
        <f>SUMIFS('1.4原材料(その他)'!E:E,'1.4原材料(その他)'!C:C,A:A,'1.4原材料(その他)'!H:H,H$3)</f>
        <v>0</v>
      </c>
      <c r="I309" s="6">
        <f>SUMIFS('1.4原材料(その他)'!E:E,'1.4原材料(その他)'!C:C,A:A,'1.4原材料(その他)'!H:H,I$3)</f>
        <v>0.5</v>
      </c>
      <c r="J309" s="6">
        <f>SUMIFS('1.4原材料(その他)'!E:E,'1.4原材料(その他)'!C:C,A:A,'1.4原材料(その他)'!H:H,J$3)</f>
        <v>0</v>
      </c>
      <c r="K309" s="6">
        <f>SUMIFS('1.4原材料(その他)'!E:E,'1.4原材料(その他)'!C:C,A:A,'1.4原材料(その他)'!H:H,K$3)</f>
        <v>0</v>
      </c>
      <c r="L309" s="6">
        <f>SUMIFS('1.4原材料(その他)'!E:E,'1.4原材料(その他)'!C:C,A:A,'1.4原材料(その他)'!H:H,L$3)</f>
        <v>0</v>
      </c>
      <c r="M309" s="6">
        <f>SUMIFS('1.4原材料(その他)'!E:E,'1.4原材料(その他)'!C:C,A:A,'1.4原材料(その他)'!H:H,M$3)</f>
        <v>0</v>
      </c>
      <c r="N309" s="7">
        <f ca="1">O309-(E309+F309-SUM(G309:M309))</f>
        <v>0</v>
      </c>
      <c r="O309" s="8">
        <f>SUMIF('1.5原材料在庫'!A:A,原材料SC明細!A309,'1.5原材料在庫'!D:D)</f>
        <v>33.499999999999943</v>
      </c>
    </row>
    <row r="310" spans="1:15" s="17" customFormat="1" x14ac:dyDescent="0.55000000000000004">
      <c r="A310" s="80"/>
      <c r="B310" s="86"/>
      <c r="C310" s="79"/>
      <c r="D310" s="16" t="s">
        <v>19</v>
      </c>
      <c r="E310" s="10">
        <v>10505.10396377924</v>
      </c>
      <c r="F310" s="10">
        <f>F309*$C309</f>
        <v>0</v>
      </c>
      <c r="G310" s="10">
        <f ca="1">G309*$C309</f>
        <v>0</v>
      </c>
      <c r="H310" s="10">
        <f t="shared" ref="H310" si="1045">H309*$C309</f>
        <v>0</v>
      </c>
      <c r="I310" s="10">
        <f t="shared" ref="I310" si="1046">I309*$C309</f>
        <v>154.48682299675377</v>
      </c>
      <c r="J310" s="10">
        <f t="shared" ref="J310" si="1047">J309*$C309</f>
        <v>0</v>
      </c>
      <c r="K310" s="10">
        <f t="shared" ref="K310" si="1048">K309*$C309</f>
        <v>0</v>
      </c>
      <c r="L310" s="10">
        <f t="shared" ref="L310" si="1049">L309*$C309</f>
        <v>0</v>
      </c>
      <c r="M310" s="10">
        <f t="shared" ref="M310" si="1050">M309*$C309</f>
        <v>0</v>
      </c>
      <c r="N310" s="11">
        <f t="shared" ref="N310" ca="1" si="1051">IFERROR(N309/SUM($E309:$F309)*SUM($E310:$F310),"")</f>
        <v>0</v>
      </c>
      <c r="O310" s="10">
        <f>O309*$C309</f>
        <v>10350.617140782486</v>
      </c>
    </row>
    <row r="311" spans="1:15" x14ac:dyDescent="0.55000000000000004">
      <c r="A311" s="80">
        <v>342</v>
      </c>
      <c r="B311" s="95" t="s">
        <v>175</v>
      </c>
      <c r="C311" s="78">
        <f>IFERROR(VLOOKUP(A311,'原料標準単価（貼付）'!B:E,3,FALSE),0)</f>
        <v>0</v>
      </c>
      <c r="D311" s="12" t="s">
        <v>18</v>
      </c>
      <c r="E311" s="13">
        <v>0</v>
      </c>
      <c r="F311" s="6">
        <f>IFERROR(VLOOKUP(A311,'1.2①原材料受入'!A:E,3,FALSE),0)</f>
        <v>0</v>
      </c>
      <c r="G311" s="6">
        <f ca="1">SUMIF('1.3②原材料使用'!C:E,A311,'1.3②原材料使用'!E:E)</f>
        <v>0</v>
      </c>
      <c r="H311" s="6">
        <f>SUMIFS('1.4原材料(その他)'!E:E,'1.4原材料(その他)'!C:C,A:A,'1.4原材料(その他)'!H:H,H$3)</f>
        <v>0</v>
      </c>
      <c r="I311" s="6">
        <f>SUMIFS('1.4原材料(その他)'!E:E,'1.4原材料(その他)'!C:C,A:A,'1.4原材料(その他)'!H:H,I$3)</f>
        <v>0</v>
      </c>
      <c r="J311" s="6">
        <f>SUMIFS('1.4原材料(その他)'!E:E,'1.4原材料(その他)'!C:C,A:A,'1.4原材料(その他)'!H:H,J$3)</f>
        <v>0</v>
      </c>
      <c r="K311" s="6">
        <f>SUMIFS('1.4原材料(その他)'!E:E,'1.4原材料(その他)'!C:C,A:A,'1.4原材料(その他)'!H:H,K$3)</f>
        <v>0</v>
      </c>
      <c r="L311" s="6">
        <f>SUMIFS('1.4原材料(その他)'!E:E,'1.4原材料(その他)'!C:C,A:A,'1.4原材料(その他)'!H:H,L$3)</f>
        <v>0</v>
      </c>
      <c r="M311" s="6">
        <f>SUMIFS('1.4原材料(その他)'!E:E,'1.4原材料(その他)'!C:C,A:A,'1.4原材料(その他)'!H:H,M$3)</f>
        <v>0</v>
      </c>
      <c r="N311" s="7">
        <f ca="1">O311-(E311+F311-SUM(G311:M311))</f>
        <v>0</v>
      </c>
      <c r="O311" s="8">
        <f>SUMIF('1.5原材料在庫'!A:A,原材料SC明細!A311,'1.5原材料在庫'!D:D)</f>
        <v>0</v>
      </c>
    </row>
    <row r="312" spans="1:15" s="17" customFormat="1" x14ac:dyDescent="0.55000000000000004">
      <c r="A312" s="80"/>
      <c r="B312" s="86"/>
      <c r="C312" s="79"/>
      <c r="D312" s="16" t="s">
        <v>19</v>
      </c>
      <c r="E312" s="10" t="s">
        <v>68</v>
      </c>
      <c r="F312" s="10">
        <f>F311*$C311</f>
        <v>0</v>
      </c>
      <c r="G312" s="10">
        <f ca="1">G311*$C311</f>
        <v>0</v>
      </c>
      <c r="H312" s="10">
        <f t="shared" ref="H312" si="1052">H311*$C311</f>
        <v>0</v>
      </c>
      <c r="I312" s="10">
        <f t="shared" ref="I312" si="1053">I311*$C311</f>
        <v>0</v>
      </c>
      <c r="J312" s="10">
        <f t="shared" ref="J312" si="1054">J311*$C311</f>
        <v>0</v>
      </c>
      <c r="K312" s="10">
        <f t="shared" ref="K312" si="1055">K311*$C311</f>
        <v>0</v>
      </c>
      <c r="L312" s="10">
        <f t="shared" ref="L312" si="1056">L311*$C311</f>
        <v>0</v>
      </c>
      <c r="M312" s="10">
        <f t="shared" ref="M312" si="1057">M311*$C311</f>
        <v>0</v>
      </c>
      <c r="N312" s="11" t="str">
        <f t="shared" ref="N312" ca="1" si="1058">IFERROR(N311/SUM($E311:$F311)*SUM($E312:$F312),"")</f>
        <v/>
      </c>
      <c r="O312" s="10">
        <f>O311*$C311</f>
        <v>0</v>
      </c>
    </row>
    <row r="313" spans="1:15" x14ac:dyDescent="0.55000000000000004">
      <c r="A313" s="80">
        <v>343</v>
      </c>
      <c r="B313" s="95" t="s">
        <v>176</v>
      </c>
      <c r="C313" s="78">
        <f>IFERROR(VLOOKUP(A313,'原料標準単価（貼付）'!B:E,3,FALSE),0)</f>
        <v>0</v>
      </c>
      <c r="D313" s="12" t="s">
        <v>18</v>
      </c>
      <c r="E313" s="13">
        <v>0</v>
      </c>
      <c r="F313" s="6">
        <f>IFERROR(VLOOKUP(A313,'1.2①原材料受入'!A:E,3,FALSE),0)</f>
        <v>0</v>
      </c>
      <c r="G313" s="6">
        <f ca="1">SUMIF('1.3②原材料使用'!C:E,A313,'1.3②原材料使用'!E:E)</f>
        <v>0</v>
      </c>
      <c r="H313" s="6">
        <f>SUMIFS('1.4原材料(その他)'!E:E,'1.4原材料(その他)'!C:C,A:A,'1.4原材料(その他)'!H:H,H$3)</f>
        <v>0</v>
      </c>
      <c r="I313" s="6">
        <f>SUMIFS('1.4原材料(その他)'!E:E,'1.4原材料(その他)'!C:C,A:A,'1.4原材料(その他)'!H:H,I$3)</f>
        <v>0</v>
      </c>
      <c r="J313" s="6">
        <f>SUMIFS('1.4原材料(その他)'!E:E,'1.4原材料(その他)'!C:C,A:A,'1.4原材料(その他)'!H:H,J$3)</f>
        <v>0</v>
      </c>
      <c r="K313" s="6">
        <f>SUMIFS('1.4原材料(その他)'!E:E,'1.4原材料(その他)'!C:C,A:A,'1.4原材料(その他)'!H:H,K$3)</f>
        <v>0</v>
      </c>
      <c r="L313" s="6">
        <f>SUMIFS('1.4原材料(その他)'!E:E,'1.4原材料(その他)'!C:C,A:A,'1.4原材料(その他)'!H:H,L$3)</f>
        <v>0</v>
      </c>
      <c r="M313" s="6">
        <f>SUMIFS('1.4原材料(その他)'!E:E,'1.4原材料(その他)'!C:C,A:A,'1.4原材料(その他)'!H:H,M$3)</f>
        <v>0</v>
      </c>
      <c r="N313" s="7">
        <f ca="1">O313-(E313+F313-SUM(G313:M313))</f>
        <v>0</v>
      </c>
      <c r="O313" s="8">
        <f>SUMIF('1.5原材料在庫'!A:A,原材料SC明細!A313,'1.5原材料在庫'!D:D)</f>
        <v>0</v>
      </c>
    </row>
    <row r="314" spans="1:15" s="17" customFormat="1" x14ac:dyDescent="0.55000000000000004">
      <c r="A314" s="80"/>
      <c r="B314" s="86"/>
      <c r="C314" s="79"/>
      <c r="D314" s="16" t="s">
        <v>19</v>
      </c>
      <c r="E314" s="10" t="s">
        <v>68</v>
      </c>
      <c r="F314" s="10">
        <f>F313*$C313</f>
        <v>0</v>
      </c>
      <c r="G314" s="10">
        <f ca="1">G313*$C313</f>
        <v>0</v>
      </c>
      <c r="H314" s="10">
        <f t="shared" ref="H314" si="1059">H313*$C313</f>
        <v>0</v>
      </c>
      <c r="I314" s="10">
        <f t="shared" ref="I314" si="1060">I313*$C313</f>
        <v>0</v>
      </c>
      <c r="J314" s="10">
        <f t="shared" ref="J314" si="1061">J313*$C313</f>
        <v>0</v>
      </c>
      <c r="K314" s="10">
        <f t="shared" ref="K314" si="1062">K313*$C313</f>
        <v>0</v>
      </c>
      <c r="L314" s="10">
        <f t="shared" ref="L314" si="1063">L313*$C313</f>
        <v>0</v>
      </c>
      <c r="M314" s="10">
        <f t="shared" ref="M314" si="1064">M313*$C313</f>
        <v>0</v>
      </c>
      <c r="N314" s="11" t="str">
        <f t="shared" ref="N314" ca="1" si="1065">IFERROR(N313/SUM($E313:$F313)*SUM($E314:$F314),"")</f>
        <v/>
      </c>
      <c r="O314" s="10">
        <f>O313*$C313</f>
        <v>0</v>
      </c>
    </row>
    <row r="315" spans="1:15" s="17" customFormat="1" x14ac:dyDescent="0.55000000000000004">
      <c r="A315" s="80">
        <v>344</v>
      </c>
      <c r="B315" s="95" t="s">
        <v>177</v>
      </c>
      <c r="C315" s="78">
        <f>IFERROR(VLOOKUP(A315,'原料標準単価（貼付）'!B:E,3,FALSE),0)</f>
        <v>0</v>
      </c>
      <c r="D315" s="12" t="s">
        <v>18</v>
      </c>
      <c r="E315" s="13">
        <v>0</v>
      </c>
      <c r="F315" s="6">
        <f>IFERROR(VLOOKUP(A315,'1.2①原材料受入'!A:E,3,FALSE),0)</f>
        <v>0</v>
      </c>
      <c r="G315" s="6">
        <f ca="1">SUMIF('1.3②原材料使用'!C:E,A315,'1.3②原材料使用'!E:E)</f>
        <v>0</v>
      </c>
      <c r="H315" s="6">
        <f>SUMIFS('1.4原材料(その他)'!E:E,'1.4原材料(その他)'!C:C,A:A,'1.4原材料(その他)'!H:H,H$3)</f>
        <v>0</v>
      </c>
      <c r="I315" s="6">
        <f>SUMIFS('1.4原材料(その他)'!E:E,'1.4原材料(その他)'!C:C,A:A,'1.4原材料(その他)'!H:H,I$3)</f>
        <v>0</v>
      </c>
      <c r="J315" s="6">
        <f>SUMIFS('1.4原材料(その他)'!E:E,'1.4原材料(その他)'!C:C,A:A,'1.4原材料(その他)'!H:H,J$3)</f>
        <v>0</v>
      </c>
      <c r="K315" s="6">
        <f>SUMIFS('1.4原材料(その他)'!E:E,'1.4原材料(その他)'!C:C,A:A,'1.4原材料(その他)'!H:H,K$3)</f>
        <v>0</v>
      </c>
      <c r="L315" s="6">
        <f>SUMIFS('1.4原材料(その他)'!E:E,'1.4原材料(その他)'!C:C,A:A,'1.4原材料(その他)'!H:H,L$3)</f>
        <v>0</v>
      </c>
      <c r="M315" s="6">
        <f>SUMIFS('1.4原材料(その他)'!E:E,'1.4原材料(その他)'!C:C,A:A,'1.4原材料(その他)'!H:H,M$3)</f>
        <v>0</v>
      </c>
      <c r="N315" s="7">
        <f ca="1">O315-(E315+F315-SUM(G315:M315))</f>
        <v>0</v>
      </c>
      <c r="O315" s="8">
        <f>SUMIF('1.5原材料在庫'!A:A,原材料SC明細!A315,'1.5原材料在庫'!D:D)</f>
        <v>0</v>
      </c>
    </row>
    <row r="316" spans="1:15" s="17" customFormat="1" x14ac:dyDescent="0.55000000000000004">
      <c r="A316" s="80"/>
      <c r="B316" s="86"/>
      <c r="C316" s="79"/>
      <c r="D316" s="16" t="s">
        <v>19</v>
      </c>
      <c r="E316" s="10" t="s">
        <v>68</v>
      </c>
      <c r="F316" s="10">
        <f>F315*$C315</f>
        <v>0</v>
      </c>
      <c r="G316" s="10">
        <f ca="1">G315*$C315</f>
        <v>0</v>
      </c>
      <c r="H316" s="10">
        <f t="shared" ref="H316" si="1066">H315*$C315</f>
        <v>0</v>
      </c>
      <c r="I316" s="10">
        <f t="shared" ref="I316" si="1067">I315*$C315</f>
        <v>0</v>
      </c>
      <c r="J316" s="10">
        <f t="shared" ref="J316" si="1068">J315*$C315</f>
        <v>0</v>
      </c>
      <c r="K316" s="10">
        <f t="shared" ref="K316" si="1069">K315*$C315</f>
        <v>0</v>
      </c>
      <c r="L316" s="10">
        <f t="shared" ref="L316" si="1070">L315*$C315</f>
        <v>0</v>
      </c>
      <c r="M316" s="10">
        <f t="shared" ref="M316" si="1071">M315*$C315</f>
        <v>0</v>
      </c>
      <c r="N316" s="11" t="str">
        <f t="shared" ref="N316" ca="1" si="1072">IFERROR(N315/SUM($E315:$F315)*SUM($E316:$F316),"")</f>
        <v/>
      </c>
      <c r="O316" s="10">
        <f>O315*$C315</f>
        <v>0</v>
      </c>
    </row>
    <row r="317" spans="1:15" s="17" customFormat="1" x14ac:dyDescent="0.55000000000000004">
      <c r="A317" s="80">
        <v>345</v>
      </c>
      <c r="B317" s="95" t="s">
        <v>178</v>
      </c>
      <c r="C317" s="78">
        <f>IFERROR(VLOOKUP(A317,'原料標準単価（貼付）'!B:E,3,FALSE),0)</f>
        <v>1360</v>
      </c>
      <c r="D317" s="12" t="s">
        <v>18</v>
      </c>
      <c r="E317" s="13">
        <v>29.89999999999992</v>
      </c>
      <c r="F317" s="6">
        <f>IFERROR(VLOOKUP(A317,'1.2①原材料受入'!A:E,3,FALSE),0)</f>
        <v>1100</v>
      </c>
      <c r="G317" s="6">
        <f ca="1">SUMIF('1.3②原材料使用'!C:E,A317,'1.3②原材料使用'!E:E)</f>
        <v>1120</v>
      </c>
      <c r="H317" s="6">
        <f>SUMIFS('1.4原材料(その他)'!E:E,'1.4原材料(その他)'!C:C,A:A,'1.4原材料(その他)'!H:H,H$3)</f>
        <v>0.30000000000000004</v>
      </c>
      <c r="I317" s="6">
        <f>SUMIFS('1.4原材料(その他)'!E:E,'1.4原材料(その他)'!C:C,A:A,'1.4原材料(その他)'!H:H,I$3)</f>
        <v>0</v>
      </c>
      <c r="J317" s="6">
        <f>SUMIFS('1.4原材料(その他)'!E:E,'1.4原材料(その他)'!C:C,A:A,'1.4原材料(その他)'!H:H,J$3)</f>
        <v>0</v>
      </c>
      <c r="K317" s="6">
        <f>SUMIFS('1.4原材料(その他)'!E:E,'1.4原材料(その他)'!C:C,A:A,'1.4原材料(その他)'!H:H,K$3)</f>
        <v>0</v>
      </c>
      <c r="L317" s="6">
        <f>SUMIFS('1.4原材料(その他)'!E:E,'1.4原材料(その他)'!C:C,A:A,'1.4原材料(その他)'!H:H,L$3)</f>
        <v>0</v>
      </c>
      <c r="M317" s="6">
        <f>SUMIFS('1.4原材料(その他)'!E:E,'1.4原材料(その他)'!C:C,A:A,'1.4原材料(その他)'!H:H,M$3)</f>
        <v>-0.30000000000000004</v>
      </c>
      <c r="N317" s="7">
        <f ca="1">O317-(E317+F317-SUM(G317:M317))</f>
        <v>5.6843418860808015E-14</v>
      </c>
      <c r="O317" s="8">
        <f>SUMIF('1.5原材料在庫'!A:A,原材料SC明細!A317,'1.5原材料在庫'!D:D)</f>
        <v>9.8999999999999204</v>
      </c>
    </row>
    <row r="318" spans="1:15" s="17" customFormat="1" x14ac:dyDescent="0.55000000000000004">
      <c r="A318" s="80"/>
      <c r="B318" s="86"/>
      <c r="C318" s="79"/>
      <c r="D318" s="16" t="s">
        <v>19</v>
      </c>
      <c r="E318" s="10">
        <v>40289.630376144472</v>
      </c>
      <c r="F318" s="10">
        <f>F317*$C317</f>
        <v>1496000</v>
      </c>
      <c r="G318" s="10">
        <f ca="1">G317*$C317</f>
        <v>1523200</v>
      </c>
      <c r="H318" s="10">
        <f t="shared" ref="H318" si="1073">H317*$C317</f>
        <v>408.00000000000006</v>
      </c>
      <c r="I318" s="10">
        <f t="shared" ref="I318" si="1074">I317*$C317</f>
        <v>0</v>
      </c>
      <c r="J318" s="10">
        <f t="shared" ref="J318" si="1075">J317*$C317</f>
        <v>0</v>
      </c>
      <c r="K318" s="10">
        <f t="shared" ref="K318" si="1076">K317*$C317</f>
        <v>0</v>
      </c>
      <c r="L318" s="10">
        <f t="shared" ref="L318" si="1077">L317*$C317</f>
        <v>0</v>
      </c>
      <c r="M318" s="10">
        <f t="shared" ref="M318" si="1078">M317*$C317</f>
        <v>-408.00000000000006</v>
      </c>
      <c r="N318" s="11">
        <f t="shared" ref="N318" ca="1" si="1079">IFERROR(N317/SUM($E317:$F317)*SUM($E318:$F318),"")</f>
        <v>7.7288215727929133E-11</v>
      </c>
      <c r="O318" s="10">
        <f>O317*$C317</f>
        <v>13463.999999999891</v>
      </c>
    </row>
    <row r="319" spans="1:15" s="17" customFormat="1" x14ac:dyDescent="0.55000000000000004">
      <c r="A319" s="80">
        <v>346</v>
      </c>
      <c r="B319" s="95" t="s">
        <v>179</v>
      </c>
      <c r="C319" s="78">
        <f>IFERROR(VLOOKUP(A319,'原料標準単価（貼付）'!B:E,3,FALSE),0)</f>
        <v>0</v>
      </c>
      <c r="D319" s="12" t="s">
        <v>18</v>
      </c>
      <c r="E319" s="13">
        <v>0</v>
      </c>
      <c r="F319" s="6">
        <f>IFERROR(VLOOKUP(A319,'1.2①原材料受入'!A:E,3,FALSE),0)</f>
        <v>140</v>
      </c>
      <c r="G319" s="6">
        <f ca="1">SUMIF('1.3②原材料使用'!C:E,A319,'1.3②原材料使用'!E:E)</f>
        <v>140</v>
      </c>
      <c r="H319" s="6">
        <f>SUMIFS('1.4原材料(その他)'!E:E,'1.4原材料(その他)'!C:C,A:A,'1.4原材料(その他)'!H:H,H$3)</f>
        <v>0</v>
      </c>
      <c r="I319" s="6">
        <f>SUMIFS('1.4原材料(その他)'!E:E,'1.4原材料(その他)'!C:C,A:A,'1.4原材料(その他)'!H:H,I$3)</f>
        <v>0</v>
      </c>
      <c r="J319" s="6">
        <f>SUMIFS('1.4原材料(その他)'!E:E,'1.4原材料(その他)'!C:C,A:A,'1.4原材料(その他)'!H:H,J$3)</f>
        <v>0</v>
      </c>
      <c r="K319" s="6">
        <f>SUMIFS('1.4原材料(その他)'!E:E,'1.4原材料(その他)'!C:C,A:A,'1.4原材料(その他)'!H:H,K$3)</f>
        <v>0</v>
      </c>
      <c r="L319" s="6">
        <f>SUMIFS('1.4原材料(その他)'!E:E,'1.4原材料(その他)'!C:C,A:A,'1.4原材料(その他)'!H:H,L$3)</f>
        <v>0</v>
      </c>
      <c r="M319" s="6">
        <f>SUMIFS('1.4原材料(その他)'!E:E,'1.4原材料(その他)'!C:C,A:A,'1.4原材料(その他)'!H:H,M$3)</f>
        <v>0</v>
      </c>
      <c r="N319" s="7">
        <f ca="1">O319-(E319+F319-SUM(G319:M319))</f>
        <v>0</v>
      </c>
      <c r="O319" s="8">
        <f>SUMIF('1.5原材料在庫'!A:A,原材料SC明細!A319,'1.5原材料在庫'!D:D)</f>
        <v>0</v>
      </c>
    </row>
    <row r="320" spans="1:15" s="17" customFormat="1" x14ac:dyDescent="0.55000000000000004">
      <c r="A320" s="80"/>
      <c r="B320" s="86"/>
      <c r="C320" s="79"/>
      <c r="D320" s="16" t="s">
        <v>19</v>
      </c>
      <c r="E320" s="10">
        <v>0</v>
      </c>
      <c r="F320" s="10">
        <f>F319*$C319</f>
        <v>0</v>
      </c>
      <c r="G320" s="10">
        <f ca="1">G319*$C319</f>
        <v>0</v>
      </c>
      <c r="H320" s="10">
        <f t="shared" ref="H320" si="1080">H319*$C319</f>
        <v>0</v>
      </c>
      <c r="I320" s="10">
        <f t="shared" ref="I320" si="1081">I319*$C319</f>
        <v>0</v>
      </c>
      <c r="J320" s="10">
        <f t="shared" ref="J320" si="1082">J319*$C319</f>
        <v>0</v>
      </c>
      <c r="K320" s="10">
        <f t="shared" ref="K320" si="1083">K319*$C319</f>
        <v>0</v>
      </c>
      <c r="L320" s="10">
        <f t="shared" ref="L320" si="1084">L319*$C319</f>
        <v>0</v>
      </c>
      <c r="M320" s="10">
        <f t="shared" ref="M320" si="1085">M319*$C319</f>
        <v>0</v>
      </c>
      <c r="N320" s="11">
        <f t="shared" ref="N320" ca="1" si="1086">IFERROR(N319/SUM($E319:$F319)*SUM($E320:$F320),"")</f>
        <v>0</v>
      </c>
      <c r="O320" s="10">
        <f>O319*$C319</f>
        <v>0</v>
      </c>
    </row>
    <row r="321" spans="1:15" s="17" customFormat="1" x14ac:dyDescent="0.55000000000000004">
      <c r="A321" s="80">
        <v>347</v>
      </c>
      <c r="B321" s="95" t="s">
        <v>180</v>
      </c>
      <c r="C321" s="78">
        <f>IFERROR(VLOOKUP(A321,'原料標準単価（貼付）'!B:E,3,FALSE),0)</f>
        <v>10802.46913580247</v>
      </c>
      <c r="D321" s="12" t="s">
        <v>18</v>
      </c>
      <c r="E321" s="13">
        <v>1.26</v>
      </c>
      <c r="F321" s="6">
        <f>IFERROR(VLOOKUP(A321,'1.2①原材料受入'!A:E,3,FALSE),0)</f>
        <v>0</v>
      </c>
      <c r="G321" s="6">
        <f ca="1">SUMIF('1.3②原材料使用'!C:E,A321,'1.3②原材料使用'!E:E)</f>
        <v>0</v>
      </c>
      <c r="H321" s="6">
        <f>SUMIFS('1.4原材料(その他)'!E:E,'1.4原材料(その他)'!C:C,A:A,'1.4原材料(その他)'!H:H,H$3)</f>
        <v>0</v>
      </c>
      <c r="I321" s="6">
        <f>SUMIFS('1.4原材料(その他)'!E:E,'1.4原材料(その他)'!C:C,A:A,'1.4原材料(その他)'!H:H,I$3)</f>
        <v>0</v>
      </c>
      <c r="J321" s="6">
        <f>SUMIFS('1.4原材料(その他)'!E:E,'1.4原材料(その他)'!C:C,A:A,'1.4原材料(その他)'!H:H,J$3)</f>
        <v>0</v>
      </c>
      <c r="K321" s="6">
        <f>SUMIFS('1.4原材料(その他)'!E:E,'1.4原材料(その他)'!C:C,A:A,'1.4原材料(その他)'!H:H,K$3)</f>
        <v>0</v>
      </c>
      <c r="L321" s="6">
        <f>SUMIFS('1.4原材料(その他)'!E:E,'1.4原材料(その他)'!C:C,A:A,'1.4原材料(その他)'!H:H,L$3)</f>
        <v>0</v>
      </c>
      <c r="M321" s="6">
        <f>SUMIFS('1.4原材料(その他)'!E:E,'1.4原材料(その他)'!C:C,A:A,'1.4原材料(その他)'!H:H,M$3)</f>
        <v>0</v>
      </c>
      <c r="N321" s="7">
        <f ca="1">O321-(E321+F321-SUM(G321:M321))</f>
        <v>0</v>
      </c>
      <c r="O321" s="8">
        <f>SUMIF('1.5原材料在庫'!A:A,原材料SC明細!A321,'1.5原材料在庫'!D:D)</f>
        <v>1.26</v>
      </c>
    </row>
    <row r="322" spans="1:15" s="17" customFormat="1" x14ac:dyDescent="0.55000000000000004">
      <c r="A322" s="80"/>
      <c r="B322" s="86"/>
      <c r="C322" s="79"/>
      <c r="D322" s="16" t="s">
        <v>19</v>
      </c>
      <c r="E322" s="10">
        <v>13611.111111111113</v>
      </c>
      <c r="F322" s="10">
        <f>F321*$C321</f>
        <v>0</v>
      </c>
      <c r="G322" s="10">
        <f ca="1">G321*$C321</f>
        <v>0</v>
      </c>
      <c r="H322" s="10">
        <f t="shared" ref="H322" si="1087">H321*$C321</f>
        <v>0</v>
      </c>
      <c r="I322" s="10">
        <f t="shared" ref="I322" si="1088">I321*$C321</f>
        <v>0</v>
      </c>
      <c r="J322" s="10">
        <f t="shared" ref="J322" si="1089">J321*$C321</f>
        <v>0</v>
      </c>
      <c r="K322" s="10">
        <f t="shared" ref="K322" si="1090">K321*$C321</f>
        <v>0</v>
      </c>
      <c r="L322" s="10">
        <f t="shared" ref="L322" si="1091">L321*$C321</f>
        <v>0</v>
      </c>
      <c r="M322" s="10">
        <f t="shared" ref="M322" si="1092">M321*$C321</f>
        <v>0</v>
      </c>
      <c r="N322" s="11">
        <f t="shared" ref="N322" ca="1" si="1093">IFERROR(N321/SUM($E321:$F321)*SUM($E322:$F322),"")</f>
        <v>0</v>
      </c>
      <c r="O322" s="10">
        <f>O321*$C321</f>
        <v>13611.111111111113</v>
      </c>
    </row>
    <row r="323" spans="1:15" s="17" customFormat="1" x14ac:dyDescent="0.55000000000000004">
      <c r="A323" s="80">
        <v>348</v>
      </c>
      <c r="B323" s="95" t="s">
        <v>181</v>
      </c>
      <c r="C323" s="78">
        <f>IFERROR(VLOOKUP(A323,'原料標準単価（貼付）'!B:E,3,FALSE),0)</f>
        <v>2495.5000000000005</v>
      </c>
      <c r="D323" s="12" t="s">
        <v>18</v>
      </c>
      <c r="E323" s="13">
        <v>10</v>
      </c>
      <c r="F323" s="6">
        <f>IFERROR(VLOOKUP(A323,'1.2①原材料受入'!A:E,3,FALSE),0)</f>
        <v>0</v>
      </c>
      <c r="G323" s="6">
        <f ca="1">SUMIF('1.3②原材料使用'!C:E,A323,'1.3②原材料使用'!E:E)</f>
        <v>0</v>
      </c>
      <c r="H323" s="6">
        <f>SUMIFS('1.4原材料(その他)'!E:E,'1.4原材料(その他)'!C:C,A:A,'1.4原材料(その他)'!H:H,H$3)</f>
        <v>0</v>
      </c>
      <c r="I323" s="6">
        <f>SUMIFS('1.4原材料(その他)'!E:E,'1.4原材料(その他)'!C:C,A:A,'1.4原材料(その他)'!H:H,I$3)</f>
        <v>0</v>
      </c>
      <c r="J323" s="6">
        <f>SUMIFS('1.4原材料(その他)'!E:E,'1.4原材料(その他)'!C:C,A:A,'1.4原材料(その他)'!H:H,J$3)</f>
        <v>0</v>
      </c>
      <c r="K323" s="6">
        <f>SUMIFS('1.4原材料(その他)'!E:E,'1.4原材料(その他)'!C:C,A:A,'1.4原材料(その他)'!H:H,K$3)</f>
        <v>0</v>
      </c>
      <c r="L323" s="6">
        <f>SUMIFS('1.4原材料(その他)'!E:E,'1.4原材料(その他)'!C:C,A:A,'1.4原材料(その他)'!H:H,L$3)</f>
        <v>0</v>
      </c>
      <c r="M323" s="6">
        <f>SUMIFS('1.4原材料(その他)'!E:E,'1.4原材料(その他)'!C:C,A:A,'1.4原材料(その他)'!H:H,M$3)</f>
        <v>-0.1</v>
      </c>
      <c r="N323" s="7">
        <f ca="1">O323-(E323+F323-SUM(G323:M323))</f>
        <v>0</v>
      </c>
      <c r="O323" s="8">
        <f>SUMIF('1.5原材料在庫'!A:A,原材料SC明細!A323,'1.5原材料在庫'!D:D)</f>
        <v>10.100000000000001</v>
      </c>
    </row>
    <row r="324" spans="1:15" s="17" customFormat="1" x14ac:dyDescent="0.55000000000000004">
      <c r="A324" s="80"/>
      <c r="B324" s="86"/>
      <c r="C324" s="79"/>
      <c r="D324" s="16" t="s">
        <v>19</v>
      </c>
      <c r="E324" s="10">
        <v>24955</v>
      </c>
      <c r="F324" s="10">
        <f>F323*$C323</f>
        <v>0</v>
      </c>
      <c r="G324" s="10">
        <f ca="1">G323*$C323</f>
        <v>0</v>
      </c>
      <c r="H324" s="10">
        <f t="shared" ref="H324" si="1094">H323*$C323</f>
        <v>0</v>
      </c>
      <c r="I324" s="10">
        <f t="shared" ref="I324" si="1095">I323*$C323</f>
        <v>0</v>
      </c>
      <c r="J324" s="10">
        <f t="shared" ref="J324" si="1096">J323*$C323</f>
        <v>0</v>
      </c>
      <c r="K324" s="10">
        <f t="shared" ref="K324" si="1097">K323*$C323</f>
        <v>0</v>
      </c>
      <c r="L324" s="10">
        <f t="shared" ref="L324" si="1098">L323*$C323</f>
        <v>0</v>
      </c>
      <c r="M324" s="10">
        <f t="shared" ref="M324" si="1099">M323*$C323</f>
        <v>-249.55000000000007</v>
      </c>
      <c r="N324" s="11">
        <f t="shared" ref="N324" ca="1" si="1100">IFERROR(N323/SUM($E323:$F323)*SUM($E324:$F324),"")</f>
        <v>0</v>
      </c>
      <c r="O324" s="10">
        <f>O323*$C323</f>
        <v>25204.550000000007</v>
      </c>
    </row>
    <row r="325" spans="1:15" s="17" customFormat="1" x14ac:dyDescent="0.55000000000000004">
      <c r="A325" s="80">
        <v>349</v>
      </c>
      <c r="B325" s="95" t="s">
        <v>182</v>
      </c>
      <c r="C325" s="78">
        <f>IFERROR(VLOOKUP(A325,'原料標準単価（貼付）'!B:E,3,FALSE),0)</f>
        <v>0</v>
      </c>
      <c r="D325" s="12" t="s">
        <v>18</v>
      </c>
      <c r="E325" s="13">
        <v>0</v>
      </c>
      <c r="F325" s="6">
        <f>IFERROR(VLOOKUP(A325,'1.2①原材料受入'!A:E,3,FALSE),0)</f>
        <v>0</v>
      </c>
      <c r="G325" s="6">
        <f ca="1">SUMIF('1.3②原材料使用'!C:E,A325,'1.3②原材料使用'!E:E)</f>
        <v>0</v>
      </c>
      <c r="H325" s="6">
        <f>SUMIFS('1.4原材料(その他)'!E:E,'1.4原材料(その他)'!C:C,A:A,'1.4原材料(その他)'!H:H,H$3)</f>
        <v>0</v>
      </c>
      <c r="I325" s="6">
        <f>SUMIFS('1.4原材料(その他)'!E:E,'1.4原材料(その他)'!C:C,A:A,'1.4原材料(その他)'!H:H,I$3)</f>
        <v>0</v>
      </c>
      <c r="J325" s="6">
        <f>SUMIFS('1.4原材料(その他)'!E:E,'1.4原材料(その他)'!C:C,A:A,'1.4原材料(その他)'!H:H,J$3)</f>
        <v>0</v>
      </c>
      <c r="K325" s="6">
        <f>SUMIFS('1.4原材料(その他)'!E:E,'1.4原材料(その他)'!C:C,A:A,'1.4原材料(その他)'!H:H,K$3)</f>
        <v>0</v>
      </c>
      <c r="L325" s="6">
        <f>SUMIFS('1.4原材料(その他)'!E:E,'1.4原材料(その他)'!C:C,A:A,'1.4原材料(その他)'!H:H,L$3)</f>
        <v>0</v>
      </c>
      <c r="M325" s="6">
        <f>SUMIFS('1.4原材料(その他)'!E:E,'1.4原材料(その他)'!C:C,A:A,'1.4原材料(その他)'!H:H,M$3)</f>
        <v>0</v>
      </c>
      <c r="N325" s="7">
        <f ca="1">O325-(E325+F325-SUM(G325:M325))</f>
        <v>0</v>
      </c>
      <c r="O325" s="8">
        <f>SUMIF('1.5原材料在庫'!A:A,原材料SC明細!A325,'1.5原材料在庫'!D:D)</f>
        <v>0</v>
      </c>
    </row>
    <row r="326" spans="1:15" s="17" customFormat="1" x14ac:dyDescent="0.55000000000000004">
      <c r="A326" s="80"/>
      <c r="B326" s="86"/>
      <c r="C326" s="79"/>
      <c r="D326" s="16" t="s">
        <v>19</v>
      </c>
      <c r="E326" s="10" t="s">
        <v>68</v>
      </c>
      <c r="F326" s="10">
        <f>F325*$C325</f>
        <v>0</v>
      </c>
      <c r="G326" s="10">
        <f ca="1">G325*$C325</f>
        <v>0</v>
      </c>
      <c r="H326" s="10">
        <f t="shared" ref="H326" si="1101">H325*$C325</f>
        <v>0</v>
      </c>
      <c r="I326" s="10">
        <f t="shared" ref="I326" si="1102">I325*$C325</f>
        <v>0</v>
      </c>
      <c r="J326" s="10">
        <f t="shared" ref="J326" si="1103">J325*$C325</f>
        <v>0</v>
      </c>
      <c r="K326" s="10">
        <f t="shared" ref="K326" si="1104">K325*$C325</f>
        <v>0</v>
      </c>
      <c r="L326" s="10">
        <f t="shared" ref="L326" si="1105">L325*$C325</f>
        <v>0</v>
      </c>
      <c r="M326" s="10">
        <f t="shared" ref="M326" si="1106">M325*$C325</f>
        <v>0</v>
      </c>
      <c r="N326" s="11" t="str">
        <f t="shared" ref="N326" ca="1" si="1107">IFERROR(N325/SUM($E325:$F325)*SUM($E326:$F326),"")</f>
        <v/>
      </c>
      <c r="O326" s="10">
        <f>O325*$C325</f>
        <v>0</v>
      </c>
    </row>
    <row r="327" spans="1:15" s="17" customFormat="1" x14ac:dyDescent="0.55000000000000004">
      <c r="A327" s="80">
        <v>350</v>
      </c>
      <c r="B327" s="95" t="s">
        <v>183</v>
      </c>
      <c r="C327" s="78">
        <f>IFERROR(VLOOKUP(A327,'原料標準単価（貼付）'!B:E,3,FALSE),0)</f>
        <v>0</v>
      </c>
      <c r="D327" s="12" t="s">
        <v>18</v>
      </c>
      <c r="E327" s="13">
        <v>0</v>
      </c>
      <c r="F327" s="6">
        <f>IFERROR(VLOOKUP(A327,'1.2①原材料受入'!A:E,3,FALSE),0)</f>
        <v>0</v>
      </c>
      <c r="G327" s="6">
        <f ca="1">SUMIF('1.3②原材料使用'!C:E,A327,'1.3②原材料使用'!E:E)</f>
        <v>0</v>
      </c>
      <c r="H327" s="6">
        <f>SUMIFS('1.4原材料(その他)'!E:E,'1.4原材料(その他)'!C:C,A:A,'1.4原材料(その他)'!H:H,H$3)</f>
        <v>0</v>
      </c>
      <c r="I327" s="6">
        <f>SUMIFS('1.4原材料(その他)'!E:E,'1.4原材料(その他)'!C:C,A:A,'1.4原材料(その他)'!H:H,I$3)</f>
        <v>0</v>
      </c>
      <c r="J327" s="6">
        <f>SUMIFS('1.4原材料(その他)'!E:E,'1.4原材料(その他)'!C:C,A:A,'1.4原材料(その他)'!H:H,J$3)</f>
        <v>0</v>
      </c>
      <c r="K327" s="6">
        <f>SUMIFS('1.4原材料(その他)'!E:E,'1.4原材料(その他)'!C:C,A:A,'1.4原材料(その他)'!H:H,K$3)</f>
        <v>0</v>
      </c>
      <c r="L327" s="6">
        <f>SUMIFS('1.4原材料(その他)'!E:E,'1.4原材料(その他)'!C:C,A:A,'1.4原材料(その他)'!H:H,L$3)</f>
        <v>0</v>
      </c>
      <c r="M327" s="6">
        <f>SUMIFS('1.4原材料(その他)'!E:E,'1.4原材料(その他)'!C:C,A:A,'1.4原材料(その他)'!H:H,M$3)</f>
        <v>0</v>
      </c>
      <c r="N327" s="7">
        <f ca="1">O327-(E327+F327-SUM(G327:M327))</f>
        <v>0</v>
      </c>
      <c r="O327" s="8">
        <f>SUMIF('1.5原材料在庫'!A:A,原材料SC明細!A327,'1.5原材料在庫'!D:D)</f>
        <v>0</v>
      </c>
    </row>
    <row r="328" spans="1:15" s="17" customFormat="1" x14ac:dyDescent="0.55000000000000004">
      <c r="A328" s="80"/>
      <c r="B328" s="86"/>
      <c r="C328" s="79"/>
      <c r="D328" s="16" t="s">
        <v>19</v>
      </c>
      <c r="E328" s="10" t="s">
        <v>68</v>
      </c>
      <c r="F328" s="10">
        <f>F327*$C327</f>
        <v>0</v>
      </c>
      <c r="G328" s="10">
        <f ca="1">G327*$C327</f>
        <v>0</v>
      </c>
      <c r="H328" s="10">
        <f t="shared" ref="H328" si="1108">H327*$C327</f>
        <v>0</v>
      </c>
      <c r="I328" s="10">
        <f t="shared" ref="I328" si="1109">I327*$C327</f>
        <v>0</v>
      </c>
      <c r="J328" s="10">
        <f t="shared" ref="J328" si="1110">J327*$C327</f>
        <v>0</v>
      </c>
      <c r="K328" s="10">
        <f t="shared" ref="K328" si="1111">K327*$C327</f>
        <v>0</v>
      </c>
      <c r="L328" s="10">
        <f t="shared" ref="L328" si="1112">L327*$C327</f>
        <v>0</v>
      </c>
      <c r="M328" s="10">
        <f t="shared" ref="M328" si="1113">M327*$C327</f>
        <v>0</v>
      </c>
      <c r="N328" s="11" t="str">
        <f t="shared" ref="N328" ca="1" si="1114">IFERROR(N327/SUM($E327:$F327)*SUM($E328:$F328),"")</f>
        <v/>
      </c>
      <c r="O328" s="10">
        <f>O327*$C327</f>
        <v>0</v>
      </c>
    </row>
    <row r="329" spans="1:15" x14ac:dyDescent="0.55000000000000004">
      <c r="A329" s="94">
        <v>351</v>
      </c>
      <c r="B329" s="94" t="s">
        <v>184</v>
      </c>
      <c r="C329" s="78">
        <f>IFERROR(VLOOKUP(A329,'原料標準単価（貼付）'!B:E,3,FALSE),0)</f>
        <v>0</v>
      </c>
      <c r="D329" s="12" t="s">
        <v>18</v>
      </c>
      <c r="E329" s="13">
        <v>0</v>
      </c>
      <c r="F329" s="6">
        <f>IFERROR(VLOOKUP(A329,'1.2①原材料受入'!A:E,3,FALSE),0)</f>
        <v>0</v>
      </c>
      <c r="G329" s="6">
        <f ca="1">SUMIF('1.3②原材料使用'!C:E,A329,'1.3②原材料使用'!E:E)</f>
        <v>0</v>
      </c>
      <c r="H329" s="6">
        <f>SUMIFS('1.4原材料(その他)'!E:E,'1.4原材料(その他)'!C:C,A:A,'1.4原材料(その他)'!H:H,H$3)</f>
        <v>0</v>
      </c>
      <c r="I329" s="6">
        <f>SUMIFS('1.4原材料(その他)'!E:E,'1.4原材料(その他)'!C:C,A:A,'1.4原材料(その他)'!H:H,I$3)</f>
        <v>0</v>
      </c>
      <c r="J329" s="6">
        <f>SUMIFS('1.4原材料(その他)'!E:E,'1.4原材料(その他)'!C:C,A:A,'1.4原材料(その他)'!H:H,J$3)</f>
        <v>0</v>
      </c>
      <c r="K329" s="6">
        <f>SUMIFS('1.4原材料(その他)'!E:E,'1.4原材料(その他)'!C:C,A:A,'1.4原材料(その他)'!H:H,K$3)</f>
        <v>0</v>
      </c>
      <c r="L329" s="6">
        <f>SUMIFS('1.4原材料(その他)'!E:E,'1.4原材料(その他)'!C:C,A:A,'1.4原材料(その他)'!H:H,L$3)</f>
        <v>0</v>
      </c>
      <c r="M329" s="6">
        <f>SUMIFS('1.4原材料(その他)'!E:E,'1.4原材料(その他)'!C:C,A:A,'1.4原材料(その他)'!H:H,M$3)</f>
        <v>0</v>
      </c>
      <c r="N329" s="7">
        <f ca="1">O329-(E329+F329-SUM(G329:M329))</f>
        <v>0</v>
      </c>
      <c r="O329" s="8">
        <f>SUMIF('1.5原材料在庫'!A:A,原材料SC明細!A329,'1.5原材料在庫'!D:D)</f>
        <v>0</v>
      </c>
    </row>
    <row r="330" spans="1:15" x14ac:dyDescent="0.55000000000000004">
      <c r="A330" s="80"/>
      <c r="B330" s="80"/>
      <c r="C330" s="79"/>
      <c r="D330" s="9" t="s">
        <v>19</v>
      </c>
      <c r="E330" s="10" t="s">
        <v>68</v>
      </c>
      <c r="F330" s="10">
        <f>F329*$C329</f>
        <v>0</v>
      </c>
      <c r="G330" s="10">
        <f ca="1">G329*$C329</f>
        <v>0</v>
      </c>
      <c r="H330" s="10">
        <f t="shared" ref="H330" si="1115">H329*$C329</f>
        <v>0</v>
      </c>
      <c r="I330" s="10">
        <f t="shared" ref="I330" si="1116">I329*$C329</f>
        <v>0</v>
      </c>
      <c r="J330" s="10">
        <f t="shared" ref="J330" si="1117">J329*$C329</f>
        <v>0</v>
      </c>
      <c r="K330" s="10">
        <f t="shared" ref="K330" si="1118">K329*$C329</f>
        <v>0</v>
      </c>
      <c r="L330" s="10">
        <f t="shared" ref="L330" si="1119">L329*$C329</f>
        <v>0</v>
      </c>
      <c r="M330" s="10">
        <f t="shared" ref="M330" si="1120">M329*$C329</f>
        <v>0</v>
      </c>
      <c r="N330" s="11" t="str">
        <f t="shared" ref="N330" ca="1" si="1121">IFERROR(N329/SUM($E329:$F329)*SUM($E330:$F330),"")</f>
        <v/>
      </c>
      <c r="O330" s="10">
        <f>O329*$C329</f>
        <v>0</v>
      </c>
    </row>
    <row r="331" spans="1:15" x14ac:dyDescent="0.55000000000000004">
      <c r="A331" s="94">
        <v>352</v>
      </c>
      <c r="B331" s="94" t="s">
        <v>185</v>
      </c>
      <c r="C331" s="78">
        <f>IFERROR(VLOOKUP(A331,'原料標準単価（貼付）'!B:E,3,FALSE),0)</f>
        <v>9500</v>
      </c>
      <c r="D331" s="12" t="s">
        <v>18</v>
      </c>
      <c r="E331" s="13">
        <v>891.3</v>
      </c>
      <c r="F331" s="6">
        <f>IFERROR(VLOOKUP(A331,'1.2①原材料受入'!A:E,3,FALSE),0)</f>
        <v>1100</v>
      </c>
      <c r="G331" s="6">
        <f ca="1">SUMIF('1.3②原材料使用'!C:E,A331,'1.3②原材料使用'!E:E)</f>
        <v>864</v>
      </c>
      <c r="H331" s="6">
        <f>SUMIFS('1.4原材料(その他)'!E:E,'1.4原材料(その他)'!C:C,A:A,'1.4原材料(その他)'!H:H,H$3)</f>
        <v>0.6</v>
      </c>
      <c r="I331" s="6">
        <f>SUMIFS('1.4原材料(その他)'!E:E,'1.4原材料(その他)'!C:C,A:A,'1.4原材料(その他)'!H:H,I$3)</f>
        <v>0</v>
      </c>
      <c r="J331" s="6">
        <f>SUMIFS('1.4原材料(その他)'!E:E,'1.4原材料(その他)'!C:C,A:A,'1.4原材料(その他)'!H:H,J$3)</f>
        <v>0</v>
      </c>
      <c r="K331" s="6">
        <f>SUMIFS('1.4原材料(その他)'!E:E,'1.4原材料(その他)'!C:C,A:A,'1.4原材料(その他)'!H:H,K$3)</f>
        <v>0</v>
      </c>
      <c r="L331" s="6">
        <f>SUMIFS('1.4原材料(その他)'!E:E,'1.4原材料(その他)'!C:C,A:A,'1.4原材料(その他)'!H:H,L$3)</f>
        <v>0</v>
      </c>
      <c r="M331" s="6">
        <f>SUMIFS('1.4原材料(その他)'!E:E,'1.4原材料(その他)'!C:C,A:A,'1.4原材料(その他)'!H:H,M$3)</f>
        <v>0.1</v>
      </c>
      <c r="N331" s="7">
        <f ca="1">O331-(E331+F331-SUM(G331:M331))</f>
        <v>0</v>
      </c>
      <c r="O331" s="8">
        <f>SUMIF('1.5原材料在庫'!A:A,原材料SC明細!A331,'1.5原材料在庫'!D:D)</f>
        <v>1126.5999999999999</v>
      </c>
    </row>
    <row r="332" spans="1:15" x14ac:dyDescent="0.55000000000000004">
      <c r="A332" s="80"/>
      <c r="B332" s="80"/>
      <c r="C332" s="79"/>
      <c r="D332" s="9" t="s">
        <v>19</v>
      </c>
      <c r="E332" s="10">
        <v>7913109.4657570235</v>
      </c>
      <c r="F332" s="10">
        <f>F331*$C331</f>
        <v>10450000</v>
      </c>
      <c r="G332" s="10">
        <f ca="1">G331*$C331</f>
        <v>8208000</v>
      </c>
      <c r="H332" s="10">
        <f t="shared" ref="H332" si="1122">H331*$C331</f>
        <v>5700</v>
      </c>
      <c r="I332" s="10">
        <f t="shared" ref="I332" si="1123">I331*$C331</f>
        <v>0</v>
      </c>
      <c r="J332" s="10">
        <f t="shared" ref="J332" si="1124">J331*$C331</f>
        <v>0</v>
      </c>
      <c r="K332" s="10">
        <f t="shared" ref="K332" si="1125">K331*$C331</f>
        <v>0</v>
      </c>
      <c r="L332" s="10">
        <f t="shared" ref="L332" si="1126">L331*$C331</f>
        <v>0</v>
      </c>
      <c r="M332" s="10">
        <f t="shared" ref="M332" si="1127">M331*$C331</f>
        <v>950</v>
      </c>
      <c r="N332" s="11">
        <f t="shared" ref="N332" ca="1" si="1128">IFERROR(N331/SUM($E331:$F331)*SUM($E332:$F332),"")</f>
        <v>0</v>
      </c>
      <c r="O332" s="10">
        <f>O331*$C331</f>
        <v>10702700</v>
      </c>
    </row>
    <row r="333" spans="1:15" x14ac:dyDescent="0.55000000000000004">
      <c r="A333" s="99">
        <v>353</v>
      </c>
      <c r="B333" s="100" t="s">
        <v>186</v>
      </c>
      <c r="C333" s="78">
        <f>IFERROR(VLOOKUP(A333,'原料標準単価（貼付）'!B:E,3,FALSE),0)</f>
        <v>13200</v>
      </c>
      <c r="D333" s="12" t="s">
        <v>18</v>
      </c>
      <c r="E333" s="13"/>
      <c r="F333" s="6">
        <f>IFERROR(VLOOKUP(A333,'1.2①原材料受入'!A:E,3,FALSE),0)</f>
        <v>10</v>
      </c>
      <c r="G333" s="6">
        <f ca="1">SUMIF('1.3②原材料使用'!C:E,A333,'1.3②原材料使用'!E:E)</f>
        <v>9</v>
      </c>
      <c r="H333" s="6">
        <f>SUMIFS('1.4原材料(その他)'!E:E,'1.4原材料(その他)'!C:C,A:A,'1.4原材料(その他)'!H:H,H$3)</f>
        <v>0</v>
      </c>
      <c r="I333" s="6">
        <f>SUMIFS('1.4原材料(その他)'!E:E,'1.4原材料(その他)'!C:C,A:A,'1.4原材料(その他)'!H:H,I$3)</f>
        <v>0</v>
      </c>
      <c r="J333" s="6">
        <f>SUMIFS('1.4原材料(その他)'!E:E,'1.4原材料(その他)'!C:C,A:A,'1.4原材料(その他)'!H:H,J$3)</f>
        <v>0</v>
      </c>
      <c r="K333" s="6">
        <f>SUMIFS('1.4原材料(その他)'!E:E,'1.4原材料(その他)'!C:C,A:A,'1.4原材料(その他)'!H:H,K$3)</f>
        <v>0</v>
      </c>
      <c r="L333" s="6">
        <f>SUMIFS('1.4原材料(その他)'!E:E,'1.4原材料(その他)'!C:C,A:A,'1.4原材料(その他)'!H:H,L$3)</f>
        <v>0</v>
      </c>
      <c r="M333" s="6">
        <f>SUMIFS('1.4原材料(その他)'!E:E,'1.4原材料(その他)'!C:C,A:A,'1.4原材料(その他)'!H:H,M$3)</f>
        <v>0</v>
      </c>
      <c r="N333" s="7">
        <f ca="1">O333-(E333+F333-SUM(G333:M333))</f>
        <v>0</v>
      </c>
      <c r="O333" s="8">
        <f>SUMIF('1.5原材料在庫'!A:A,原材料SC明細!A333,'1.5原材料在庫'!D:D)</f>
        <v>1</v>
      </c>
    </row>
    <row r="334" spans="1:15" x14ac:dyDescent="0.55000000000000004">
      <c r="A334" s="99"/>
      <c r="B334" s="99"/>
      <c r="C334" s="79"/>
      <c r="D334" s="9" t="s">
        <v>19</v>
      </c>
      <c r="E334" s="10"/>
      <c r="F334" s="10">
        <f>F333*$C333</f>
        <v>132000</v>
      </c>
      <c r="G334" s="10">
        <f ca="1">G333*$C333</f>
        <v>118800</v>
      </c>
      <c r="H334" s="10">
        <f t="shared" ref="H334" si="1129">H333*$C333</f>
        <v>0</v>
      </c>
      <c r="I334" s="10">
        <f t="shared" ref="I334" si="1130">I333*$C333</f>
        <v>0</v>
      </c>
      <c r="J334" s="10">
        <f t="shared" ref="J334" si="1131">J333*$C333</f>
        <v>0</v>
      </c>
      <c r="K334" s="10">
        <f t="shared" ref="K334" si="1132">K333*$C333</f>
        <v>0</v>
      </c>
      <c r="L334" s="10">
        <f t="shared" ref="L334" si="1133">L333*$C333</f>
        <v>0</v>
      </c>
      <c r="M334" s="10">
        <f t="shared" ref="M334" si="1134">M333*$C333</f>
        <v>0</v>
      </c>
      <c r="N334" s="11">
        <f ca="1">IFERROR(N333/SUM($E333:$F333)*SUM($E334:$F334),"")</f>
        <v>0</v>
      </c>
      <c r="O334" s="10">
        <f>O333*$C333</f>
        <v>13200</v>
      </c>
    </row>
    <row r="335" spans="1:15" x14ac:dyDescent="0.55000000000000004">
      <c r="A335" s="95">
        <v>900</v>
      </c>
      <c r="B335" s="95" t="s">
        <v>187</v>
      </c>
      <c r="C335" s="78">
        <f>IFERROR(VLOOKUP(A335,'原料標準単価（貼付）'!B:E,3,FALSE),0)</f>
        <v>0</v>
      </c>
      <c r="D335" s="12" t="s">
        <v>18</v>
      </c>
      <c r="E335" s="13">
        <v>0</v>
      </c>
      <c r="F335" s="6">
        <f>IFERROR(VLOOKUP(A335,'1.2①原材料受入'!A:E,3,FALSE),0)</f>
        <v>0</v>
      </c>
      <c r="G335" s="6">
        <f ca="1">SUMIF('1.3②原材料使用'!C:E,A335,'1.3②原材料使用'!E:E)</f>
        <v>0</v>
      </c>
      <c r="H335" s="6">
        <f>SUMIFS('1.4原材料(その他)'!E:E,'1.4原材料(その他)'!C:C,A:A,'1.4原材料(その他)'!H:H,H$3)</f>
        <v>0</v>
      </c>
      <c r="I335" s="6">
        <f>SUMIFS('1.4原材料(その他)'!E:E,'1.4原材料(その他)'!C:C,A:A,'1.4原材料(その他)'!H:H,I$3)</f>
        <v>0</v>
      </c>
      <c r="J335" s="6">
        <f>SUMIFS('1.4原材料(その他)'!E:E,'1.4原材料(その他)'!C:C,A:A,'1.4原材料(その他)'!H:H,J$3)</f>
        <v>0</v>
      </c>
      <c r="K335" s="6">
        <f>SUMIFS('1.4原材料(その他)'!E:E,'1.4原材料(その他)'!C:C,A:A,'1.4原材料(その他)'!H:H,K$3)</f>
        <v>0</v>
      </c>
      <c r="L335" s="6">
        <f>SUMIFS('1.4原材料(その他)'!E:E,'1.4原材料(その他)'!C:C,A:A,'1.4原材料(その他)'!H:H,L$3)</f>
        <v>0</v>
      </c>
      <c r="M335" s="6">
        <f>SUMIFS('1.4原材料(その他)'!E:E,'1.4原材料(その他)'!C:C,A:A,'1.4原材料(その他)'!H:H,M$3)</f>
        <v>0</v>
      </c>
      <c r="N335" s="7">
        <f ca="1">O335-(E335+F335-SUM(G335:M335))</f>
        <v>0</v>
      </c>
      <c r="O335" s="8">
        <f>SUMIF('1.5原材料在庫'!A:A,原材料SC明細!A335,'1.5原材料在庫'!D:D)</f>
        <v>0</v>
      </c>
    </row>
    <row r="336" spans="1:15" x14ac:dyDescent="0.55000000000000004">
      <c r="A336" s="86"/>
      <c r="B336" s="86"/>
      <c r="C336" s="79"/>
      <c r="D336" s="9" t="s">
        <v>19</v>
      </c>
      <c r="E336" s="10" t="s">
        <v>68</v>
      </c>
      <c r="F336" s="10">
        <f>F335*$C335</f>
        <v>0</v>
      </c>
      <c r="G336" s="10">
        <f ca="1">G335*$C335</f>
        <v>0</v>
      </c>
      <c r="H336" s="10">
        <f t="shared" ref="H336" si="1135">H335*$C335</f>
        <v>0</v>
      </c>
      <c r="I336" s="10">
        <f t="shared" ref="I336" si="1136">I335*$C335</f>
        <v>0</v>
      </c>
      <c r="J336" s="10">
        <f t="shared" ref="J336" si="1137">J335*$C335</f>
        <v>0</v>
      </c>
      <c r="K336" s="10">
        <f t="shared" ref="K336" si="1138">K335*$C335</f>
        <v>0</v>
      </c>
      <c r="L336" s="10">
        <f t="shared" ref="L336" si="1139">L335*$C335</f>
        <v>0</v>
      </c>
      <c r="M336" s="10">
        <f t="shared" ref="M336" si="1140">M335*$C335</f>
        <v>0</v>
      </c>
      <c r="N336" s="11" t="str">
        <f t="shared" ref="N336" ca="1" si="1141">IFERROR(N335/SUM($E335:$F335)*SUM($E336:$F336),"")</f>
        <v/>
      </c>
      <c r="O336" s="10">
        <f>O335*$C335</f>
        <v>0</v>
      </c>
    </row>
    <row r="337" spans="1:15" x14ac:dyDescent="0.55000000000000004">
      <c r="A337" s="80">
        <v>901</v>
      </c>
      <c r="B337" s="80" t="s">
        <v>188</v>
      </c>
      <c r="C337" s="78">
        <f>IFERROR(VLOOKUP(A337,'原料標準単価（貼付）'!B:E,3,FALSE),0)</f>
        <v>0</v>
      </c>
      <c r="D337" s="12" t="s">
        <v>18</v>
      </c>
      <c r="E337" s="13">
        <v>0</v>
      </c>
      <c r="F337" s="6">
        <f>IFERROR(VLOOKUP(A337,'1.2①原材料受入'!A:E,3,FALSE),0)</f>
        <v>0</v>
      </c>
      <c r="G337" s="6">
        <f ca="1">SUMIF('1.3②原材料使用'!C:E,A337,'1.3②原材料使用'!E:E)</f>
        <v>0</v>
      </c>
      <c r="H337" s="6">
        <f>SUMIFS('1.4原材料(その他)'!E:E,'1.4原材料(その他)'!C:C,A:A,'1.4原材料(その他)'!H:H,H$3)</f>
        <v>0</v>
      </c>
      <c r="I337" s="6">
        <f>SUMIFS('1.4原材料(その他)'!E:E,'1.4原材料(その他)'!C:C,A:A,'1.4原材料(その他)'!H:H,I$3)</f>
        <v>0</v>
      </c>
      <c r="J337" s="6">
        <f>SUMIFS('1.4原材料(その他)'!E:E,'1.4原材料(その他)'!C:C,A:A,'1.4原材料(その他)'!H:H,J$3)</f>
        <v>0</v>
      </c>
      <c r="K337" s="6">
        <f>SUMIFS('1.4原材料(その他)'!E:E,'1.4原材料(その他)'!C:C,A:A,'1.4原材料(その他)'!H:H,K$3)</f>
        <v>0</v>
      </c>
      <c r="L337" s="6">
        <f>SUMIFS('1.4原材料(その他)'!E:E,'1.4原材料(その他)'!C:C,A:A,'1.4原材料(その他)'!H:H,L$3)</f>
        <v>0</v>
      </c>
      <c r="M337" s="6">
        <f>SUMIFS('1.4原材料(その他)'!E:E,'1.4原材料(その他)'!C:C,A:A,'1.4原材料(その他)'!H:H,M$3)</f>
        <v>0</v>
      </c>
      <c r="N337" s="7">
        <f ca="1">O337-(E337+F337-SUM(G337:M337))</f>
        <v>0</v>
      </c>
      <c r="O337" s="8">
        <f>SUMIF('1.5原材料在庫'!A:A,原材料SC明細!A337,'1.5原材料在庫'!D:D)</f>
        <v>0</v>
      </c>
    </row>
    <row r="338" spans="1:15" x14ac:dyDescent="0.55000000000000004">
      <c r="A338" s="80"/>
      <c r="B338" s="80"/>
      <c r="C338" s="79"/>
      <c r="D338" s="9" t="s">
        <v>19</v>
      </c>
      <c r="E338" s="10" t="s">
        <v>68</v>
      </c>
      <c r="F338" s="10">
        <f>F337*$C337</f>
        <v>0</v>
      </c>
      <c r="G338" s="10">
        <f ca="1">G337*$C337</f>
        <v>0</v>
      </c>
      <c r="H338" s="10">
        <f t="shared" ref="H338" si="1142">H337*$C337</f>
        <v>0</v>
      </c>
      <c r="I338" s="10">
        <f t="shared" ref="I338" si="1143">I337*$C337</f>
        <v>0</v>
      </c>
      <c r="J338" s="10">
        <f t="shared" ref="J338" si="1144">J337*$C337</f>
        <v>0</v>
      </c>
      <c r="K338" s="10">
        <f t="shared" ref="K338" si="1145">K337*$C337</f>
        <v>0</v>
      </c>
      <c r="L338" s="10">
        <f t="shared" ref="L338" si="1146">L337*$C337</f>
        <v>0</v>
      </c>
      <c r="M338" s="10">
        <f t="shared" ref="M338" si="1147">M337*$C337</f>
        <v>0</v>
      </c>
      <c r="N338" s="11" t="str">
        <f t="shared" ref="N338" ca="1" si="1148">IFERROR(N337/SUM($E337:$F337)*SUM($E338:$F338),"")</f>
        <v/>
      </c>
      <c r="O338" s="10">
        <f>O337*$C337</f>
        <v>0</v>
      </c>
    </row>
    <row r="339" spans="1:15" x14ac:dyDescent="0.55000000000000004">
      <c r="A339" s="80">
        <v>902</v>
      </c>
      <c r="B339" s="80" t="s">
        <v>189</v>
      </c>
      <c r="C339" s="78">
        <f>IFERROR(VLOOKUP(A339,'原料標準単価（貼付）'!B:E,3,FALSE),0)</f>
        <v>0</v>
      </c>
      <c r="D339" s="12" t="s">
        <v>18</v>
      </c>
      <c r="E339" s="13">
        <v>0</v>
      </c>
      <c r="F339" s="6">
        <f>IFERROR(VLOOKUP(A339,'1.2①原材料受入'!A:E,3,FALSE),0)</f>
        <v>0</v>
      </c>
      <c r="G339" s="6">
        <f ca="1">SUMIF('1.3②原材料使用'!C:E,A339,'1.3②原材料使用'!E:E)</f>
        <v>0</v>
      </c>
      <c r="H339" s="6">
        <f>SUMIFS('1.4原材料(その他)'!E:E,'1.4原材料(その他)'!C:C,A:A,'1.4原材料(その他)'!H:H,H$3)</f>
        <v>0</v>
      </c>
      <c r="I339" s="6">
        <f>SUMIFS('1.4原材料(その他)'!E:E,'1.4原材料(その他)'!C:C,A:A,'1.4原材料(その他)'!H:H,I$3)</f>
        <v>0</v>
      </c>
      <c r="J339" s="6">
        <f>SUMIFS('1.4原材料(その他)'!E:E,'1.4原材料(その他)'!C:C,A:A,'1.4原材料(その他)'!H:H,J$3)</f>
        <v>0</v>
      </c>
      <c r="K339" s="6">
        <f>SUMIFS('1.4原材料(その他)'!E:E,'1.4原材料(その他)'!C:C,A:A,'1.4原材料(その他)'!H:H,K$3)</f>
        <v>0</v>
      </c>
      <c r="L339" s="6">
        <f>SUMIFS('1.4原材料(その他)'!E:E,'1.4原材料(その他)'!C:C,A:A,'1.4原材料(その他)'!H:H,L$3)</f>
        <v>0</v>
      </c>
      <c r="M339" s="6">
        <f>SUMIFS('1.4原材料(その他)'!E:E,'1.4原材料(その他)'!C:C,A:A,'1.4原材料(その他)'!H:H,M$3)</f>
        <v>0</v>
      </c>
      <c r="N339" s="7">
        <f ca="1">O339-(E339+F339-SUM(G339:M339))</f>
        <v>0</v>
      </c>
      <c r="O339" s="8">
        <f>SUMIF('1.5原材料在庫'!A:A,原材料SC明細!A339,'1.5原材料在庫'!D:D)</f>
        <v>0</v>
      </c>
    </row>
    <row r="340" spans="1:15" x14ac:dyDescent="0.55000000000000004">
      <c r="A340" s="80"/>
      <c r="B340" s="80"/>
      <c r="C340" s="79"/>
      <c r="D340" s="9" t="s">
        <v>19</v>
      </c>
      <c r="E340" s="10" t="s">
        <v>68</v>
      </c>
      <c r="F340" s="10">
        <f>F339*$C339</f>
        <v>0</v>
      </c>
      <c r="G340" s="10">
        <f ca="1">G339*$C339</f>
        <v>0</v>
      </c>
      <c r="H340" s="10">
        <f t="shared" ref="H340" si="1149">H339*$C339</f>
        <v>0</v>
      </c>
      <c r="I340" s="10">
        <f t="shared" ref="I340" si="1150">I339*$C339</f>
        <v>0</v>
      </c>
      <c r="J340" s="10">
        <f t="shared" ref="J340" si="1151">J339*$C339</f>
        <v>0</v>
      </c>
      <c r="K340" s="10">
        <f t="shared" ref="K340" si="1152">K339*$C339</f>
        <v>0</v>
      </c>
      <c r="L340" s="10">
        <f t="shared" ref="L340" si="1153">L339*$C339</f>
        <v>0</v>
      </c>
      <c r="M340" s="10">
        <f t="shared" ref="M340" si="1154">M339*$C339</f>
        <v>0</v>
      </c>
      <c r="N340" s="11" t="str">
        <f t="shared" ref="N340" ca="1" si="1155">IFERROR(N339/SUM($E339:$F339)*SUM($E340:$F340),"")</f>
        <v/>
      </c>
      <c r="O340" s="10">
        <f>O339*$C339</f>
        <v>0</v>
      </c>
    </row>
    <row r="341" spans="1:15" x14ac:dyDescent="0.55000000000000004">
      <c r="A341" s="80">
        <v>903</v>
      </c>
      <c r="B341" s="80" t="s">
        <v>190</v>
      </c>
      <c r="C341" s="78">
        <f>IFERROR(VLOOKUP(A341,'原料標準単価（貼付）'!B:E,3,FALSE),0)</f>
        <v>0</v>
      </c>
      <c r="D341" s="12" t="s">
        <v>18</v>
      </c>
      <c r="E341" s="13">
        <v>0</v>
      </c>
      <c r="F341" s="6">
        <f>IFERROR(VLOOKUP(A341,'1.2①原材料受入'!A:E,3,FALSE),0)</f>
        <v>0</v>
      </c>
      <c r="G341" s="6">
        <f ca="1">SUMIF('1.3②原材料使用'!C:E,A341,'1.3②原材料使用'!E:E)</f>
        <v>0</v>
      </c>
      <c r="H341" s="6">
        <f>SUMIFS('1.4原材料(その他)'!E:E,'1.4原材料(その他)'!C:C,A:A,'1.4原材料(その他)'!H:H,H$3)</f>
        <v>0</v>
      </c>
      <c r="I341" s="6">
        <f>SUMIFS('1.4原材料(その他)'!E:E,'1.4原材料(その他)'!C:C,A:A,'1.4原材料(その他)'!H:H,I$3)</f>
        <v>0</v>
      </c>
      <c r="J341" s="6">
        <f>SUMIFS('1.4原材料(その他)'!E:E,'1.4原材料(その他)'!C:C,A:A,'1.4原材料(その他)'!H:H,J$3)</f>
        <v>0</v>
      </c>
      <c r="K341" s="6">
        <f>SUMIFS('1.4原材料(その他)'!E:E,'1.4原材料(その他)'!C:C,A:A,'1.4原材料(その他)'!H:H,K$3)</f>
        <v>0</v>
      </c>
      <c r="L341" s="6">
        <f>SUMIFS('1.4原材料(その他)'!E:E,'1.4原材料(その他)'!C:C,A:A,'1.4原材料(その他)'!H:H,L$3)</f>
        <v>0</v>
      </c>
      <c r="M341" s="6">
        <f>SUMIFS('1.4原材料(その他)'!E:E,'1.4原材料(その他)'!C:C,A:A,'1.4原材料(その他)'!H:H,M$3)</f>
        <v>0</v>
      </c>
      <c r="N341" s="7">
        <f ca="1">O341-(E341+F341-SUM(G341:M341))</f>
        <v>0</v>
      </c>
      <c r="O341" s="8">
        <f>SUMIF('1.5原材料在庫'!A:A,原材料SC明細!A341,'1.5原材料在庫'!D:D)</f>
        <v>0</v>
      </c>
    </row>
    <row r="342" spans="1:15" x14ac:dyDescent="0.55000000000000004">
      <c r="A342" s="80"/>
      <c r="B342" s="80"/>
      <c r="C342" s="79"/>
      <c r="D342" s="9" t="s">
        <v>19</v>
      </c>
      <c r="E342" s="10" t="s">
        <v>68</v>
      </c>
      <c r="F342" s="10">
        <f>F341*$C341</f>
        <v>0</v>
      </c>
      <c r="G342" s="10">
        <f ca="1">G341*$C341</f>
        <v>0</v>
      </c>
      <c r="H342" s="10">
        <f t="shared" ref="H342" si="1156">H341*$C341</f>
        <v>0</v>
      </c>
      <c r="I342" s="10">
        <f t="shared" ref="I342" si="1157">I341*$C341</f>
        <v>0</v>
      </c>
      <c r="J342" s="10">
        <f t="shared" ref="J342" si="1158">J341*$C341</f>
        <v>0</v>
      </c>
      <c r="K342" s="10">
        <f t="shared" ref="K342" si="1159">K341*$C341</f>
        <v>0</v>
      </c>
      <c r="L342" s="10">
        <f t="shared" ref="L342" si="1160">L341*$C341</f>
        <v>0</v>
      </c>
      <c r="M342" s="10">
        <f t="shared" ref="M342" si="1161">M341*$C341</f>
        <v>0</v>
      </c>
      <c r="N342" s="11" t="str">
        <f t="shared" ref="N342" ca="1" si="1162">IFERROR(N341/SUM($E341:$F341)*SUM($E342:$F342),"")</f>
        <v/>
      </c>
      <c r="O342" s="10">
        <f>O341*$C341</f>
        <v>0</v>
      </c>
    </row>
    <row r="343" spans="1:15" x14ac:dyDescent="0.55000000000000004">
      <c r="A343" s="80">
        <v>904</v>
      </c>
      <c r="B343" s="95" t="s">
        <v>191</v>
      </c>
      <c r="C343" s="78">
        <f>IFERROR(VLOOKUP(A343,'原料標準単価（貼付）'!B:E,3,FALSE),0)</f>
        <v>0</v>
      </c>
      <c r="D343" s="12" t="s">
        <v>18</v>
      </c>
      <c r="E343" s="13">
        <v>0</v>
      </c>
      <c r="F343" s="6">
        <f>IFERROR(VLOOKUP(A343,'1.2①原材料受入'!A:E,3,FALSE),0)</f>
        <v>0</v>
      </c>
      <c r="G343" s="6">
        <f ca="1">SUMIF('1.3②原材料使用'!C:E,A343,'1.3②原材料使用'!E:E)</f>
        <v>0</v>
      </c>
      <c r="H343" s="6">
        <f>SUMIFS('1.4原材料(その他)'!E:E,'1.4原材料(その他)'!C:C,A:A,'1.4原材料(その他)'!H:H,H$3)</f>
        <v>0</v>
      </c>
      <c r="I343" s="6">
        <f>SUMIFS('1.4原材料(その他)'!E:E,'1.4原材料(その他)'!C:C,A:A,'1.4原材料(その他)'!H:H,I$3)</f>
        <v>0</v>
      </c>
      <c r="J343" s="6">
        <f>SUMIFS('1.4原材料(その他)'!E:E,'1.4原材料(その他)'!C:C,A:A,'1.4原材料(その他)'!H:H,J$3)</f>
        <v>0</v>
      </c>
      <c r="K343" s="6">
        <f>SUMIFS('1.4原材料(その他)'!E:E,'1.4原材料(その他)'!C:C,A:A,'1.4原材料(その他)'!H:H,K$3)</f>
        <v>0</v>
      </c>
      <c r="L343" s="6">
        <f>SUMIFS('1.4原材料(その他)'!E:E,'1.4原材料(その他)'!C:C,A:A,'1.4原材料(その他)'!H:H,L$3)</f>
        <v>0</v>
      </c>
      <c r="M343" s="6">
        <f>SUMIFS('1.4原材料(その他)'!E:E,'1.4原材料(その他)'!C:C,A:A,'1.4原材料(その他)'!H:H,M$3)</f>
        <v>0</v>
      </c>
      <c r="N343" s="7">
        <f ca="1">O343-(E343+F343-SUM(G343:M343))</f>
        <v>0</v>
      </c>
      <c r="O343" s="8">
        <f>SUMIF('1.5原材料在庫'!A:A,原材料SC明細!A343,'1.5原材料在庫'!D:D)</f>
        <v>0</v>
      </c>
    </row>
    <row r="344" spans="1:15" s="17" customFormat="1" x14ac:dyDescent="0.55000000000000004">
      <c r="A344" s="80"/>
      <c r="B344" s="86"/>
      <c r="C344" s="79"/>
      <c r="D344" s="16" t="s">
        <v>19</v>
      </c>
      <c r="E344" s="10" t="s">
        <v>68</v>
      </c>
      <c r="F344" s="10">
        <f>F343*$C343</f>
        <v>0</v>
      </c>
      <c r="G344" s="10">
        <f ca="1">G343*$C343</f>
        <v>0</v>
      </c>
      <c r="H344" s="10">
        <f t="shared" ref="H344" si="1163">H343*$C343</f>
        <v>0</v>
      </c>
      <c r="I344" s="10">
        <f t="shared" ref="I344" si="1164">I343*$C343</f>
        <v>0</v>
      </c>
      <c r="J344" s="10">
        <f t="shared" ref="J344" si="1165">J343*$C343</f>
        <v>0</v>
      </c>
      <c r="K344" s="10">
        <f t="shared" ref="K344" si="1166">K343*$C343</f>
        <v>0</v>
      </c>
      <c r="L344" s="10">
        <f t="shared" ref="L344" si="1167">L343*$C343</f>
        <v>0</v>
      </c>
      <c r="M344" s="10">
        <f t="shared" ref="M344" si="1168">M343*$C343</f>
        <v>0</v>
      </c>
      <c r="N344" s="11" t="str">
        <f t="shared" ref="N344" ca="1" si="1169">IFERROR(N343/SUM($E343:$F343)*SUM($E344:$F344),"")</f>
        <v/>
      </c>
      <c r="O344" s="10">
        <f>O343*$C343</f>
        <v>0</v>
      </c>
    </row>
    <row r="345" spans="1:15" s="17" customFormat="1" x14ac:dyDescent="0.55000000000000004">
      <c r="A345" s="80">
        <v>905</v>
      </c>
      <c r="B345" s="95" t="s">
        <v>192</v>
      </c>
      <c r="C345" s="78">
        <f>IFERROR(VLOOKUP(A345,'原料標準単価（貼付）'!B:E,3,FALSE),0)</f>
        <v>0</v>
      </c>
      <c r="D345" s="12" t="s">
        <v>18</v>
      </c>
      <c r="E345" s="13">
        <v>0</v>
      </c>
      <c r="F345" s="6">
        <f>IFERROR(VLOOKUP(A345,'1.2①原材料受入'!A:E,3,FALSE),0)</f>
        <v>0</v>
      </c>
      <c r="G345" s="6">
        <f ca="1">SUMIF('1.3②原材料使用'!C:E,A345,'1.3②原材料使用'!E:E)</f>
        <v>0</v>
      </c>
      <c r="H345" s="6">
        <f>SUMIFS('1.4原材料(その他)'!E:E,'1.4原材料(その他)'!C:C,A:A,'1.4原材料(その他)'!H:H,H$3)</f>
        <v>0</v>
      </c>
      <c r="I345" s="6">
        <f>SUMIFS('1.4原材料(その他)'!E:E,'1.4原材料(その他)'!C:C,A:A,'1.4原材料(その他)'!H:H,I$3)</f>
        <v>0</v>
      </c>
      <c r="J345" s="6">
        <f>SUMIFS('1.4原材料(その他)'!E:E,'1.4原材料(その他)'!C:C,A:A,'1.4原材料(その他)'!H:H,J$3)</f>
        <v>0</v>
      </c>
      <c r="K345" s="6">
        <f>SUMIFS('1.4原材料(その他)'!E:E,'1.4原材料(その他)'!C:C,A:A,'1.4原材料(その他)'!H:H,K$3)</f>
        <v>0</v>
      </c>
      <c r="L345" s="6">
        <f>SUMIFS('1.4原材料(その他)'!E:E,'1.4原材料(その他)'!C:C,A:A,'1.4原材料(その他)'!H:H,L$3)</f>
        <v>0</v>
      </c>
      <c r="M345" s="6">
        <f>SUMIFS('1.4原材料(その他)'!E:E,'1.4原材料(その他)'!C:C,A:A,'1.4原材料(その他)'!H:H,M$3)</f>
        <v>0</v>
      </c>
      <c r="N345" s="7">
        <f ca="1">O345-(E345+F345-SUM(G345:M345))</f>
        <v>0</v>
      </c>
      <c r="O345" s="8">
        <f>SUMIF('1.5原材料在庫'!A:A,原材料SC明細!A345,'1.5原材料在庫'!D:D)</f>
        <v>0</v>
      </c>
    </row>
    <row r="346" spans="1:15" s="17" customFormat="1" x14ac:dyDescent="0.55000000000000004">
      <c r="A346" s="80"/>
      <c r="B346" s="86"/>
      <c r="C346" s="79"/>
      <c r="D346" s="16" t="s">
        <v>19</v>
      </c>
      <c r="E346" s="10" t="s">
        <v>68</v>
      </c>
      <c r="F346" s="10">
        <f>F345*$C345</f>
        <v>0</v>
      </c>
      <c r="G346" s="10">
        <f ca="1">G345*$C345</f>
        <v>0</v>
      </c>
      <c r="H346" s="10">
        <f t="shared" ref="H346" si="1170">H345*$C345</f>
        <v>0</v>
      </c>
      <c r="I346" s="10">
        <f t="shared" ref="I346" si="1171">I345*$C345</f>
        <v>0</v>
      </c>
      <c r="J346" s="10">
        <f t="shared" ref="J346" si="1172">J345*$C345</f>
        <v>0</v>
      </c>
      <c r="K346" s="10">
        <f t="shared" ref="K346" si="1173">K345*$C345</f>
        <v>0</v>
      </c>
      <c r="L346" s="10">
        <f t="shared" ref="L346" si="1174">L345*$C345</f>
        <v>0</v>
      </c>
      <c r="M346" s="10">
        <f t="shared" ref="M346" si="1175">M345*$C345</f>
        <v>0</v>
      </c>
      <c r="N346" s="11" t="str">
        <f t="shared" ref="N346" ca="1" si="1176">IFERROR(N345/SUM($E345:$F345)*SUM($E346:$F346),"")</f>
        <v/>
      </c>
      <c r="O346" s="10">
        <f>O345*$C345</f>
        <v>0</v>
      </c>
    </row>
    <row r="347" spans="1:15" s="17" customFormat="1" x14ac:dyDescent="0.55000000000000004">
      <c r="A347" s="80">
        <v>906</v>
      </c>
      <c r="B347" s="95" t="s">
        <v>193</v>
      </c>
      <c r="C347" s="78">
        <f>IFERROR(VLOOKUP(A347,'原料標準単価（貼付）'!B:E,3,FALSE),0)</f>
        <v>0</v>
      </c>
      <c r="D347" s="12" t="s">
        <v>18</v>
      </c>
      <c r="E347" s="13">
        <v>0</v>
      </c>
      <c r="F347" s="6">
        <f>IFERROR(VLOOKUP(A347,'1.2①原材料受入'!A:E,3,FALSE),0)</f>
        <v>0</v>
      </c>
      <c r="G347" s="6">
        <f ca="1">SUMIF('1.3②原材料使用'!C:E,A347,'1.3②原材料使用'!E:E)</f>
        <v>0</v>
      </c>
      <c r="H347" s="6">
        <f>SUMIFS('1.4原材料(その他)'!E:E,'1.4原材料(その他)'!C:C,A:A,'1.4原材料(その他)'!H:H,H$3)</f>
        <v>0</v>
      </c>
      <c r="I347" s="6">
        <f>SUMIFS('1.4原材料(その他)'!E:E,'1.4原材料(その他)'!C:C,A:A,'1.4原材料(その他)'!H:H,I$3)</f>
        <v>0</v>
      </c>
      <c r="J347" s="6">
        <f>SUMIFS('1.4原材料(その他)'!E:E,'1.4原材料(その他)'!C:C,A:A,'1.4原材料(その他)'!H:H,J$3)</f>
        <v>0</v>
      </c>
      <c r="K347" s="6">
        <f>SUMIFS('1.4原材料(その他)'!E:E,'1.4原材料(その他)'!C:C,A:A,'1.4原材料(その他)'!H:H,K$3)</f>
        <v>0</v>
      </c>
      <c r="L347" s="6">
        <f>SUMIFS('1.4原材料(その他)'!E:E,'1.4原材料(その他)'!C:C,A:A,'1.4原材料(その他)'!H:H,L$3)</f>
        <v>0</v>
      </c>
      <c r="M347" s="6">
        <f>SUMIFS('1.4原材料(その他)'!E:E,'1.4原材料(その他)'!C:C,A:A,'1.4原材料(その他)'!H:H,M$3)</f>
        <v>0</v>
      </c>
      <c r="N347" s="7">
        <f ca="1">O347-(E347+F347-SUM(G347:M347))</f>
        <v>0</v>
      </c>
      <c r="O347" s="8">
        <f>SUMIF('1.5原材料在庫'!A:A,原材料SC明細!A347,'1.5原材料在庫'!D:D)</f>
        <v>0</v>
      </c>
    </row>
    <row r="348" spans="1:15" s="17" customFormat="1" x14ac:dyDescent="0.55000000000000004">
      <c r="A348" s="80"/>
      <c r="B348" s="86"/>
      <c r="C348" s="79"/>
      <c r="D348" s="16" t="s">
        <v>19</v>
      </c>
      <c r="E348" s="10" t="s">
        <v>68</v>
      </c>
      <c r="F348" s="10">
        <f>F347*$C347</f>
        <v>0</v>
      </c>
      <c r="G348" s="10">
        <f ca="1">G347*$C347</f>
        <v>0</v>
      </c>
      <c r="H348" s="10">
        <f t="shared" ref="H348" si="1177">H347*$C347</f>
        <v>0</v>
      </c>
      <c r="I348" s="10">
        <f t="shared" ref="I348" si="1178">I347*$C347</f>
        <v>0</v>
      </c>
      <c r="J348" s="10">
        <f t="shared" ref="J348" si="1179">J347*$C347</f>
        <v>0</v>
      </c>
      <c r="K348" s="10">
        <f t="shared" ref="K348" si="1180">K347*$C347</f>
        <v>0</v>
      </c>
      <c r="L348" s="10">
        <f t="shared" ref="L348" si="1181">L347*$C347</f>
        <v>0</v>
      </c>
      <c r="M348" s="10">
        <f t="shared" ref="M348" si="1182">M347*$C347</f>
        <v>0</v>
      </c>
      <c r="N348" s="11" t="str">
        <f t="shared" ref="N348" ca="1" si="1183">IFERROR(N347/SUM($E347:$F347)*SUM($E348:$F348),"")</f>
        <v/>
      </c>
      <c r="O348" s="10">
        <f>O347*$C347</f>
        <v>0</v>
      </c>
    </row>
    <row r="349" spans="1:15" s="17" customFormat="1" x14ac:dyDescent="0.55000000000000004">
      <c r="A349" s="80">
        <v>907</v>
      </c>
      <c r="B349" s="95" t="s">
        <v>194</v>
      </c>
      <c r="C349" s="78">
        <f>IFERROR(VLOOKUP(A349,'原料標準単価（貼付）'!B:E,3,FALSE),0)</f>
        <v>0</v>
      </c>
      <c r="D349" s="12" t="s">
        <v>18</v>
      </c>
      <c r="E349" s="13">
        <v>0</v>
      </c>
      <c r="F349" s="6">
        <f>IFERROR(VLOOKUP(A349,'1.2①原材料受入'!A:E,3,FALSE),0)</f>
        <v>0</v>
      </c>
      <c r="G349" s="6">
        <f ca="1">SUMIF('1.3②原材料使用'!C:E,A349,'1.3②原材料使用'!E:E)</f>
        <v>0</v>
      </c>
      <c r="H349" s="6">
        <f>SUMIFS('1.4原材料(その他)'!E:E,'1.4原材料(その他)'!C:C,A:A,'1.4原材料(その他)'!H:H,H$3)</f>
        <v>0</v>
      </c>
      <c r="I349" s="6">
        <f>SUMIFS('1.4原材料(その他)'!E:E,'1.4原材料(その他)'!C:C,A:A,'1.4原材料(その他)'!H:H,I$3)</f>
        <v>0</v>
      </c>
      <c r="J349" s="6">
        <f>SUMIFS('1.4原材料(その他)'!E:E,'1.4原材料(その他)'!C:C,A:A,'1.4原材料(その他)'!H:H,J$3)</f>
        <v>0</v>
      </c>
      <c r="K349" s="6">
        <f>SUMIFS('1.4原材料(その他)'!E:E,'1.4原材料(その他)'!C:C,A:A,'1.4原材料(その他)'!H:H,K$3)</f>
        <v>0</v>
      </c>
      <c r="L349" s="6">
        <f>SUMIFS('1.4原材料(その他)'!E:E,'1.4原材料(その他)'!C:C,A:A,'1.4原材料(その他)'!H:H,L$3)</f>
        <v>0</v>
      </c>
      <c r="M349" s="6">
        <f>SUMIFS('1.4原材料(その他)'!E:E,'1.4原材料(その他)'!C:C,A:A,'1.4原材料(その他)'!H:H,M$3)</f>
        <v>0</v>
      </c>
      <c r="N349" s="7">
        <f ca="1">O349-(E349+F349-SUM(G349:M349))</f>
        <v>0</v>
      </c>
      <c r="O349" s="8">
        <f>SUMIF('1.5原材料在庫'!A:A,原材料SC明細!A349,'1.5原材料在庫'!D:D)</f>
        <v>0</v>
      </c>
    </row>
    <row r="350" spans="1:15" s="17" customFormat="1" x14ac:dyDescent="0.55000000000000004">
      <c r="A350" s="80"/>
      <c r="B350" s="86"/>
      <c r="C350" s="79"/>
      <c r="D350" s="16" t="s">
        <v>19</v>
      </c>
      <c r="E350" s="10" t="s">
        <v>68</v>
      </c>
      <c r="F350" s="10">
        <f>F349*$C349</f>
        <v>0</v>
      </c>
      <c r="G350" s="10">
        <f ca="1">G349*$C349</f>
        <v>0</v>
      </c>
      <c r="H350" s="10">
        <f t="shared" ref="H350" si="1184">H349*$C349</f>
        <v>0</v>
      </c>
      <c r="I350" s="10">
        <f t="shared" ref="I350" si="1185">I349*$C349</f>
        <v>0</v>
      </c>
      <c r="J350" s="10">
        <f t="shared" ref="J350" si="1186">J349*$C349</f>
        <v>0</v>
      </c>
      <c r="K350" s="10">
        <f t="shared" ref="K350" si="1187">K349*$C349</f>
        <v>0</v>
      </c>
      <c r="L350" s="10">
        <f t="shared" ref="L350" si="1188">L349*$C349</f>
        <v>0</v>
      </c>
      <c r="M350" s="10">
        <f t="shared" ref="M350" si="1189">M349*$C349</f>
        <v>0</v>
      </c>
      <c r="N350" s="11" t="str">
        <f t="shared" ref="N350" ca="1" si="1190">IFERROR(N349/SUM($E349:$F349)*SUM($E350:$F350),"")</f>
        <v/>
      </c>
      <c r="O350" s="10">
        <f>O349*$C349</f>
        <v>0</v>
      </c>
    </row>
    <row r="351" spans="1:15" s="17" customFormat="1" x14ac:dyDescent="0.55000000000000004">
      <c r="A351" s="80">
        <v>908</v>
      </c>
      <c r="B351" s="95" t="s">
        <v>195</v>
      </c>
      <c r="C351" s="78">
        <f>IFERROR(VLOOKUP(A351,'原料標準単価（貼付）'!B:E,3,FALSE),0)</f>
        <v>0</v>
      </c>
      <c r="D351" s="12" t="s">
        <v>18</v>
      </c>
      <c r="E351" s="13">
        <v>0</v>
      </c>
      <c r="F351" s="6">
        <f>IFERROR(VLOOKUP(A351,'1.2①原材料受入'!A:E,3,FALSE),0)</f>
        <v>0</v>
      </c>
      <c r="G351" s="6">
        <f ca="1">SUMIF('1.3②原材料使用'!C:E,A351,'1.3②原材料使用'!E:E)</f>
        <v>0</v>
      </c>
      <c r="H351" s="6">
        <f>SUMIFS('1.4原材料(その他)'!E:E,'1.4原材料(その他)'!C:C,A:A,'1.4原材料(その他)'!H:H,H$3)</f>
        <v>0</v>
      </c>
      <c r="I351" s="6">
        <f>SUMIFS('1.4原材料(その他)'!E:E,'1.4原材料(その他)'!C:C,A:A,'1.4原材料(その他)'!H:H,I$3)</f>
        <v>0</v>
      </c>
      <c r="J351" s="6">
        <f>SUMIFS('1.4原材料(その他)'!E:E,'1.4原材料(その他)'!C:C,A:A,'1.4原材料(その他)'!H:H,J$3)</f>
        <v>0</v>
      </c>
      <c r="K351" s="6">
        <f>SUMIFS('1.4原材料(その他)'!E:E,'1.4原材料(その他)'!C:C,A:A,'1.4原材料(その他)'!H:H,K$3)</f>
        <v>0</v>
      </c>
      <c r="L351" s="6">
        <f>SUMIFS('1.4原材料(その他)'!E:E,'1.4原材料(その他)'!C:C,A:A,'1.4原材料(その他)'!H:H,L$3)</f>
        <v>0</v>
      </c>
      <c r="M351" s="6">
        <f>SUMIFS('1.4原材料(その他)'!E:E,'1.4原材料(その他)'!C:C,A:A,'1.4原材料(その他)'!H:H,M$3)</f>
        <v>0</v>
      </c>
      <c r="N351" s="7">
        <f ca="1">O351-(E351+F351-SUM(G351:M351))</f>
        <v>0</v>
      </c>
      <c r="O351" s="8">
        <f>SUMIF('1.5原材料在庫'!A:A,原材料SC明細!A351,'1.5原材料在庫'!D:D)</f>
        <v>0</v>
      </c>
    </row>
    <row r="352" spans="1:15" s="17" customFormat="1" x14ac:dyDescent="0.55000000000000004">
      <c r="A352" s="80"/>
      <c r="B352" s="86"/>
      <c r="C352" s="79"/>
      <c r="D352" s="16" t="s">
        <v>19</v>
      </c>
      <c r="E352" s="10" t="s">
        <v>68</v>
      </c>
      <c r="F352" s="10">
        <f>F351*$C351</f>
        <v>0</v>
      </c>
      <c r="G352" s="10">
        <f ca="1">G351*$C351</f>
        <v>0</v>
      </c>
      <c r="H352" s="10">
        <f t="shared" ref="H352" si="1191">H351*$C351</f>
        <v>0</v>
      </c>
      <c r="I352" s="10">
        <f t="shared" ref="I352" si="1192">I351*$C351</f>
        <v>0</v>
      </c>
      <c r="J352" s="10">
        <f t="shared" ref="J352" si="1193">J351*$C351</f>
        <v>0</v>
      </c>
      <c r="K352" s="10">
        <f t="shared" ref="K352" si="1194">K351*$C351</f>
        <v>0</v>
      </c>
      <c r="L352" s="10">
        <f t="shared" ref="L352" si="1195">L351*$C351</f>
        <v>0</v>
      </c>
      <c r="M352" s="10">
        <f t="shared" ref="M352" si="1196">M351*$C351</f>
        <v>0</v>
      </c>
      <c r="N352" s="11" t="str">
        <f t="shared" ref="N352" ca="1" si="1197">IFERROR(N351/SUM($E351:$F351)*SUM($E352:$F352),"")</f>
        <v/>
      </c>
      <c r="O352" s="10">
        <f>O351*$C351</f>
        <v>0</v>
      </c>
    </row>
    <row r="353" spans="1:15" x14ac:dyDescent="0.55000000000000004">
      <c r="A353" s="80">
        <v>909</v>
      </c>
      <c r="B353" s="80" t="s">
        <v>196</v>
      </c>
      <c r="C353" s="78">
        <f>IFERROR(VLOOKUP(A353,'原料標準単価（貼付）'!B:E,3,FALSE),0)</f>
        <v>0</v>
      </c>
      <c r="D353" s="12" t="s">
        <v>18</v>
      </c>
      <c r="E353" s="13">
        <v>0</v>
      </c>
      <c r="F353" s="6">
        <f>IFERROR(VLOOKUP(A353,'1.2①原材料受入'!A:E,3,FALSE),0)</f>
        <v>0</v>
      </c>
      <c r="G353" s="6">
        <f ca="1">SUMIF('1.3②原材料使用'!C:E,A353,'1.3②原材料使用'!E:E)</f>
        <v>0</v>
      </c>
      <c r="H353" s="6">
        <f>SUMIFS('1.4原材料(その他)'!E:E,'1.4原材料(その他)'!C:C,A:A,'1.4原材料(その他)'!H:H,H$3)</f>
        <v>0</v>
      </c>
      <c r="I353" s="6">
        <f>SUMIFS('1.4原材料(その他)'!E:E,'1.4原材料(その他)'!C:C,A:A,'1.4原材料(その他)'!H:H,I$3)</f>
        <v>0</v>
      </c>
      <c r="J353" s="6">
        <f>SUMIFS('1.4原材料(その他)'!E:E,'1.4原材料(その他)'!C:C,A:A,'1.4原材料(その他)'!H:H,J$3)</f>
        <v>0</v>
      </c>
      <c r="K353" s="6">
        <f>SUMIFS('1.4原材料(その他)'!E:E,'1.4原材料(その他)'!C:C,A:A,'1.4原材料(その他)'!H:H,K$3)</f>
        <v>0</v>
      </c>
      <c r="L353" s="6">
        <f>SUMIFS('1.4原材料(その他)'!E:E,'1.4原材料(その他)'!C:C,A:A,'1.4原材料(その他)'!H:H,L$3)</f>
        <v>0</v>
      </c>
      <c r="M353" s="6">
        <f>SUMIFS('1.4原材料(その他)'!E:E,'1.4原材料(その他)'!C:C,A:A,'1.4原材料(その他)'!H:H,M$3)</f>
        <v>0</v>
      </c>
      <c r="N353" s="7">
        <f ca="1">O353-(E353+F353-SUM(G353:M353))</f>
        <v>0</v>
      </c>
      <c r="O353" s="8">
        <f>SUMIF('1.5原材料在庫'!A:A,原材料SC明細!A353,'1.5原材料在庫'!D:D)</f>
        <v>0</v>
      </c>
    </row>
    <row r="354" spans="1:15" x14ac:dyDescent="0.55000000000000004">
      <c r="A354" s="80"/>
      <c r="B354" s="80"/>
      <c r="C354" s="79"/>
      <c r="D354" s="9" t="s">
        <v>19</v>
      </c>
      <c r="E354" s="10" t="s">
        <v>68</v>
      </c>
      <c r="F354" s="10">
        <f>F353*$C353</f>
        <v>0</v>
      </c>
      <c r="G354" s="10">
        <f ca="1">G353*$C353</f>
        <v>0</v>
      </c>
      <c r="H354" s="10">
        <f t="shared" ref="H354" si="1198">H353*$C353</f>
        <v>0</v>
      </c>
      <c r="I354" s="10">
        <f t="shared" ref="I354" si="1199">I353*$C353</f>
        <v>0</v>
      </c>
      <c r="J354" s="10">
        <f t="shared" ref="J354" si="1200">J353*$C353</f>
        <v>0</v>
      </c>
      <c r="K354" s="10">
        <f t="shared" ref="K354" si="1201">K353*$C353</f>
        <v>0</v>
      </c>
      <c r="L354" s="10">
        <f t="shared" ref="L354" si="1202">L353*$C353</f>
        <v>0</v>
      </c>
      <c r="M354" s="10">
        <f t="shared" ref="M354" si="1203">M353*$C353</f>
        <v>0</v>
      </c>
      <c r="N354" s="11" t="str">
        <f t="shared" ref="N354" ca="1" si="1204">IFERROR(N353/SUM($E353:$F353)*SUM($E354:$F354),"")</f>
        <v/>
      </c>
      <c r="O354" s="10">
        <f>O353*$C353</f>
        <v>0</v>
      </c>
    </row>
    <row r="355" spans="1:15" x14ac:dyDescent="0.55000000000000004">
      <c r="A355" s="80">
        <v>910</v>
      </c>
      <c r="B355" s="80" t="s">
        <v>197</v>
      </c>
      <c r="C355" s="78">
        <f>IFERROR(VLOOKUP(A355,'原料標準単価（貼付）'!B:E,3,FALSE),0)</f>
        <v>0</v>
      </c>
      <c r="D355" s="12" t="s">
        <v>18</v>
      </c>
      <c r="E355" s="13">
        <v>0</v>
      </c>
      <c r="F355" s="6">
        <f>IFERROR(VLOOKUP(A355,'1.2①原材料受入'!A:E,3,FALSE),0)</f>
        <v>0</v>
      </c>
      <c r="G355" s="6">
        <f ca="1">SUMIF('1.3②原材料使用'!C:E,A355,'1.3②原材料使用'!E:E)</f>
        <v>0</v>
      </c>
      <c r="H355" s="6">
        <f>SUMIFS('1.4原材料(その他)'!E:E,'1.4原材料(その他)'!C:C,A:A,'1.4原材料(その他)'!H:H,H$3)</f>
        <v>0</v>
      </c>
      <c r="I355" s="6">
        <f>SUMIFS('1.4原材料(その他)'!E:E,'1.4原材料(その他)'!C:C,A:A,'1.4原材料(その他)'!H:H,I$3)</f>
        <v>0</v>
      </c>
      <c r="J355" s="6">
        <f>SUMIFS('1.4原材料(その他)'!E:E,'1.4原材料(その他)'!C:C,A:A,'1.4原材料(その他)'!H:H,J$3)</f>
        <v>0</v>
      </c>
      <c r="K355" s="6">
        <f>SUMIFS('1.4原材料(その他)'!E:E,'1.4原材料(その他)'!C:C,A:A,'1.4原材料(その他)'!H:H,K$3)</f>
        <v>0</v>
      </c>
      <c r="L355" s="6">
        <f>SUMIFS('1.4原材料(その他)'!E:E,'1.4原材料(その他)'!C:C,A:A,'1.4原材料(その他)'!H:H,L$3)</f>
        <v>0</v>
      </c>
      <c r="M355" s="6">
        <f>SUMIFS('1.4原材料(その他)'!E:E,'1.4原材料(その他)'!C:C,A:A,'1.4原材料(その他)'!H:H,M$3)</f>
        <v>0</v>
      </c>
      <c r="N355" s="7">
        <f ca="1">O355-(E355+F355-SUM(G355:M355))</f>
        <v>0</v>
      </c>
      <c r="O355" s="8">
        <f>SUMIF('1.5原材料在庫'!A:A,原材料SC明細!A355,'1.5原材料在庫'!D:D)</f>
        <v>0</v>
      </c>
    </row>
    <row r="356" spans="1:15" x14ac:dyDescent="0.55000000000000004">
      <c r="A356" s="80"/>
      <c r="B356" s="80"/>
      <c r="C356" s="79"/>
      <c r="D356" s="9" t="s">
        <v>19</v>
      </c>
      <c r="E356" s="10" t="s">
        <v>68</v>
      </c>
      <c r="F356" s="10">
        <f>F355*$C355</f>
        <v>0</v>
      </c>
      <c r="G356" s="10">
        <f ca="1">G355*$C355</f>
        <v>0</v>
      </c>
      <c r="H356" s="10">
        <f t="shared" ref="H356" si="1205">H355*$C355</f>
        <v>0</v>
      </c>
      <c r="I356" s="10">
        <f t="shared" ref="I356" si="1206">I355*$C355</f>
        <v>0</v>
      </c>
      <c r="J356" s="10">
        <f t="shared" ref="J356" si="1207">J355*$C355</f>
        <v>0</v>
      </c>
      <c r="K356" s="10">
        <f t="shared" ref="K356" si="1208">K355*$C355</f>
        <v>0</v>
      </c>
      <c r="L356" s="10">
        <f t="shared" ref="L356" si="1209">L355*$C355</f>
        <v>0</v>
      </c>
      <c r="M356" s="10">
        <f t="shared" ref="M356" si="1210">M355*$C355</f>
        <v>0</v>
      </c>
      <c r="N356" s="11" t="str">
        <f t="shared" ref="N356" ca="1" si="1211">IFERROR(N355/SUM($E355:$F355)*SUM($E356:$F356),"")</f>
        <v/>
      </c>
      <c r="O356" s="10">
        <f>O355*$C355</f>
        <v>0</v>
      </c>
    </row>
    <row r="357" spans="1:15" x14ac:dyDescent="0.55000000000000004">
      <c r="A357" s="80">
        <v>911</v>
      </c>
      <c r="B357" s="80" t="s">
        <v>198</v>
      </c>
      <c r="C357" s="78">
        <f>IFERROR(VLOOKUP(A357,'原料標準単価（貼付）'!B:E,3,FALSE),0)</f>
        <v>0</v>
      </c>
      <c r="D357" s="12" t="s">
        <v>18</v>
      </c>
      <c r="E357" s="13">
        <v>0</v>
      </c>
      <c r="F357" s="6">
        <f>IFERROR(VLOOKUP(A357,'1.2①原材料受入'!A:E,3,FALSE),0)</f>
        <v>0</v>
      </c>
      <c r="G357" s="6">
        <f ca="1">SUMIF('1.3②原材料使用'!C:E,A357,'1.3②原材料使用'!E:E)</f>
        <v>0</v>
      </c>
      <c r="H357" s="6">
        <f>SUMIFS('1.4原材料(その他)'!E:E,'1.4原材料(その他)'!C:C,A:A,'1.4原材料(その他)'!H:H,H$3)</f>
        <v>0</v>
      </c>
      <c r="I357" s="6">
        <f>SUMIFS('1.4原材料(その他)'!E:E,'1.4原材料(その他)'!C:C,A:A,'1.4原材料(その他)'!H:H,I$3)</f>
        <v>0</v>
      </c>
      <c r="J357" s="6">
        <f>SUMIFS('1.4原材料(その他)'!E:E,'1.4原材料(その他)'!C:C,A:A,'1.4原材料(その他)'!H:H,J$3)</f>
        <v>0</v>
      </c>
      <c r="K357" s="6">
        <f>SUMIFS('1.4原材料(その他)'!E:E,'1.4原材料(その他)'!C:C,A:A,'1.4原材料(その他)'!H:H,K$3)</f>
        <v>0</v>
      </c>
      <c r="L357" s="6">
        <f>SUMIFS('1.4原材料(その他)'!E:E,'1.4原材料(その他)'!C:C,A:A,'1.4原材料(その他)'!H:H,L$3)</f>
        <v>0</v>
      </c>
      <c r="M357" s="6">
        <f>SUMIFS('1.4原材料(その他)'!E:E,'1.4原材料(その他)'!C:C,A:A,'1.4原材料(その他)'!H:H,M$3)</f>
        <v>0</v>
      </c>
      <c r="N357" s="7">
        <f ca="1">O357-(E357+F357-SUM(G357:M357))</f>
        <v>0</v>
      </c>
      <c r="O357" s="8">
        <f>SUMIF('1.5原材料在庫'!A:A,原材料SC明細!A357,'1.5原材料在庫'!D:D)</f>
        <v>0</v>
      </c>
    </row>
    <row r="358" spans="1:15" x14ac:dyDescent="0.55000000000000004">
      <c r="A358" s="80"/>
      <c r="B358" s="80"/>
      <c r="C358" s="79"/>
      <c r="D358" s="9" t="s">
        <v>19</v>
      </c>
      <c r="E358" s="10" t="s">
        <v>68</v>
      </c>
      <c r="F358" s="10">
        <f>F357*$C357</f>
        <v>0</v>
      </c>
      <c r="G358" s="10">
        <f ca="1">G357*$C357</f>
        <v>0</v>
      </c>
      <c r="H358" s="10">
        <f t="shared" ref="H358" si="1212">H357*$C357</f>
        <v>0</v>
      </c>
      <c r="I358" s="10">
        <f t="shared" ref="I358" si="1213">I357*$C357</f>
        <v>0</v>
      </c>
      <c r="J358" s="10">
        <f t="shared" ref="J358" si="1214">J357*$C357</f>
        <v>0</v>
      </c>
      <c r="K358" s="10">
        <f t="shared" ref="K358" si="1215">K357*$C357</f>
        <v>0</v>
      </c>
      <c r="L358" s="10">
        <f t="shared" ref="L358" si="1216">L357*$C357</f>
        <v>0</v>
      </c>
      <c r="M358" s="10">
        <f t="shared" ref="M358" si="1217">M357*$C357</f>
        <v>0</v>
      </c>
      <c r="N358" s="11" t="str">
        <f t="shared" ref="N358" ca="1" si="1218">IFERROR(N357/SUM($E357:$F357)*SUM($E358:$F358),"")</f>
        <v/>
      </c>
      <c r="O358" s="10">
        <f>O357*$C357</f>
        <v>0</v>
      </c>
    </row>
    <row r="359" spans="1:15" x14ac:dyDescent="0.55000000000000004">
      <c r="A359" s="80">
        <v>912</v>
      </c>
      <c r="B359" s="80" t="s">
        <v>199</v>
      </c>
      <c r="C359" s="78">
        <f>IFERROR(VLOOKUP(A359,'原料標準単価（貼付）'!B:E,3,FALSE),0)</f>
        <v>0</v>
      </c>
      <c r="D359" s="12" t="s">
        <v>18</v>
      </c>
      <c r="E359" s="13">
        <v>0</v>
      </c>
      <c r="F359" s="6">
        <f>IFERROR(VLOOKUP(A359,'1.2①原材料受入'!A:E,3,FALSE),0)</f>
        <v>0</v>
      </c>
      <c r="G359" s="6">
        <f ca="1">SUMIF('1.3②原材料使用'!C:E,A359,'1.3②原材料使用'!E:E)</f>
        <v>0</v>
      </c>
      <c r="H359" s="6">
        <f>SUMIFS('1.4原材料(その他)'!E:E,'1.4原材料(その他)'!C:C,A:A,'1.4原材料(その他)'!H:H,H$3)</f>
        <v>0</v>
      </c>
      <c r="I359" s="6">
        <f>SUMIFS('1.4原材料(その他)'!E:E,'1.4原材料(その他)'!C:C,A:A,'1.4原材料(その他)'!H:H,I$3)</f>
        <v>0</v>
      </c>
      <c r="J359" s="6">
        <f>SUMIFS('1.4原材料(その他)'!E:E,'1.4原材料(その他)'!C:C,A:A,'1.4原材料(その他)'!H:H,J$3)</f>
        <v>0</v>
      </c>
      <c r="K359" s="6">
        <f>SUMIFS('1.4原材料(その他)'!E:E,'1.4原材料(その他)'!C:C,A:A,'1.4原材料(その他)'!H:H,K$3)</f>
        <v>0</v>
      </c>
      <c r="L359" s="6">
        <f>SUMIFS('1.4原材料(その他)'!E:E,'1.4原材料(その他)'!C:C,A:A,'1.4原材料(その他)'!H:H,L$3)</f>
        <v>0</v>
      </c>
      <c r="M359" s="6">
        <f>SUMIFS('1.4原材料(その他)'!E:E,'1.4原材料(その他)'!C:C,A:A,'1.4原材料(その他)'!H:H,M$3)</f>
        <v>0</v>
      </c>
      <c r="N359" s="7">
        <f ca="1">O359-(E359+F359-SUM(G359:M359))</f>
        <v>0</v>
      </c>
      <c r="O359" s="8">
        <f>SUMIF('1.5原材料在庫'!A:A,原材料SC明細!A359,'1.5原材料在庫'!D:D)</f>
        <v>0</v>
      </c>
    </row>
    <row r="360" spans="1:15" x14ac:dyDescent="0.55000000000000004">
      <c r="A360" s="80"/>
      <c r="B360" s="80"/>
      <c r="C360" s="79"/>
      <c r="D360" s="9" t="s">
        <v>19</v>
      </c>
      <c r="E360" s="10" t="s">
        <v>68</v>
      </c>
      <c r="F360" s="10">
        <f>F359*$C359</f>
        <v>0</v>
      </c>
      <c r="G360" s="10">
        <f ca="1">G359*$C359</f>
        <v>0</v>
      </c>
      <c r="H360" s="10">
        <f t="shared" ref="H360" si="1219">H359*$C359</f>
        <v>0</v>
      </c>
      <c r="I360" s="10">
        <f t="shared" ref="I360" si="1220">I359*$C359</f>
        <v>0</v>
      </c>
      <c r="J360" s="10">
        <f t="shared" ref="J360" si="1221">J359*$C359</f>
        <v>0</v>
      </c>
      <c r="K360" s="10">
        <f t="shared" ref="K360" si="1222">K359*$C359</f>
        <v>0</v>
      </c>
      <c r="L360" s="10">
        <f t="shared" ref="L360" si="1223">L359*$C359</f>
        <v>0</v>
      </c>
      <c r="M360" s="10">
        <f t="shared" ref="M360" si="1224">M359*$C359</f>
        <v>0</v>
      </c>
      <c r="N360" s="11" t="str">
        <f t="shared" ref="N360" ca="1" si="1225">IFERROR(N359/SUM($E359:$F359)*SUM($E360:$F360),"")</f>
        <v/>
      </c>
      <c r="O360" s="10">
        <f>O359*$C359</f>
        <v>0</v>
      </c>
    </row>
    <row r="361" spans="1:15" x14ac:dyDescent="0.55000000000000004">
      <c r="A361" s="80">
        <v>913</v>
      </c>
      <c r="B361" s="80" t="s">
        <v>200</v>
      </c>
      <c r="C361" s="78">
        <f>IFERROR(VLOOKUP(A361,'原料標準単価（貼付）'!B:E,3,FALSE),0)</f>
        <v>0</v>
      </c>
      <c r="D361" s="12" t="s">
        <v>18</v>
      </c>
      <c r="E361" s="13">
        <v>0</v>
      </c>
      <c r="F361" s="6">
        <f>IFERROR(VLOOKUP(A361,'1.2①原材料受入'!A:E,3,FALSE),0)</f>
        <v>0</v>
      </c>
      <c r="G361" s="6">
        <f ca="1">SUMIF('1.3②原材料使用'!C:E,A361,'1.3②原材料使用'!E:E)</f>
        <v>0</v>
      </c>
      <c r="H361" s="6">
        <f>SUMIFS('1.4原材料(その他)'!E:E,'1.4原材料(その他)'!C:C,A:A,'1.4原材料(その他)'!H:H,H$3)</f>
        <v>0</v>
      </c>
      <c r="I361" s="6">
        <f>SUMIFS('1.4原材料(その他)'!E:E,'1.4原材料(その他)'!C:C,A:A,'1.4原材料(その他)'!H:H,I$3)</f>
        <v>0</v>
      </c>
      <c r="J361" s="6">
        <f>SUMIFS('1.4原材料(その他)'!E:E,'1.4原材料(その他)'!C:C,A:A,'1.4原材料(その他)'!H:H,J$3)</f>
        <v>0</v>
      </c>
      <c r="K361" s="6">
        <f>SUMIFS('1.4原材料(その他)'!E:E,'1.4原材料(その他)'!C:C,A:A,'1.4原材料(その他)'!H:H,K$3)</f>
        <v>0</v>
      </c>
      <c r="L361" s="6">
        <f>SUMIFS('1.4原材料(その他)'!E:E,'1.4原材料(その他)'!C:C,A:A,'1.4原材料(その他)'!H:H,L$3)</f>
        <v>0</v>
      </c>
      <c r="M361" s="6">
        <f>SUMIFS('1.4原材料(その他)'!E:E,'1.4原材料(その他)'!C:C,A:A,'1.4原材料(その他)'!H:H,M$3)</f>
        <v>0</v>
      </c>
      <c r="N361" s="7">
        <f ca="1">O361-(E361+F361-SUM(G361:M361))</f>
        <v>0</v>
      </c>
      <c r="O361" s="8">
        <f>SUMIF('1.5原材料在庫'!A:A,原材料SC明細!A361,'1.5原材料在庫'!D:D)</f>
        <v>0</v>
      </c>
    </row>
    <row r="362" spans="1:15" x14ac:dyDescent="0.55000000000000004">
      <c r="A362" s="80"/>
      <c r="B362" s="80"/>
      <c r="C362" s="79"/>
      <c r="D362" s="9" t="s">
        <v>19</v>
      </c>
      <c r="E362" s="10">
        <v>0</v>
      </c>
      <c r="F362" s="10">
        <f>F361*$C361</f>
        <v>0</v>
      </c>
      <c r="G362" s="10">
        <f ca="1">G361*$C361</f>
        <v>0</v>
      </c>
      <c r="H362" s="10">
        <f t="shared" ref="H362" si="1226">H361*$C361</f>
        <v>0</v>
      </c>
      <c r="I362" s="10">
        <f t="shared" ref="I362" si="1227">I361*$C361</f>
        <v>0</v>
      </c>
      <c r="J362" s="10">
        <f t="shared" ref="J362" si="1228">J361*$C361</f>
        <v>0</v>
      </c>
      <c r="K362" s="10">
        <f t="shared" ref="K362" si="1229">K361*$C361</f>
        <v>0</v>
      </c>
      <c r="L362" s="10">
        <f t="shared" ref="L362" si="1230">L361*$C361</f>
        <v>0</v>
      </c>
      <c r="M362" s="10">
        <f t="shared" ref="M362" si="1231">M361*$C361</f>
        <v>0</v>
      </c>
      <c r="N362" s="11" t="str">
        <f t="shared" ref="N362" ca="1" si="1232">IFERROR(N361/SUM($E361:$F361)*SUM($E362:$F362),"")</f>
        <v/>
      </c>
      <c r="O362" s="10">
        <f>O361*$C361</f>
        <v>0</v>
      </c>
    </row>
    <row r="363" spans="1:15" x14ac:dyDescent="0.55000000000000004">
      <c r="A363" s="80">
        <v>914</v>
      </c>
      <c r="B363" s="80" t="s">
        <v>201</v>
      </c>
      <c r="C363" s="78">
        <f>IFERROR(VLOOKUP(A363,'原料標準単価（貼付）'!B:E,3,FALSE),0)</f>
        <v>0</v>
      </c>
      <c r="D363" s="12" t="s">
        <v>18</v>
      </c>
      <c r="E363" s="13">
        <v>0</v>
      </c>
      <c r="F363" s="6">
        <f>IFERROR(VLOOKUP(A363,'1.2①原材料受入'!A:E,3,FALSE),0)</f>
        <v>0</v>
      </c>
      <c r="G363" s="6">
        <f ca="1">SUMIF('1.3②原材料使用'!C:E,A363,'1.3②原材料使用'!E:E)</f>
        <v>0</v>
      </c>
      <c r="H363" s="6">
        <f>SUMIFS('1.4原材料(その他)'!E:E,'1.4原材料(その他)'!C:C,A:A,'1.4原材料(その他)'!H:H,H$3)</f>
        <v>0</v>
      </c>
      <c r="I363" s="6">
        <f>SUMIFS('1.4原材料(その他)'!E:E,'1.4原材料(その他)'!C:C,A:A,'1.4原材料(その他)'!H:H,I$3)</f>
        <v>0</v>
      </c>
      <c r="J363" s="6">
        <f>SUMIFS('1.4原材料(その他)'!E:E,'1.4原材料(その他)'!C:C,A:A,'1.4原材料(その他)'!H:H,J$3)</f>
        <v>0</v>
      </c>
      <c r="K363" s="6">
        <f>SUMIFS('1.4原材料(その他)'!E:E,'1.4原材料(その他)'!C:C,A:A,'1.4原材料(その他)'!H:H,K$3)</f>
        <v>0</v>
      </c>
      <c r="L363" s="6">
        <f>SUMIFS('1.4原材料(その他)'!E:E,'1.4原材料(その他)'!C:C,A:A,'1.4原材料(その他)'!H:H,L$3)</f>
        <v>0</v>
      </c>
      <c r="M363" s="6">
        <f>SUMIFS('1.4原材料(その他)'!E:E,'1.4原材料(その他)'!C:C,A:A,'1.4原材料(その他)'!H:H,M$3)</f>
        <v>0</v>
      </c>
      <c r="N363" s="7">
        <f ca="1">O363-(E363+F363-SUM(G363:M363))</f>
        <v>0</v>
      </c>
      <c r="O363" s="8">
        <f>SUMIF('1.5原材料在庫'!A:A,原材料SC明細!A363,'1.5原材料在庫'!D:D)</f>
        <v>0</v>
      </c>
    </row>
    <row r="364" spans="1:15" x14ac:dyDescent="0.55000000000000004">
      <c r="A364" s="80"/>
      <c r="B364" s="80"/>
      <c r="C364" s="79"/>
      <c r="D364" s="9" t="s">
        <v>19</v>
      </c>
      <c r="E364" s="10" t="s">
        <v>68</v>
      </c>
      <c r="F364" s="10">
        <f>F363*$C363</f>
        <v>0</v>
      </c>
      <c r="G364" s="10">
        <f ca="1">G363*$C363</f>
        <v>0</v>
      </c>
      <c r="H364" s="10">
        <f t="shared" ref="H364" si="1233">H363*$C363</f>
        <v>0</v>
      </c>
      <c r="I364" s="10">
        <f t="shared" ref="I364" si="1234">I363*$C363</f>
        <v>0</v>
      </c>
      <c r="J364" s="10">
        <f t="shared" ref="J364" si="1235">J363*$C363</f>
        <v>0</v>
      </c>
      <c r="K364" s="10">
        <f t="shared" ref="K364" si="1236">K363*$C363</f>
        <v>0</v>
      </c>
      <c r="L364" s="10">
        <f t="shared" ref="L364" si="1237">L363*$C363</f>
        <v>0</v>
      </c>
      <c r="M364" s="10">
        <f t="shared" ref="M364" si="1238">M363*$C363</f>
        <v>0</v>
      </c>
      <c r="N364" s="11" t="str">
        <f t="shared" ref="N364" ca="1" si="1239">IFERROR(N363/SUM($E363:$F363)*SUM($E364:$F364),"")</f>
        <v/>
      </c>
      <c r="O364" s="10">
        <f>O363*$C363</f>
        <v>0</v>
      </c>
    </row>
    <row r="365" spans="1:15" x14ac:dyDescent="0.55000000000000004">
      <c r="A365" s="93">
        <v>915</v>
      </c>
      <c r="B365" s="95" t="s">
        <v>202</v>
      </c>
      <c r="C365" s="78">
        <f>IFERROR(VLOOKUP(A365,'原料標準単価（貼付）'!B:E,3,FALSE),0)</f>
        <v>0</v>
      </c>
      <c r="D365" s="12" t="s">
        <v>18</v>
      </c>
      <c r="E365" s="13">
        <v>0</v>
      </c>
      <c r="F365" s="6">
        <f>IFERROR(VLOOKUP(A365,'1.2①原材料受入'!A:E,3,FALSE),0)</f>
        <v>0</v>
      </c>
      <c r="G365" s="6">
        <f ca="1">SUMIF('1.3②原材料使用'!C:E,A365,'1.3②原材料使用'!E:E)</f>
        <v>0</v>
      </c>
      <c r="H365" s="6">
        <f>SUMIFS('1.4原材料(その他)'!E:E,'1.4原材料(その他)'!C:C,A:A,'1.4原材料(その他)'!H:H,H$3)</f>
        <v>0</v>
      </c>
      <c r="I365" s="6">
        <f>SUMIFS('1.4原材料(その他)'!E:E,'1.4原材料(その他)'!C:C,A:A,'1.4原材料(その他)'!H:H,I$3)</f>
        <v>0</v>
      </c>
      <c r="J365" s="6">
        <f>SUMIFS('1.4原材料(その他)'!E:E,'1.4原材料(その他)'!C:C,A:A,'1.4原材料(その他)'!H:H,J$3)</f>
        <v>0</v>
      </c>
      <c r="K365" s="6">
        <f>SUMIFS('1.4原材料(その他)'!E:E,'1.4原材料(その他)'!C:C,A:A,'1.4原材料(その他)'!H:H,K$3)</f>
        <v>0</v>
      </c>
      <c r="L365" s="6">
        <f>SUMIFS('1.4原材料(その他)'!E:E,'1.4原材料(その他)'!C:C,A:A,'1.4原材料(その他)'!H:H,L$3)</f>
        <v>0</v>
      </c>
      <c r="M365" s="6">
        <f>SUMIFS('1.4原材料(その他)'!E:E,'1.4原材料(その他)'!C:C,A:A,'1.4原材料(その他)'!H:H,M$3)</f>
        <v>0</v>
      </c>
      <c r="N365" s="7">
        <f ca="1">O365-(E365+F365-SUM(G365:M365))</f>
        <v>0</v>
      </c>
      <c r="O365" s="8">
        <f>SUMIF('1.5原材料在庫'!A:A,原材料SC明細!A365,'1.5原材料在庫'!D:D)</f>
        <v>0</v>
      </c>
    </row>
    <row r="366" spans="1:15" x14ac:dyDescent="0.55000000000000004">
      <c r="A366" s="80"/>
      <c r="B366" s="86"/>
      <c r="C366" s="79"/>
      <c r="D366" s="9" t="s">
        <v>19</v>
      </c>
      <c r="E366" s="10" t="s">
        <v>68</v>
      </c>
      <c r="F366" s="10">
        <f>F365*$C365</f>
        <v>0</v>
      </c>
      <c r="G366" s="10">
        <f ca="1">G365*$C365</f>
        <v>0</v>
      </c>
      <c r="H366" s="10">
        <f t="shared" ref="H366" si="1240">H365*$C365</f>
        <v>0</v>
      </c>
      <c r="I366" s="10">
        <f t="shared" ref="I366" si="1241">I365*$C365</f>
        <v>0</v>
      </c>
      <c r="J366" s="10">
        <f t="shared" ref="J366" si="1242">J365*$C365</f>
        <v>0</v>
      </c>
      <c r="K366" s="10">
        <f t="shared" ref="K366" si="1243">K365*$C365</f>
        <v>0</v>
      </c>
      <c r="L366" s="10">
        <f t="shared" ref="L366" si="1244">L365*$C365</f>
        <v>0</v>
      </c>
      <c r="M366" s="10">
        <f t="shared" ref="M366" si="1245">M365*$C365</f>
        <v>0</v>
      </c>
      <c r="N366" s="11" t="str">
        <f t="shared" ref="N366" ca="1" si="1246">IFERROR(N365/SUM($E365:$F365)*SUM($E366:$F366),"")</f>
        <v/>
      </c>
      <c r="O366" s="10">
        <f>O365*$C365</f>
        <v>0</v>
      </c>
    </row>
    <row r="367" spans="1:15" x14ac:dyDescent="0.55000000000000004">
      <c r="A367" s="93">
        <v>916</v>
      </c>
      <c r="B367" s="80" t="s">
        <v>203</v>
      </c>
      <c r="C367" s="78">
        <f>IFERROR(VLOOKUP(A367,'原料標準単価（貼付）'!B:E,3,FALSE),0)</f>
        <v>450</v>
      </c>
      <c r="D367" s="12" t="s">
        <v>18</v>
      </c>
      <c r="E367" s="13">
        <v>8.2000000000000028</v>
      </c>
      <c r="F367" s="6">
        <f>IFERROR(VLOOKUP(A367,'1.2①原材料受入'!A:E,3,FALSE),0)</f>
        <v>16.5</v>
      </c>
      <c r="G367" s="6">
        <f ca="1">SUMIF('1.3②原材料使用'!C:E,A367,'1.3②原材料使用'!E:E)</f>
        <v>10.8</v>
      </c>
      <c r="H367" s="6">
        <f>SUMIFS('1.4原材料(その他)'!E:E,'1.4原材料(その他)'!C:C,A:A,'1.4原材料(その他)'!H:H,H$3)</f>
        <v>1</v>
      </c>
      <c r="I367" s="6">
        <f>SUMIFS('1.4原材料(その他)'!E:E,'1.4原材料(その他)'!C:C,A:A,'1.4原材料(その他)'!H:H,I$3)</f>
        <v>0</v>
      </c>
      <c r="J367" s="6">
        <f>SUMIFS('1.4原材料(その他)'!E:E,'1.4原材料(その他)'!C:C,A:A,'1.4原材料(その他)'!H:H,J$3)</f>
        <v>0</v>
      </c>
      <c r="K367" s="6">
        <f>SUMIFS('1.4原材料(その他)'!E:E,'1.4原材料(その他)'!C:C,A:A,'1.4原材料(その他)'!H:H,K$3)</f>
        <v>0</v>
      </c>
      <c r="L367" s="6">
        <f>SUMIFS('1.4原材料(その他)'!E:E,'1.4原材料(その他)'!C:C,A:A,'1.4原材料(その他)'!H:H,L$3)</f>
        <v>0</v>
      </c>
      <c r="M367" s="6">
        <f>SUMIFS('1.4原材料(その他)'!E:E,'1.4原材料(その他)'!C:C,A:A,'1.4原材料(その他)'!H:H,M$3)</f>
        <v>0.1</v>
      </c>
      <c r="N367" s="7">
        <f ca="1">O367-(E367+F367-SUM(G367:M367))</f>
        <v>0</v>
      </c>
      <c r="O367" s="8">
        <f>SUMIF('1.5原材料在庫'!A:A,原材料SC明細!A367,'1.5原材料在庫'!D:D)</f>
        <v>12.800000000000004</v>
      </c>
    </row>
    <row r="368" spans="1:15" x14ac:dyDescent="0.55000000000000004">
      <c r="A368" s="80"/>
      <c r="B368" s="80"/>
      <c r="C368" s="79"/>
      <c r="D368" s="9" t="s">
        <v>19</v>
      </c>
      <c r="E368" s="10">
        <v>3690.0000000000009</v>
      </c>
      <c r="F368" s="10">
        <f>F367*$C367</f>
        <v>7425</v>
      </c>
      <c r="G368" s="10">
        <f ca="1">G367*$C367</f>
        <v>4860</v>
      </c>
      <c r="H368" s="10">
        <f t="shared" ref="H368" si="1247">H367*$C367</f>
        <v>450</v>
      </c>
      <c r="I368" s="10">
        <f t="shared" ref="I368" si="1248">I367*$C367</f>
        <v>0</v>
      </c>
      <c r="J368" s="10">
        <f t="shared" ref="J368" si="1249">J367*$C367</f>
        <v>0</v>
      </c>
      <c r="K368" s="10">
        <f t="shared" ref="K368" si="1250">K367*$C367</f>
        <v>0</v>
      </c>
      <c r="L368" s="10">
        <f t="shared" ref="L368" si="1251">L367*$C367</f>
        <v>0</v>
      </c>
      <c r="M368" s="10">
        <f t="shared" ref="M368" si="1252">M367*$C367</f>
        <v>45</v>
      </c>
      <c r="N368" s="11">
        <f t="shared" ref="N368" ca="1" si="1253">IFERROR(N367/SUM($E367:$F367)*SUM($E368:$F368),"")</f>
        <v>0</v>
      </c>
      <c r="O368" s="10">
        <f>O367*$C367</f>
        <v>5760.0000000000018</v>
      </c>
    </row>
    <row r="369" spans="1:15" x14ac:dyDescent="0.55000000000000004">
      <c r="A369" s="93">
        <v>917</v>
      </c>
      <c r="B369" s="80" t="s">
        <v>204</v>
      </c>
      <c r="C369" s="78">
        <f>IFERROR(VLOOKUP(A369,'原料標準単価（貼付）'!B:E,3,FALSE),0)</f>
        <v>0</v>
      </c>
      <c r="D369" s="12" t="s">
        <v>18</v>
      </c>
      <c r="E369" s="13">
        <v>8.3000000000000007</v>
      </c>
      <c r="F369" s="6">
        <f>IFERROR(VLOOKUP(A369,'1.2①原材料受入'!A:E,3,FALSE),0)</f>
        <v>0</v>
      </c>
      <c r="G369" s="6">
        <f ca="1">SUMIF('1.3②原材料使用'!C:E,A369,'1.3②原材料使用'!E:E)</f>
        <v>3.6</v>
      </c>
      <c r="H369" s="6">
        <f>SUMIFS('1.4原材料(その他)'!E:E,'1.4原材料(その他)'!C:C,A:A,'1.4原材料(その他)'!H:H,H$3)</f>
        <v>0</v>
      </c>
      <c r="I369" s="6">
        <f>SUMIFS('1.4原材料(その他)'!E:E,'1.4原材料(その他)'!C:C,A:A,'1.4原材料(その他)'!H:H,I$3)</f>
        <v>0</v>
      </c>
      <c r="J369" s="6">
        <f>SUMIFS('1.4原材料(その他)'!E:E,'1.4原材料(その他)'!C:C,A:A,'1.4原材料(その他)'!H:H,J$3)</f>
        <v>0</v>
      </c>
      <c r="K369" s="6">
        <f>SUMIFS('1.4原材料(その他)'!E:E,'1.4原材料(その他)'!C:C,A:A,'1.4原材料(その他)'!H:H,K$3)</f>
        <v>0</v>
      </c>
      <c r="L369" s="6">
        <f>SUMIFS('1.4原材料(その他)'!E:E,'1.4原材料(その他)'!C:C,A:A,'1.4原材料(その他)'!H:H,L$3)</f>
        <v>4.7</v>
      </c>
      <c r="M369" s="6">
        <f>SUMIFS('1.4原材料(その他)'!E:E,'1.4原材料(その他)'!C:C,A:A,'1.4原材料(その他)'!H:H,M$3)</f>
        <v>0</v>
      </c>
      <c r="N369" s="7">
        <f ca="1">O369-(E369+F369-SUM(G369:M369))</f>
        <v>0</v>
      </c>
      <c r="O369" s="8">
        <f>SUMIF('1.5原材料在庫'!A:A,原材料SC明細!A369,'1.5原材料在庫'!D:D)</f>
        <v>0</v>
      </c>
    </row>
    <row r="370" spans="1:15" x14ac:dyDescent="0.55000000000000004">
      <c r="A370" s="80"/>
      <c r="B370" s="80"/>
      <c r="C370" s="79"/>
      <c r="D370" s="9" t="s">
        <v>19</v>
      </c>
      <c r="E370" s="10">
        <v>5774.128166915053</v>
      </c>
      <c r="F370" s="10">
        <f>F369*$C369</f>
        <v>0</v>
      </c>
      <c r="G370" s="10">
        <f ca="1">G369*$C369</f>
        <v>0</v>
      </c>
      <c r="H370" s="10">
        <f t="shared" ref="H370" si="1254">H369*$C369</f>
        <v>0</v>
      </c>
      <c r="I370" s="10">
        <f t="shared" ref="I370" si="1255">I369*$C369</f>
        <v>0</v>
      </c>
      <c r="J370" s="10">
        <f t="shared" ref="J370" si="1256">J369*$C369</f>
        <v>0</v>
      </c>
      <c r="K370" s="10">
        <f t="shared" ref="K370" si="1257">K369*$C369</f>
        <v>0</v>
      </c>
      <c r="L370" s="10">
        <f t="shared" ref="L370" si="1258">L369*$C369</f>
        <v>0</v>
      </c>
      <c r="M370" s="10">
        <f t="shared" ref="M370" si="1259">M369*$C369</f>
        <v>0</v>
      </c>
      <c r="N370" s="11">
        <f t="shared" ref="N370" ca="1" si="1260">IFERROR(N369/SUM($E369:$F369)*SUM($E370:$F370),"")</f>
        <v>0</v>
      </c>
      <c r="O370" s="10">
        <f>O369*$C369</f>
        <v>0</v>
      </c>
    </row>
    <row r="371" spans="1:15" x14ac:dyDescent="0.55000000000000004">
      <c r="A371" s="93">
        <v>918</v>
      </c>
      <c r="B371" s="80" t="s">
        <v>205</v>
      </c>
      <c r="C371" s="78">
        <f>IFERROR(VLOOKUP(A371,'原料標準単価（貼付）'!B:E,3,FALSE),0)</f>
        <v>0</v>
      </c>
      <c r="D371" s="12" t="s">
        <v>18</v>
      </c>
      <c r="E371" s="13">
        <v>0</v>
      </c>
      <c r="F371" s="6">
        <f>IFERROR(VLOOKUP(A371,'1.2①原材料受入'!A:E,3,FALSE),0)</f>
        <v>0</v>
      </c>
      <c r="G371" s="6">
        <f ca="1">SUMIF('1.3②原材料使用'!C:E,A371,'1.3②原材料使用'!E:E)</f>
        <v>0</v>
      </c>
      <c r="H371" s="6">
        <f>SUMIFS('1.4原材料(その他)'!E:E,'1.4原材料(その他)'!C:C,A:A,'1.4原材料(その他)'!H:H,H$3)</f>
        <v>0</v>
      </c>
      <c r="I371" s="6">
        <f>SUMIFS('1.4原材料(その他)'!E:E,'1.4原材料(その他)'!C:C,A:A,'1.4原材料(その他)'!H:H,I$3)</f>
        <v>0</v>
      </c>
      <c r="J371" s="6">
        <f>SUMIFS('1.4原材料(その他)'!E:E,'1.4原材料(その他)'!C:C,A:A,'1.4原材料(その他)'!H:H,J$3)</f>
        <v>0</v>
      </c>
      <c r="K371" s="6">
        <f>SUMIFS('1.4原材料(その他)'!E:E,'1.4原材料(その他)'!C:C,A:A,'1.4原材料(その他)'!H:H,K$3)</f>
        <v>0</v>
      </c>
      <c r="L371" s="6">
        <f>SUMIFS('1.4原材料(その他)'!E:E,'1.4原材料(その他)'!C:C,A:A,'1.4原材料(その他)'!H:H,L$3)</f>
        <v>0</v>
      </c>
      <c r="M371" s="6">
        <f>SUMIFS('1.4原材料(その他)'!E:E,'1.4原材料(その他)'!C:C,A:A,'1.4原材料(その他)'!H:H,M$3)</f>
        <v>0</v>
      </c>
      <c r="N371" s="7">
        <f ca="1">O371-(E371+F371-SUM(G371:M371))</f>
        <v>0</v>
      </c>
      <c r="O371" s="8">
        <f>SUMIF('1.5原材料在庫'!A:A,原材料SC明細!A371,'1.5原材料在庫'!D:D)</f>
        <v>0</v>
      </c>
    </row>
    <row r="372" spans="1:15" x14ac:dyDescent="0.55000000000000004">
      <c r="A372" s="80"/>
      <c r="B372" s="80"/>
      <c r="C372" s="79"/>
      <c r="D372" s="9" t="s">
        <v>19</v>
      </c>
      <c r="E372" s="10" t="s">
        <v>68</v>
      </c>
      <c r="F372" s="10">
        <f>F371*$C371</f>
        <v>0</v>
      </c>
      <c r="G372" s="10">
        <f ca="1">G371*$C371</f>
        <v>0</v>
      </c>
      <c r="H372" s="10">
        <f t="shared" ref="H372" si="1261">H371*$C371</f>
        <v>0</v>
      </c>
      <c r="I372" s="10">
        <f t="shared" ref="I372" si="1262">I371*$C371</f>
        <v>0</v>
      </c>
      <c r="J372" s="10">
        <f t="shared" ref="J372" si="1263">J371*$C371</f>
        <v>0</v>
      </c>
      <c r="K372" s="10">
        <f t="shared" ref="K372" si="1264">K371*$C371</f>
        <v>0</v>
      </c>
      <c r="L372" s="10">
        <f t="shared" ref="L372" si="1265">L371*$C371</f>
        <v>0</v>
      </c>
      <c r="M372" s="10">
        <f t="shared" ref="M372" si="1266">M371*$C371</f>
        <v>0</v>
      </c>
      <c r="N372" s="11" t="str">
        <f t="shared" ref="N372" ca="1" si="1267">IFERROR(N371/SUM($E371:$F371)*SUM($E372:$F372),"")</f>
        <v/>
      </c>
      <c r="O372" s="10">
        <f>O371*$C371</f>
        <v>0</v>
      </c>
    </row>
    <row r="373" spans="1:15" x14ac:dyDescent="0.55000000000000004">
      <c r="A373" s="93">
        <v>919</v>
      </c>
      <c r="B373" s="80" t="s">
        <v>206</v>
      </c>
      <c r="C373" s="78">
        <f>IFERROR(VLOOKUP(A373,'原料標準単価（貼付）'!B:E,3,FALSE),0)</f>
        <v>0</v>
      </c>
      <c r="D373" s="12" t="s">
        <v>18</v>
      </c>
      <c r="E373" s="13">
        <v>0</v>
      </c>
      <c r="F373" s="6">
        <f>IFERROR(VLOOKUP(A373,'1.2①原材料受入'!A:E,3,FALSE),0)</f>
        <v>0</v>
      </c>
      <c r="G373" s="6">
        <f ca="1">SUMIF('1.3②原材料使用'!C:E,A373,'1.3②原材料使用'!E:E)</f>
        <v>0</v>
      </c>
      <c r="H373" s="6">
        <f>SUMIFS('1.4原材料(その他)'!E:E,'1.4原材料(その他)'!C:C,A:A,'1.4原材料(その他)'!H:H,H$3)</f>
        <v>0</v>
      </c>
      <c r="I373" s="6">
        <f>SUMIFS('1.4原材料(その他)'!E:E,'1.4原材料(その他)'!C:C,A:A,'1.4原材料(その他)'!H:H,I$3)</f>
        <v>0</v>
      </c>
      <c r="J373" s="6">
        <f>SUMIFS('1.4原材料(その他)'!E:E,'1.4原材料(その他)'!C:C,A:A,'1.4原材料(その他)'!H:H,J$3)</f>
        <v>0</v>
      </c>
      <c r="K373" s="6">
        <f>SUMIFS('1.4原材料(その他)'!E:E,'1.4原材料(その他)'!C:C,A:A,'1.4原材料(その他)'!H:H,K$3)</f>
        <v>0</v>
      </c>
      <c r="L373" s="6">
        <f>SUMIFS('1.4原材料(その他)'!E:E,'1.4原材料(その他)'!C:C,A:A,'1.4原材料(その他)'!H:H,L$3)</f>
        <v>0</v>
      </c>
      <c r="M373" s="6">
        <f>SUMIFS('1.4原材料(その他)'!E:E,'1.4原材料(その他)'!C:C,A:A,'1.4原材料(その他)'!H:H,M$3)</f>
        <v>0</v>
      </c>
      <c r="N373" s="7">
        <f ca="1">O373-(E373+F373-SUM(G373:M373))</f>
        <v>0</v>
      </c>
      <c r="O373" s="8">
        <f>SUMIF('1.5原材料在庫'!A:A,原材料SC明細!A373,'1.5原材料在庫'!D:D)</f>
        <v>0</v>
      </c>
    </row>
    <row r="374" spans="1:15" x14ac:dyDescent="0.55000000000000004">
      <c r="A374" s="80"/>
      <c r="B374" s="80"/>
      <c r="C374" s="79"/>
      <c r="D374" s="9" t="s">
        <v>19</v>
      </c>
      <c r="E374" s="10" t="s">
        <v>68</v>
      </c>
      <c r="F374" s="10">
        <f>F373*$C373</f>
        <v>0</v>
      </c>
      <c r="G374" s="10">
        <f ca="1">G373*$C373</f>
        <v>0</v>
      </c>
      <c r="H374" s="10">
        <f t="shared" ref="H374" si="1268">H373*$C373</f>
        <v>0</v>
      </c>
      <c r="I374" s="10">
        <f t="shared" ref="I374" si="1269">I373*$C373</f>
        <v>0</v>
      </c>
      <c r="J374" s="10">
        <f t="shared" ref="J374" si="1270">J373*$C373</f>
        <v>0</v>
      </c>
      <c r="K374" s="10">
        <f t="shared" ref="K374" si="1271">K373*$C373</f>
        <v>0</v>
      </c>
      <c r="L374" s="10">
        <f t="shared" ref="L374" si="1272">L373*$C373</f>
        <v>0</v>
      </c>
      <c r="M374" s="10">
        <f t="shared" ref="M374" si="1273">M373*$C373</f>
        <v>0</v>
      </c>
      <c r="N374" s="11" t="str">
        <f t="shared" ref="N374" ca="1" si="1274">IFERROR(N373/SUM($E373:$F373)*SUM($E374:$F374),"")</f>
        <v/>
      </c>
      <c r="O374" s="10">
        <f>O373*$C373</f>
        <v>0</v>
      </c>
    </row>
    <row r="375" spans="1:15" x14ac:dyDescent="0.55000000000000004">
      <c r="A375" s="93">
        <v>920</v>
      </c>
      <c r="B375" s="80" t="s">
        <v>207</v>
      </c>
      <c r="C375" s="78">
        <f>IFERROR(VLOOKUP(A375,'原料標準単価（貼付）'!B:E,3,FALSE),0)</f>
        <v>686.86868686868684</v>
      </c>
      <c r="D375" s="12" t="s">
        <v>18</v>
      </c>
      <c r="E375" s="13">
        <v>1.7000000000000011</v>
      </c>
      <c r="F375" s="6">
        <f>IFERROR(VLOOKUP(A375,'1.2①原材料受入'!A:E,3,FALSE),0)</f>
        <v>14.850000000000001</v>
      </c>
      <c r="G375" s="6">
        <f ca="1">SUMIF('1.3②原材料使用'!C:E,A375,'1.3②原材料使用'!E:E)</f>
        <v>10.8</v>
      </c>
      <c r="H375" s="6">
        <f>SUMIFS('1.4原材料(その他)'!E:E,'1.4原材料(その他)'!C:C,A:A,'1.4原材料(その他)'!H:H,H$3)</f>
        <v>1.9</v>
      </c>
      <c r="I375" s="6">
        <f>SUMIFS('1.4原材料(その他)'!E:E,'1.4原材料(その他)'!C:C,A:A,'1.4原材料(その他)'!H:H,I$3)</f>
        <v>0</v>
      </c>
      <c r="J375" s="6">
        <f>SUMIFS('1.4原材料(その他)'!E:E,'1.4原材料(その他)'!C:C,A:A,'1.4原材料(その他)'!H:H,J$3)</f>
        <v>0</v>
      </c>
      <c r="K375" s="6">
        <f>SUMIFS('1.4原材料(その他)'!E:E,'1.4原材料(その他)'!C:C,A:A,'1.4原材料(その他)'!H:H,K$3)</f>
        <v>0</v>
      </c>
      <c r="L375" s="6">
        <f>SUMIFS('1.4原材料(その他)'!E:E,'1.4原材料(その他)'!C:C,A:A,'1.4原材料(その他)'!H:H,L$3)</f>
        <v>0</v>
      </c>
      <c r="M375" s="6">
        <f>SUMIFS('1.4原材料(その他)'!E:E,'1.4原材料(その他)'!C:C,A:A,'1.4原材料(その他)'!H:H,M$3)</f>
        <v>0.05</v>
      </c>
      <c r="N375" s="7">
        <f ca="1">O375-(E375+F375-SUM(G375:M375))</f>
        <v>0</v>
      </c>
      <c r="O375" s="8">
        <f>SUMIF('1.5原材料在庫'!A:A,原材料SC明細!A375,'1.5原材料在庫'!D:D)</f>
        <v>3.8000000000000007</v>
      </c>
    </row>
    <row r="376" spans="1:15" x14ac:dyDescent="0.55000000000000004">
      <c r="A376" s="80"/>
      <c r="B376" s="80"/>
      <c r="C376" s="79"/>
      <c r="D376" s="9" t="s">
        <v>19</v>
      </c>
      <c r="E376" s="10">
        <v>1751.5151515151526</v>
      </c>
      <c r="F376" s="10">
        <f>F375*$C375</f>
        <v>10200</v>
      </c>
      <c r="G376" s="10">
        <f ca="1">G375*$C375</f>
        <v>7418.181818181818</v>
      </c>
      <c r="H376" s="10">
        <f t="shared" ref="H376" si="1275">H375*$C375</f>
        <v>1305.0505050505049</v>
      </c>
      <c r="I376" s="10">
        <f t="shared" ref="I376" si="1276">I375*$C375</f>
        <v>0</v>
      </c>
      <c r="J376" s="10">
        <f t="shared" ref="J376" si="1277">J375*$C375</f>
        <v>0</v>
      </c>
      <c r="K376" s="10">
        <f t="shared" ref="K376" si="1278">K375*$C375</f>
        <v>0</v>
      </c>
      <c r="L376" s="10">
        <f t="shared" ref="L376" si="1279">L375*$C375</f>
        <v>0</v>
      </c>
      <c r="M376" s="10">
        <f t="shared" ref="M376" si="1280">M375*$C375</f>
        <v>34.343434343434346</v>
      </c>
      <c r="N376" s="11">
        <f t="shared" ref="N376" ca="1" si="1281">IFERROR(N375/SUM($E375:$F375)*SUM($E376:$F376),"")</f>
        <v>0</v>
      </c>
      <c r="O376" s="10">
        <f>O375*$C375</f>
        <v>2610.1010101010106</v>
      </c>
    </row>
    <row r="377" spans="1:15" x14ac:dyDescent="0.55000000000000004">
      <c r="A377" s="93">
        <v>921</v>
      </c>
      <c r="B377" s="80" t="s">
        <v>208</v>
      </c>
      <c r="C377" s="78">
        <f>IFERROR(VLOOKUP(A377,'原料標準単価（貼付）'!B:E,3,FALSE),0)</f>
        <v>2700</v>
      </c>
      <c r="D377" s="12" t="s">
        <v>18</v>
      </c>
      <c r="E377" s="13">
        <v>10.06</v>
      </c>
      <c r="F377" s="6">
        <f>IFERROR(VLOOKUP(A377,'1.2①原材料受入'!A:E,3,FALSE),0)</f>
        <v>16.5</v>
      </c>
      <c r="G377" s="6">
        <f ca="1">SUMIF('1.3②原材料使用'!C:E,A377,'1.3②原材料使用'!E:E)</f>
        <v>1.8</v>
      </c>
      <c r="H377" s="6">
        <f>SUMIFS('1.4原材料(その他)'!E:E,'1.4原材料(その他)'!C:C,A:A,'1.4原材料(その他)'!H:H,H$3)</f>
        <v>1.1000000000000001</v>
      </c>
      <c r="I377" s="6">
        <f>SUMIFS('1.4原材料(その他)'!E:E,'1.4原材料(その他)'!C:C,A:A,'1.4原材料(その他)'!H:H,I$3)</f>
        <v>0</v>
      </c>
      <c r="J377" s="6">
        <f>SUMIFS('1.4原材料(その他)'!E:E,'1.4原材料(その他)'!C:C,A:A,'1.4原材料(その他)'!H:H,J$3)</f>
        <v>0</v>
      </c>
      <c r="K377" s="6">
        <f>SUMIFS('1.4原材料(その他)'!E:E,'1.4原材料(その他)'!C:C,A:A,'1.4原材料(その他)'!H:H,K$3)</f>
        <v>0</v>
      </c>
      <c r="L377" s="6">
        <f>SUMIFS('1.4原材料(その他)'!E:E,'1.4原材料(その他)'!C:C,A:A,'1.4原材料(その他)'!H:H,L$3)</f>
        <v>10.06</v>
      </c>
      <c r="M377" s="6">
        <f>SUMIFS('1.4原材料(その他)'!E:E,'1.4原材料(その他)'!C:C,A:A,'1.4原材料(その他)'!H:H,M$3)</f>
        <v>0.2</v>
      </c>
      <c r="N377" s="7">
        <f ca="1">O377-(E377+F377-SUM(G377:M377))</f>
        <v>0</v>
      </c>
      <c r="O377" s="8">
        <f>SUMIF('1.5原材料在庫'!A:A,原材料SC明細!A377,'1.5原材料在庫'!D:D)</f>
        <v>13.399999999999999</v>
      </c>
    </row>
    <row r="378" spans="1:15" x14ac:dyDescent="0.55000000000000004">
      <c r="A378" s="80"/>
      <c r="B378" s="80"/>
      <c r="C378" s="79"/>
      <c r="D378" s="9" t="s">
        <v>19</v>
      </c>
      <c r="E378" s="10">
        <v>27162</v>
      </c>
      <c r="F378" s="10">
        <f>F377*$C377</f>
        <v>44550</v>
      </c>
      <c r="G378" s="10">
        <f ca="1">G377*$C377</f>
        <v>4860</v>
      </c>
      <c r="H378" s="10">
        <f t="shared" ref="H378" si="1282">H377*$C377</f>
        <v>2970.0000000000005</v>
      </c>
      <c r="I378" s="10">
        <f t="shared" ref="I378" si="1283">I377*$C377</f>
        <v>0</v>
      </c>
      <c r="J378" s="10">
        <f t="shared" ref="J378" si="1284">J377*$C377</f>
        <v>0</v>
      </c>
      <c r="K378" s="10">
        <f t="shared" ref="K378" si="1285">K377*$C377</f>
        <v>0</v>
      </c>
      <c r="L378" s="10">
        <f t="shared" ref="L378" si="1286">L377*$C377</f>
        <v>27162</v>
      </c>
      <c r="M378" s="10">
        <f t="shared" ref="M378" si="1287">M377*$C377</f>
        <v>540</v>
      </c>
      <c r="N378" s="11">
        <f t="shared" ref="N378" ca="1" si="1288">IFERROR(N377/SUM($E377:$F377)*SUM($E378:$F378),"")</f>
        <v>0</v>
      </c>
      <c r="O378" s="10">
        <f>O377*$C377</f>
        <v>36179.999999999993</v>
      </c>
    </row>
    <row r="379" spans="1:15" x14ac:dyDescent="0.55000000000000004">
      <c r="A379" s="93">
        <v>922</v>
      </c>
      <c r="B379" s="80" t="s">
        <v>209</v>
      </c>
      <c r="C379" s="78">
        <f>IFERROR(VLOOKUP(A379,'原料標準単価（貼付）'!B:E,3,FALSE),0)</f>
        <v>3400</v>
      </c>
      <c r="D379" s="12" t="s">
        <v>18</v>
      </c>
      <c r="E379" s="13">
        <v>10.07</v>
      </c>
      <c r="F379" s="6">
        <f>IFERROR(VLOOKUP(A379,'1.2①原材料受入'!A:E,3,FALSE),0)</f>
        <v>16.5</v>
      </c>
      <c r="G379" s="6">
        <f ca="1">SUMIF('1.3②原材料使用'!C:E,A379,'1.3②原材料使用'!E:E)</f>
        <v>1.8</v>
      </c>
      <c r="H379" s="6">
        <f>SUMIFS('1.4原材料(その他)'!E:E,'1.4原材料(その他)'!C:C,A:A,'1.4原材料(その他)'!H:H,H$3)</f>
        <v>1.1000000000000001</v>
      </c>
      <c r="I379" s="6">
        <f>SUMIFS('1.4原材料(その他)'!E:E,'1.4原材料(その他)'!C:C,A:A,'1.4原材料(その他)'!H:H,I$3)</f>
        <v>0</v>
      </c>
      <c r="J379" s="6">
        <f>SUMIFS('1.4原材料(その他)'!E:E,'1.4原材料(その他)'!C:C,A:A,'1.4原材料(その他)'!H:H,J$3)</f>
        <v>0</v>
      </c>
      <c r="K379" s="6">
        <f>SUMIFS('1.4原材料(その他)'!E:E,'1.4原材料(その他)'!C:C,A:A,'1.4原材料(その他)'!H:H,K$3)</f>
        <v>0</v>
      </c>
      <c r="L379" s="6">
        <f>SUMIFS('1.4原材料(その他)'!E:E,'1.4原材料(その他)'!C:C,A:A,'1.4原材料(その他)'!H:H,L$3)</f>
        <v>10</v>
      </c>
      <c r="M379" s="6">
        <f>SUMIFS('1.4原材料(その他)'!E:E,'1.4原材料(その他)'!C:C,A:A,'1.4原材料(その他)'!H:H,M$3)</f>
        <v>0.17</v>
      </c>
      <c r="N379" s="7">
        <f ca="1">O379-(E379+F379-SUM(G379:M379))</f>
        <v>0</v>
      </c>
      <c r="O379" s="8">
        <f>SUMIF('1.5原材料在庫'!A:A,原材料SC明細!A379,'1.5原材料在庫'!D:D)</f>
        <v>13.5</v>
      </c>
    </row>
    <row r="380" spans="1:15" x14ac:dyDescent="0.55000000000000004">
      <c r="A380" s="80"/>
      <c r="B380" s="80"/>
      <c r="C380" s="79"/>
      <c r="D380" s="9" t="s">
        <v>19</v>
      </c>
      <c r="E380" s="10">
        <v>34238</v>
      </c>
      <c r="F380" s="10">
        <f>F379*$C379</f>
        <v>56100</v>
      </c>
      <c r="G380" s="10">
        <f ca="1">G379*$C379</f>
        <v>6120</v>
      </c>
      <c r="H380" s="10">
        <f t="shared" ref="H380" si="1289">H379*$C379</f>
        <v>3740.0000000000005</v>
      </c>
      <c r="I380" s="10">
        <f t="shared" ref="I380" si="1290">I379*$C379</f>
        <v>0</v>
      </c>
      <c r="J380" s="10">
        <f t="shared" ref="J380" si="1291">J379*$C379</f>
        <v>0</v>
      </c>
      <c r="K380" s="10">
        <f t="shared" ref="K380" si="1292">K379*$C379</f>
        <v>0</v>
      </c>
      <c r="L380" s="10">
        <f t="shared" ref="L380" si="1293">L379*$C379</f>
        <v>34000</v>
      </c>
      <c r="M380" s="10">
        <f t="shared" ref="M380" si="1294">M379*$C379</f>
        <v>578</v>
      </c>
      <c r="N380" s="11">
        <f t="shared" ref="N380" ca="1" si="1295">IFERROR(N379/SUM($E379:$F379)*SUM($E380:$F380),"")</f>
        <v>0</v>
      </c>
      <c r="O380" s="10">
        <f>O379*$C379</f>
        <v>45900</v>
      </c>
    </row>
    <row r="381" spans="1:15" x14ac:dyDescent="0.55000000000000004">
      <c r="A381" s="99">
        <v>923</v>
      </c>
      <c r="B381" s="100" t="s">
        <v>210</v>
      </c>
      <c r="C381" s="78">
        <f>IFERROR(VLOOKUP(A381,'原料標準単価（貼付）'!B:E,3,FALSE),0)</f>
        <v>0</v>
      </c>
      <c r="D381" s="12" t="s">
        <v>18</v>
      </c>
      <c r="E381" s="13"/>
      <c r="F381" s="6">
        <f>IFERROR(VLOOKUP(A381,'1.2①原材料受入'!A:E,3,FALSE),0)</f>
        <v>1</v>
      </c>
      <c r="G381" s="6">
        <f ca="1">SUMIF('1.3②原材料使用'!C:E,A381,'1.3②原材料使用'!E:E)</f>
        <v>0.26</v>
      </c>
      <c r="H381" s="6">
        <f>SUMIFS('1.4原材料(その他)'!E:E,'1.4原材料(その他)'!C:C,A:A,'1.4原材料(その他)'!H:H,H$3)</f>
        <v>0</v>
      </c>
      <c r="I381" s="6">
        <f>SUMIFS('1.4原材料(その他)'!E:E,'1.4原材料(その他)'!C:C,A:A,'1.4原材料(その他)'!H:H,I$3)</f>
        <v>0</v>
      </c>
      <c r="J381" s="6">
        <f>SUMIFS('1.4原材料(その他)'!E:E,'1.4原材料(その他)'!C:C,A:A,'1.4原材料(その他)'!H:H,J$3)</f>
        <v>0</v>
      </c>
      <c r="K381" s="6">
        <f>SUMIFS('1.4原材料(その他)'!E:E,'1.4原材料(その他)'!C:C,A:A,'1.4原材料(その他)'!H:H,K$3)</f>
        <v>0</v>
      </c>
      <c r="L381" s="6">
        <f>SUMIFS('1.4原材料(その他)'!E:E,'1.4原材料(その他)'!C:C,A:A,'1.4原材料(その他)'!H:H,L$3)</f>
        <v>0.74</v>
      </c>
      <c r="M381" s="6">
        <f>SUMIFS('1.4原材料(その他)'!E:E,'1.4原材料(その他)'!C:C,A:A,'1.4原材料(その他)'!H:H,M$3)</f>
        <v>0</v>
      </c>
      <c r="N381" s="7">
        <f ca="1">O381-(E381+F381-SUM(G381:M381))</f>
        <v>0</v>
      </c>
      <c r="O381" s="8">
        <f>SUMIF('1.5原材料在庫'!A:A,原材料SC明細!A381,'1.5原材料在庫'!D:D)</f>
        <v>0</v>
      </c>
    </row>
    <row r="382" spans="1:15" x14ac:dyDescent="0.55000000000000004">
      <c r="A382" s="99"/>
      <c r="B382" s="99"/>
      <c r="C382" s="79"/>
      <c r="D382" s="9" t="s">
        <v>19</v>
      </c>
      <c r="E382" s="10"/>
      <c r="F382" s="10">
        <f>F381*$C381</f>
        <v>0</v>
      </c>
      <c r="G382" s="10">
        <f ca="1">G381*$C381</f>
        <v>0</v>
      </c>
      <c r="H382" s="10">
        <f t="shared" ref="H382" si="1296">H381*$C381</f>
        <v>0</v>
      </c>
      <c r="I382" s="10">
        <f t="shared" ref="I382" si="1297">I381*$C381</f>
        <v>0</v>
      </c>
      <c r="J382" s="10">
        <f t="shared" ref="J382" si="1298">J381*$C381</f>
        <v>0</v>
      </c>
      <c r="K382" s="10">
        <f t="shared" ref="K382" si="1299">K381*$C381</f>
        <v>0</v>
      </c>
      <c r="L382" s="10">
        <f t="shared" ref="L382" si="1300">L381*$C381</f>
        <v>0</v>
      </c>
      <c r="M382" s="10">
        <f t="shared" ref="M382" si="1301">M381*$C381</f>
        <v>0</v>
      </c>
      <c r="N382" s="11">
        <f ca="1">IFERROR(N381/SUM($E381:$F381)*SUM($E382:$F382),"")</f>
        <v>0</v>
      </c>
      <c r="O382" s="10">
        <f>O381*$C381</f>
        <v>0</v>
      </c>
    </row>
    <row r="383" spans="1:15" x14ac:dyDescent="0.55000000000000004">
      <c r="A383" s="99">
        <v>924</v>
      </c>
      <c r="B383" s="100" t="s">
        <v>211</v>
      </c>
      <c r="C383" s="78">
        <f>IFERROR(VLOOKUP(A383,'原料標準単価（貼付）'!B:E,3,FALSE),0)</f>
        <v>800</v>
      </c>
      <c r="D383" s="12" t="s">
        <v>18</v>
      </c>
      <c r="E383" s="13"/>
      <c r="F383" s="6">
        <f>IFERROR(VLOOKUP(A383,'1.2①原材料受入'!A:E,3,FALSE),0)</f>
        <v>1</v>
      </c>
      <c r="G383" s="6">
        <f ca="1">SUMIF('1.3②原材料使用'!C:E,A383,'1.3②原材料使用'!E:E)</f>
        <v>0.26</v>
      </c>
      <c r="H383" s="6">
        <f>SUMIFS('1.4原材料(その他)'!E:E,'1.4原材料(その他)'!C:C,A:A,'1.4原材料(その他)'!H:H,H$3)</f>
        <v>0</v>
      </c>
      <c r="I383" s="6">
        <f>SUMIFS('1.4原材料(その他)'!E:E,'1.4原材料(その他)'!C:C,A:A,'1.4原材料(その他)'!H:H,I$3)</f>
        <v>0</v>
      </c>
      <c r="J383" s="6">
        <f>SUMIFS('1.4原材料(その他)'!E:E,'1.4原材料(その他)'!C:C,A:A,'1.4原材料(その他)'!H:H,J$3)</f>
        <v>0</v>
      </c>
      <c r="K383" s="6">
        <f>SUMIFS('1.4原材料(その他)'!E:E,'1.4原材料(その他)'!C:C,A:A,'1.4原材料(その他)'!H:H,K$3)</f>
        <v>0</v>
      </c>
      <c r="L383" s="6">
        <f>SUMIFS('1.4原材料(その他)'!E:E,'1.4原材料(その他)'!C:C,A:A,'1.4原材料(その他)'!H:H,L$3)</f>
        <v>0.74</v>
      </c>
      <c r="M383" s="6">
        <f>SUMIFS('1.4原材料(その他)'!E:E,'1.4原材料(その他)'!C:C,A:A,'1.4原材料(その他)'!H:H,M$3)</f>
        <v>0</v>
      </c>
      <c r="N383" s="7">
        <f ca="1">O383-(E383+F383-SUM(G383:M383))</f>
        <v>0</v>
      </c>
      <c r="O383" s="8">
        <f>SUMIF('1.5原材料在庫'!A:A,原材料SC明細!A383,'1.5原材料在庫'!D:D)</f>
        <v>0</v>
      </c>
    </row>
    <row r="384" spans="1:15" x14ac:dyDescent="0.55000000000000004">
      <c r="A384" s="99"/>
      <c r="B384" s="99"/>
      <c r="C384" s="79"/>
      <c r="D384" s="9" t="s">
        <v>19</v>
      </c>
      <c r="E384" s="10"/>
      <c r="F384" s="10">
        <f>F383*$C383</f>
        <v>800</v>
      </c>
      <c r="G384" s="10">
        <f ca="1">G383*$C383</f>
        <v>208</v>
      </c>
      <c r="H384" s="10">
        <f t="shared" ref="H384" si="1302">H383*$C383</f>
        <v>0</v>
      </c>
      <c r="I384" s="10">
        <f t="shared" ref="I384" si="1303">I383*$C383</f>
        <v>0</v>
      </c>
      <c r="J384" s="10">
        <f t="shared" ref="J384" si="1304">J383*$C383</f>
        <v>0</v>
      </c>
      <c r="K384" s="10">
        <f t="shared" ref="K384" si="1305">K383*$C383</f>
        <v>0</v>
      </c>
      <c r="L384" s="10">
        <f t="shared" ref="L384" si="1306">L383*$C383</f>
        <v>592</v>
      </c>
      <c r="M384" s="10">
        <f t="shared" ref="M384" si="1307">M383*$C383</f>
        <v>0</v>
      </c>
      <c r="N384" s="11">
        <f ca="1">IFERROR(N383/SUM($E383:$F383)*SUM($E384:$F384),"")</f>
        <v>0</v>
      </c>
      <c r="O384" s="10">
        <f>O383*$C383</f>
        <v>0</v>
      </c>
    </row>
    <row r="385" spans="1:17" x14ac:dyDescent="0.55000000000000004">
      <c r="A385" s="99">
        <v>925</v>
      </c>
      <c r="B385" s="100" t="s">
        <v>212</v>
      </c>
      <c r="C385" s="78">
        <f>IFERROR(VLOOKUP(A385,'原料標準単価（貼付）'!B:E,3,FALSE),0)</f>
        <v>395.45454545454544</v>
      </c>
      <c r="D385" s="12" t="s">
        <v>18</v>
      </c>
      <c r="E385" s="13"/>
      <c r="F385" s="6">
        <f>IFERROR(VLOOKUP(A385,'1.2①原材料受入'!A:E,3,FALSE),0)</f>
        <v>1.1000000000000001</v>
      </c>
      <c r="G385" s="6">
        <f ca="1">SUMIF('1.3②原材料使用'!C:E,A385,'1.3②原材料使用'!E:E)</f>
        <v>0.26</v>
      </c>
      <c r="H385" s="6">
        <f>SUMIFS('1.4原材料(その他)'!E:E,'1.4原材料(その他)'!C:C,A:A,'1.4原材料(その他)'!H:H,H$3)</f>
        <v>0</v>
      </c>
      <c r="I385" s="6">
        <f>SUMIFS('1.4原材料(その他)'!E:E,'1.4原材料(その他)'!C:C,A:A,'1.4原材料(その他)'!H:H,I$3)</f>
        <v>0</v>
      </c>
      <c r="J385" s="6">
        <f>SUMIFS('1.4原材料(その他)'!E:E,'1.4原材料(その他)'!C:C,A:A,'1.4原材料(その他)'!H:H,J$3)</f>
        <v>0</v>
      </c>
      <c r="K385" s="6">
        <f>SUMIFS('1.4原材料(その他)'!E:E,'1.4原材料(その他)'!C:C,A:A,'1.4原材料(その他)'!H:H,K$3)</f>
        <v>0</v>
      </c>
      <c r="L385" s="6">
        <f>SUMIFS('1.4原材料(その他)'!E:E,'1.4原材料(その他)'!C:C,A:A,'1.4原材料(その他)'!H:H,L$3)</f>
        <v>0.74</v>
      </c>
      <c r="M385" s="6">
        <f>SUMIFS('1.4原材料(その他)'!E:E,'1.4原材料(その他)'!C:C,A:A,'1.4原材料(その他)'!H:H,M$3)</f>
        <v>0</v>
      </c>
      <c r="N385" s="7">
        <f ca="1">O385-(E385+F385-SUM(G385:M385))</f>
        <v>0</v>
      </c>
      <c r="O385" s="8">
        <f>SUMIF('1.5原材料在庫'!A:A,原材料SC明細!A385,'1.5原材料在庫'!D:D)</f>
        <v>0.10000000000000009</v>
      </c>
    </row>
    <row r="386" spans="1:17" x14ac:dyDescent="0.55000000000000004">
      <c r="A386" s="99"/>
      <c r="B386" s="99"/>
      <c r="C386" s="79"/>
      <c r="D386" s="9" t="s">
        <v>19</v>
      </c>
      <c r="E386" s="10"/>
      <c r="F386" s="10">
        <f>F385*$C385</f>
        <v>435</v>
      </c>
      <c r="G386" s="10">
        <f ca="1">G385*$C385</f>
        <v>102.81818181818181</v>
      </c>
      <c r="H386" s="10">
        <f t="shared" ref="H386" si="1308">H385*$C385</f>
        <v>0</v>
      </c>
      <c r="I386" s="10">
        <f t="shared" ref="I386" si="1309">I385*$C385</f>
        <v>0</v>
      </c>
      <c r="J386" s="10">
        <f t="shared" ref="J386" si="1310">J385*$C385</f>
        <v>0</v>
      </c>
      <c r="K386" s="10">
        <f t="shared" ref="K386" si="1311">K385*$C385</f>
        <v>0</v>
      </c>
      <c r="L386" s="10">
        <f t="shared" ref="L386" si="1312">L385*$C385</f>
        <v>292.63636363636363</v>
      </c>
      <c r="M386" s="10">
        <f t="shared" ref="M386" si="1313">M385*$C385</f>
        <v>0</v>
      </c>
      <c r="N386" s="11">
        <f ca="1">IFERROR(N385/SUM($E385:$F385)*SUM($E386:$F386),"")</f>
        <v>0</v>
      </c>
      <c r="O386" s="10">
        <f>O385*$C385</f>
        <v>39.545454545454582</v>
      </c>
    </row>
    <row r="387" spans="1:17" x14ac:dyDescent="0.55000000000000004">
      <c r="A387" s="99">
        <v>926</v>
      </c>
      <c r="B387" s="100" t="s">
        <v>213</v>
      </c>
      <c r="C387" s="78">
        <f>IFERROR(VLOOKUP(A387,'原料標準単価（貼付）'!B:E,3,FALSE),0)</f>
        <v>435</v>
      </c>
      <c r="D387" s="12" t="s">
        <v>18</v>
      </c>
      <c r="E387" s="13"/>
      <c r="F387" s="6">
        <f>IFERROR(VLOOKUP(A387,'1.2①原材料受入'!A:E,3,FALSE),0)</f>
        <v>1</v>
      </c>
      <c r="G387" s="6">
        <f ca="1">SUMIF('1.3②原材料使用'!C:E,A387,'1.3②原材料使用'!E:E)</f>
        <v>0.26</v>
      </c>
      <c r="H387" s="6">
        <f>SUMIFS('1.4原材料(その他)'!E:E,'1.4原材料(その他)'!C:C,A:A,'1.4原材料(その他)'!H:H,H$3)</f>
        <v>0</v>
      </c>
      <c r="I387" s="6">
        <f>SUMIFS('1.4原材料(その他)'!E:E,'1.4原材料(その他)'!C:C,A:A,'1.4原材料(その他)'!H:H,I$3)</f>
        <v>0</v>
      </c>
      <c r="J387" s="6">
        <f>SUMIFS('1.4原材料(その他)'!E:E,'1.4原材料(その他)'!C:C,A:A,'1.4原材料(その他)'!H:H,J$3)</f>
        <v>0</v>
      </c>
      <c r="K387" s="6">
        <f>SUMIFS('1.4原材料(その他)'!E:E,'1.4原材料(その他)'!C:C,A:A,'1.4原材料(その他)'!H:H,K$3)</f>
        <v>0</v>
      </c>
      <c r="L387" s="6">
        <f>SUMIFS('1.4原材料(その他)'!E:E,'1.4原材料(その他)'!C:C,A:A,'1.4原材料(その他)'!H:H,L$3)</f>
        <v>0.74</v>
      </c>
      <c r="M387" s="6">
        <f>SUMIFS('1.4原材料(その他)'!E:E,'1.4原材料(その他)'!C:C,A:A,'1.4原材料(その他)'!H:H,M$3)</f>
        <v>0</v>
      </c>
      <c r="N387" s="7">
        <f ca="1">O387-(E387+F387-SUM(G387:M387))</f>
        <v>0</v>
      </c>
      <c r="O387" s="8">
        <f>SUMIF('1.5原材料在庫'!A:A,原材料SC明細!A387,'1.5原材料在庫'!D:D)</f>
        <v>0</v>
      </c>
    </row>
    <row r="388" spans="1:17" x14ac:dyDescent="0.55000000000000004">
      <c r="A388" s="99"/>
      <c r="B388" s="99"/>
      <c r="C388" s="79"/>
      <c r="D388" s="9" t="s">
        <v>19</v>
      </c>
      <c r="E388" s="10"/>
      <c r="F388" s="10">
        <f>F387*$C387</f>
        <v>435</v>
      </c>
      <c r="G388" s="10">
        <f ca="1">G387*$C387</f>
        <v>113.10000000000001</v>
      </c>
      <c r="H388" s="10">
        <f t="shared" ref="H388" si="1314">H387*$C387</f>
        <v>0</v>
      </c>
      <c r="I388" s="10">
        <f t="shared" ref="I388" si="1315">I387*$C387</f>
        <v>0</v>
      </c>
      <c r="J388" s="10">
        <f t="shared" ref="J388" si="1316">J387*$C387</f>
        <v>0</v>
      </c>
      <c r="K388" s="10">
        <f t="shared" ref="K388" si="1317">K387*$C387</f>
        <v>0</v>
      </c>
      <c r="L388" s="10">
        <f t="shared" ref="L388" si="1318">L387*$C387</f>
        <v>321.89999999999998</v>
      </c>
      <c r="M388" s="10">
        <f t="shared" ref="M388" si="1319">M387*$C387</f>
        <v>0</v>
      </c>
      <c r="N388" s="11">
        <f ca="1">IFERROR(N387/SUM($E387:$F387)*SUM($E388:$F388),"")</f>
        <v>0</v>
      </c>
      <c r="O388" s="10">
        <f>O387*$C387</f>
        <v>0</v>
      </c>
    </row>
    <row r="389" spans="1:17" x14ac:dyDescent="0.55000000000000004">
      <c r="A389" s="99">
        <v>927</v>
      </c>
      <c r="B389" s="100" t="s">
        <v>214</v>
      </c>
      <c r="C389" s="78">
        <f>IFERROR(VLOOKUP(A389,'原料標準単価（貼付）'!B:E,3,FALSE),0)</f>
        <v>0</v>
      </c>
      <c r="D389" s="12" t="s">
        <v>18</v>
      </c>
      <c r="E389" s="13"/>
      <c r="F389" s="6">
        <f>IFERROR(VLOOKUP(A389,'1.2①原材料受入'!A:E,3,FALSE),0)</f>
        <v>1</v>
      </c>
      <c r="G389" s="6">
        <f ca="1">SUMIF('1.3②原材料使用'!C:E,A389,'1.3②原材料使用'!E:E)</f>
        <v>0.26</v>
      </c>
      <c r="H389" s="6">
        <f>SUMIFS('1.4原材料(その他)'!E:E,'1.4原材料(その他)'!C:C,A:A,'1.4原材料(その他)'!H:H,H$3)</f>
        <v>0</v>
      </c>
      <c r="I389" s="6">
        <f>SUMIFS('1.4原材料(その他)'!E:E,'1.4原材料(その他)'!C:C,A:A,'1.4原材料(その他)'!H:H,I$3)</f>
        <v>0</v>
      </c>
      <c r="J389" s="6">
        <f>SUMIFS('1.4原材料(その他)'!E:E,'1.4原材料(その他)'!C:C,A:A,'1.4原材料(その他)'!H:H,J$3)</f>
        <v>0</v>
      </c>
      <c r="K389" s="6">
        <f>SUMIFS('1.4原材料(その他)'!E:E,'1.4原材料(その他)'!C:C,A:A,'1.4原材料(その他)'!H:H,K$3)</f>
        <v>0</v>
      </c>
      <c r="L389" s="6">
        <f>SUMIFS('1.4原材料(その他)'!E:E,'1.4原材料(その他)'!C:C,A:A,'1.4原材料(その他)'!H:H,L$3)</f>
        <v>0.74</v>
      </c>
      <c r="M389" s="6">
        <f>SUMIFS('1.4原材料(その他)'!E:E,'1.4原材料(その他)'!C:C,A:A,'1.4原材料(その他)'!H:H,M$3)</f>
        <v>0</v>
      </c>
      <c r="N389" s="7">
        <f ca="1">O389-(E389+F389-SUM(G389:M389))</f>
        <v>0</v>
      </c>
      <c r="O389" s="8">
        <f>SUMIF('1.5原材料在庫'!A:A,原材料SC明細!A389,'1.5原材料在庫'!D:D)</f>
        <v>0</v>
      </c>
    </row>
    <row r="390" spans="1:17" x14ac:dyDescent="0.55000000000000004">
      <c r="A390" s="99"/>
      <c r="B390" s="99"/>
      <c r="C390" s="79"/>
      <c r="D390" s="9" t="s">
        <v>19</v>
      </c>
      <c r="E390" s="10"/>
      <c r="F390" s="10">
        <f>F389*$C389</f>
        <v>0</v>
      </c>
      <c r="G390" s="10">
        <f ca="1">G389*$C389</f>
        <v>0</v>
      </c>
      <c r="H390" s="10">
        <f t="shared" ref="H390" si="1320">H389*$C389</f>
        <v>0</v>
      </c>
      <c r="I390" s="10">
        <f t="shared" ref="I390" si="1321">I389*$C389</f>
        <v>0</v>
      </c>
      <c r="J390" s="10">
        <f t="shared" ref="J390" si="1322">J389*$C389</f>
        <v>0</v>
      </c>
      <c r="K390" s="10">
        <f t="shared" ref="K390" si="1323">K389*$C389</f>
        <v>0</v>
      </c>
      <c r="L390" s="10">
        <f t="shared" ref="L390" si="1324">L389*$C389</f>
        <v>0</v>
      </c>
      <c r="M390" s="10">
        <f t="shared" ref="M390" si="1325">M389*$C389</f>
        <v>0</v>
      </c>
      <c r="N390" s="11">
        <f ca="1">IFERROR(N389/SUM($E389:$F389)*SUM($E390:$F390),"")</f>
        <v>0</v>
      </c>
      <c r="O390" s="10">
        <f>O389*$C389</f>
        <v>0</v>
      </c>
    </row>
    <row r="391" spans="1:17" x14ac:dyDescent="0.55000000000000004">
      <c r="A391" s="93">
        <v>999</v>
      </c>
      <c r="B391" s="80" t="s">
        <v>215</v>
      </c>
      <c r="C391" s="80"/>
      <c r="D391" s="15" t="s">
        <v>155</v>
      </c>
      <c r="E391" s="13"/>
      <c r="F391" s="18"/>
      <c r="G391" s="18"/>
      <c r="H391" s="6"/>
      <c r="I391" s="6"/>
      <c r="J391" s="6"/>
      <c r="K391" s="6"/>
      <c r="L391" s="6"/>
      <c r="M391" s="6"/>
      <c r="N391" s="7"/>
      <c r="O391" s="19">
        <v>-1150.6999999999998</v>
      </c>
      <c r="P391" s="2" t="s">
        <v>216</v>
      </c>
    </row>
    <row r="392" spans="1:17" ht="13.5" thickBot="1" x14ac:dyDescent="0.6">
      <c r="A392" s="81"/>
      <c r="B392" s="81"/>
      <c r="C392" s="81"/>
      <c r="D392" s="20" t="s">
        <v>19</v>
      </c>
      <c r="E392" s="21" t="s">
        <v>68</v>
      </c>
      <c r="F392" s="22">
        <f>IFERROR(VLOOKUP(A391,'[1]1.2①原材料受入'!$A:$E,5,FALSE),0)</f>
        <v>0</v>
      </c>
      <c r="G392" s="22" t="str">
        <f>IFERROR(G391/SUM($E391:$F391)*SUM($E392:$F392),"")</f>
        <v/>
      </c>
      <c r="H392" s="22" t="str">
        <f t="shared" ref="H392:O392" si="1326">IFERROR(H391/SUM($E391:$F391)*SUM($E392:$F392),"")</f>
        <v/>
      </c>
      <c r="I392" s="22" t="str">
        <f t="shared" si="1326"/>
        <v/>
      </c>
      <c r="J392" s="22" t="str">
        <f t="shared" si="1326"/>
        <v/>
      </c>
      <c r="K392" s="22" t="str">
        <f t="shared" si="1326"/>
        <v/>
      </c>
      <c r="L392" s="22" t="str">
        <f t="shared" si="1326"/>
        <v/>
      </c>
      <c r="M392" s="22" t="str">
        <f t="shared" si="1326"/>
        <v/>
      </c>
      <c r="N392" s="22" t="str">
        <f t="shared" si="1326"/>
        <v/>
      </c>
      <c r="O392" s="22" t="str">
        <f t="shared" si="1326"/>
        <v/>
      </c>
      <c r="Q392" s="2" t="s">
        <v>217</v>
      </c>
    </row>
    <row r="393" spans="1:17" s="1" customFormat="1" ht="13.5" thickTop="1" x14ac:dyDescent="0.55000000000000004">
      <c r="A393" s="101" t="s">
        <v>218</v>
      </c>
      <c r="B393" s="101"/>
      <c r="C393" s="54"/>
      <c r="D393" s="23" t="s">
        <v>18</v>
      </c>
      <c r="E393" s="14">
        <f>SUMIF($D$5:$D$392,"数量*",E5:E392)</f>
        <v>8596.0218400000067</v>
      </c>
      <c r="F393" s="24">
        <f>SUMIF($D$5:$D$392,"数量*",F5:F392)</f>
        <v>114889.79000000001</v>
      </c>
      <c r="G393" s="24">
        <f ca="1">SUMIF($D$5:$D$392,"数量*",G5:G392)</f>
        <v>114478.11099999999</v>
      </c>
      <c r="H393" s="24">
        <f t="shared" ref="H393:M393" si="1327">SUMIF($D$5:$D$392,"数量*",H5:H392)</f>
        <v>173.29999999999998</v>
      </c>
      <c r="I393" s="24">
        <f t="shared" si="1327"/>
        <v>39.1</v>
      </c>
      <c r="J393" s="24">
        <f t="shared" si="1327"/>
        <v>51.8</v>
      </c>
      <c r="K393" s="24">
        <f t="shared" si="1327"/>
        <v>224.84099999999998</v>
      </c>
      <c r="L393" s="24">
        <f t="shared" si="1327"/>
        <v>882.87900000000025</v>
      </c>
      <c r="M393" s="24">
        <f t="shared" si="1327"/>
        <v>528.3359999999999</v>
      </c>
      <c r="N393" s="7">
        <f ca="1">O393-(E393+F393-SUM(G393:M393))</f>
        <v>-1150.7580000000062</v>
      </c>
      <c r="O393" s="8">
        <f>SUMIF($D$5:$D$392,"数量*",O5:O392)</f>
        <v>5956.6868400000048</v>
      </c>
      <c r="Q393" s="25">
        <f ca="1">IF(E393+F393-SUM(G393:N393)+N393=O393,"ok",E393+F393-SUM(G393:N393)+N393-O393)</f>
        <v>1150.7580000000016</v>
      </c>
    </row>
    <row r="394" spans="1:17" s="1" customFormat="1" x14ac:dyDescent="0.55000000000000004">
      <c r="A394" s="102"/>
      <c r="B394" s="102"/>
      <c r="C394" s="55"/>
      <c r="D394" s="26" t="s">
        <v>19</v>
      </c>
      <c r="E394" s="27">
        <f>SUMIF($D$5:$D$392,"金額*",E5:E392)</f>
        <v>20567620.26433051</v>
      </c>
      <c r="F394" s="28">
        <f>SUMIF($D$5:$D$392,"金額*",F5:F392)</f>
        <v>86984824</v>
      </c>
      <c r="G394" s="28">
        <f ca="1">SUMIF($D$5:$D$392,"金額*",G5:G392)</f>
        <v>83005479.881534502</v>
      </c>
      <c r="H394" s="28">
        <f t="shared" ref="H394:M394" si="1328">SUMIF($D$5:$D$392,"金額*",H5:H392)</f>
        <v>214213.12193582286</v>
      </c>
      <c r="I394" s="28">
        <f t="shared" si="1328"/>
        <v>27436.781255009206</v>
      </c>
      <c r="J394" s="28">
        <f t="shared" si="1328"/>
        <v>70150.762768817207</v>
      </c>
      <c r="K394" s="28">
        <f t="shared" si="1328"/>
        <v>154576.65087817091</v>
      </c>
      <c r="L394" s="28">
        <f t="shared" si="1328"/>
        <v>1052777.9087925043</v>
      </c>
      <c r="M394" s="28">
        <f t="shared" si="1328"/>
        <v>122456.78975911935</v>
      </c>
      <c r="N394" s="29">
        <f ca="1">SUMIF($D$5:$D$392,"金額*",N5:N392)</f>
        <v>-0.32090711329424504</v>
      </c>
      <c r="O394" s="29">
        <f>SUMIF($D$5:$D$392,"金額*",O5:O392)</f>
        <v>22976280.042824205</v>
      </c>
      <c r="Q394" s="25" t="b">
        <f ca="1">IF(E394+F394-SUM(G394:N394)+N394=O394,"ok",E394+F394-SUM(G394:N394)+N394=O394)</f>
        <v>0</v>
      </c>
    </row>
  </sheetData>
  <autoFilter ref="A4:U394" xr:uid="{00000000-0009-0000-0000-000002000000}"/>
  <mergeCells count="597">
    <mergeCell ref="A391:A392"/>
    <mergeCell ref="B391:B392"/>
    <mergeCell ref="A393:B394"/>
    <mergeCell ref="A385:A386"/>
    <mergeCell ref="B385:B386"/>
    <mergeCell ref="A387:A388"/>
    <mergeCell ref="B387:B388"/>
    <mergeCell ref="A389:A390"/>
    <mergeCell ref="B389:B390"/>
    <mergeCell ref="A379:A380"/>
    <mergeCell ref="B379:B380"/>
    <mergeCell ref="A381:A382"/>
    <mergeCell ref="B381:B382"/>
    <mergeCell ref="A383:A384"/>
    <mergeCell ref="B383:B384"/>
    <mergeCell ref="A373:A374"/>
    <mergeCell ref="B373:B374"/>
    <mergeCell ref="A375:A376"/>
    <mergeCell ref="B375:B376"/>
    <mergeCell ref="A377:A378"/>
    <mergeCell ref="B377:B378"/>
    <mergeCell ref="A367:A368"/>
    <mergeCell ref="B367:B368"/>
    <mergeCell ref="A369:A370"/>
    <mergeCell ref="B369:B370"/>
    <mergeCell ref="A371:A372"/>
    <mergeCell ref="B371:B372"/>
    <mergeCell ref="A361:A362"/>
    <mergeCell ref="B361:B362"/>
    <mergeCell ref="A363:A364"/>
    <mergeCell ref="B363:B364"/>
    <mergeCell ref="A365:A366"/>
    <mergeCell ref="B365:B366"/>
    <mergeCell ref="A355:A356"/>
    <mergeCell ref="B355:B356"/>
    <mergeCell ref="A357:A358"/>
    <mergeCell ref="B357:B358"/>
    <mergeCell ref="A359:A360"/>
    <mergeCell ref="B359:B360"/>
    <mergeCell ref="A349:A350"/>
    <mergeCell ref="B349:B350"/>
    <mergeCell ref="A351:A352"/>
    <mergeCell ref="B351:B352"/>
    <mergeCell ref="A353:A354"/>
    <mergeCell ref="B353:B354"/>
    <mergeCell ref="A343:A344"/>
    <mergeCell ref="B343:B344"/>
    <mergeCell ref="A345:A346"/>
    <mergeCell ref="B345:B346"/>
    <mergeCell ref="A347:A348"/>
    <mergeCell ref="B347:B348"/>
    <mergeCell ref="A337:A338"/>
    <mergeCell ref="B337:B338"/>
    <mergeCell ref="A339:A340"/>
    <mergeCell ref="B339:B340"/>
    <mergeCell ref="A341:A342"/>
    <mergeCell ref="B341:B342"/>
    <mergeCell ref="A331:A332"/>
    <mergeCell ref="B331:B332"/>
    <mergeCell ref="A333:A334"/>
    <mergeCell ref="B333:B334"/>
    <mergeCell ref="A335:A336"/>
    <mergeCell ref="B335:B336"/>
    <mergeCell ref="A325:A326"/>
    <mergeCell ref="B325:B326"/>
    <mergeCell ref="A327:A328"/>
    <mergeCell ref="B327:B328"/>
    <mergeCell ref="A329:A330"/>
    <mergeCell ref="B329:B330"/>
    <mergeCell ref="A319:A320"/>
    <mergeCell ref="B319:B320"/>
    <mergeCell ref="A321:A322"/>
    <mergeCell ref="B321:B322"/>
    <mergeCell ref="A323:A324"/>
    <mergeCell ref="B323:B324"/>
    <mergeCell ref="A313:A314"/>
    <mergeCell ref="B313:B314"/>
    <mergeCell ref="A315:A316"/>
    <mergeCell ref="B315:B316"/>
    <mergeCell ref="A317:A318"/>
    <mergeCell ref="B317:B318"/>
    <mergeCell ref="A307:A308"/>
    <mergeCell ref="B307:B308"/>
    <mergeCell ref="A309:A310"/>
    <mergeCell ref="B309:B310"/>
    <mergeCell ref="A311:A312"/>
    <mergeCell ref="B311:B312"/>
    <mergeCell ref="A301:A302"/>
    <mergeCell ref="B301:B302"/>
    <mergeCell ref="A303:A304"/>
    <mergeCell ref="B303:B304"/>
    <mergeCell ref="A305:A306"/>
    <mergeCell ref="B305:B306"/>
    <mergeCell ref="A295:A296"/>
    <mergeCell ref="B295:B296"/>
    <mergeCell ref="A297:A298"/>
    <mergeCell ref="B297:B298"/>
    <mergeCell ref="A299:A300"/>
    <mergeCell ref="B299:B300"/>
    <mergeCell ref="A289:A290"/>
    <mergeCell ref="B289:B290"/>
    <mergeCell ref="A291:A292"/>
    <mergeCell ref="B291:B292"/>
    <mergeCell ref="A293:A294"/>
    <mergeCell ref="B293:B294"/>
    <mergeCell ref="A283:A284"/>
    <mergeCell ref="B283:B284"/>
    <mergeCell ref="A285:A286"/>
    <mergeCell ref="B285:B286"/>
    <mergeCell ref="A287:A288"/>
    <mergeCell ref="B287:B288"/>
    <mergeCell ref="A277:A278"/>
    <mergeCell ref="B277:B278"/>
    <mergeCell ref="A279:A280"/>
    <mergeCell ref="B279:B280"/>
    <mergeCell ref="A281:A282"/>
    <mergeCell ref="B281:B282"/>
    <mergeCell ref="A271:A272"/>
    <mergeCell ref="B271:B272"/>
    <mergeCell ref="A273:A274"/>
    <mergeCell ref="B273:B274"/>
    <mergeCell ref="A275:A276"/>
    <mergeCell ref="B275:B276"/>
    <mergeCell ref="A265:A266"/>
    <mergeCell ref="B265:B266"/>
    <mergeCell ref="A267:A268"/>
    <mergeCell ref="B267:B268"/>
    <mergeCell ref="A269:A270"/>
    <mergeCell ref="B269:B270"/>
    <mergeCell ref="A259:A260"/>
    <mergeCell ref="B259:B260"/>
    <mergeCell ref="A261:A262"/>
    <mergeCell ref="B261:B262"/>
    <mergeCell ref="A263:A264"/>
    <mergeCell ref="B263:B264"/>
    <mergeCell ref="A253:A254"/>
    <mergeCell ref="B253:B254"/>
    <mergeCell ref="A255:A256"/>
    <mergeCell ref="B255:B256"/>
    <mergeCell ref="A257:A258"/>
    <mergeCell ref="B257:B258"/>
    <mergeCell ref="A247:A248"/>
    <mergeCell ref="B247:B248"/>
    <mergeCell ref="A249:A250"/>
    <mergeCell ref="B249:B250"/>
    <mergeCell ref="A251:A252"/>
    <mergeCell ref="B251:B252"/>
    <mergeCell ref="A241:A242"/>
    <mergeCell ref="B241:B242"/>
    <mergeCell ref="A243:A244"/>
    <mergeCell ref="B243:B244"/>
    <mergeCell ref="A245:A246"/>
    <mergeCell ref="B245:B246"/>
    <mergeCell ref="A235:A236"/>
    <mergeCell ref="B235:B236"/>
    <mergeCell ref="A237:A238"/>
    <mergeCell ref="B237:B238"/>
    <mergeCell ref="A239:A240"/>
    <mergeCell ref="B239:B240"/>
    <mergeCell ref="A229:A230"/>
    <mergeCell ref="B229:B230"/>
    <mergeCell ref="A231:A232"/>
    <mergeCell ref="B231:B232"/>
    <mergeCell ref="A233:A234"/>
    <mergeCell ref="B233:B234"/>
    <mergeCell ref="A223:A224"/>
    <mergeCell ref="B223:B224"/>
    <mergeCell ref="A225:A226"/>
    <mergeCell ref="B225:B226"/>
    <mergeCell ref="A227:A228"/>
    <mergeCell ref="B227:B228"/>
    <mergeCell ref="A217:A218"/>
    <mergeCell ref="B217:B218"/>
    <mergeCell ref="A219:A220"/>
    <mergeCell ref="B219:B220"/>
    <mergeCell ref="A221:A222"/>
    <mergeCell ref="B221:B222"/>
    <mergeCell ref="A211:A212"/>
    <mergeCell ref="B211:B212"/>
    <mergeCell ref="A213:A214"/>
    <mergeCell ref="B213:B214"/>
    <mergeCell ref="A215:A216"/>
    <mergeCell ref="B215:B216"/>
    <mergeCell ref="A205:A206"/>
    <mergeCell ref="B205:B206"/>
    <mergeCell ref="A207:A208"/>
    <mergeCell ref="B207:B208"/>
    <mergeCell ref="A209:A210"/>
    <mergeCell ref="B209:B210"/>
    <mergeCell ref="A199:A200"/>
    <mergeCell ref="B199:B200"/>
    <mergeCell ref="A201:A202"/>
    <mergeCell ref="B201:B202"/>
    <mergeCell ref="A203:A204"/>
    <mergeCell ref="B203:B204"/>
    <mergeCell ref="A193:A194"/>
    <mergeCell ref="B193:B194"/>
    <mergeCell ref="A195:A196"/>
    <mergeCell ref="B195:B196"/>
    <mergeCell ref="A197:A198"/>
    <mergeCell ref="B197:B198"/>
    <mergeCell ref="A187:A188"/>
    <mergeCell ref="B187:B188"/>
    <mergeCell ref="A189:A190"/>
    <mergeCell ref="B189:B190"/>
    <mergeCell ref="A191:A192"/>
    <mergeCell ref="B191:B192"/>
    <mergeCell ref="A181:A182"/>
    <mergeCell ref="B181:B182"/>
    <mergeCell ref="A183:A184"/>
    <mergeCell ref="B183:B184"/>
    <mergeCell ref="A185:A186"/>
    <mergeCell ref="B185:B186"/>
    <mergeCell ref="A175:A176"/>
    <mergeCell ref="B175:B176"/>
    <mergeCell ref="A177:A178"/>
    <mergeCell ref="B177:B178"/>
    <mergeCell ref="A179:A180"/>
    <mergeCell ref="B179:B180"/>
    <mergeCell ref="A169:A170"/>
    <mergeCell ref="B169:B170"/>
    <mergeCell ref="A171:A172"/>
    <mergeCell ref="B171:B172"/>
    <mergeCell ref="A173:A174"/>
    <mergeCell ref="B173:B174"/>
    <mergeCell ref="A163:A164"/>
    <mergeCell ref="B163:B164"/>
    <mergeCell ref="A165:A166"/>
    <mergeCell ref="B165:B166"/>
    <mergeCell ref="A167:A168"/>
    <mergeCell ref="B167:B168"/>
    <mergeCell ref="A157:A158"/>
    <mergeCell ref="B157:B158"/>
    <mergeCell ref="A159:A160"/>
    <mergeCell ref="B159:B160"/>
    <mergeCell ref="A161:A162"/>
    <mergeCell ref="B161:B162"/>
    <mergeCell ref="A151:A152"/>
    <mergeCell ref="B151:B152"/>
    <mergeCell ref="A153:A154"/>
    <mergeCell ref="B153:B154"/>
    <mergeCell ref="A155:A156"/>
    <mergeCell ref="B155:B156"/>
    <mergeCell ref="A145:A146"/>
    <mergeCell ref="B145:B146"/>
    <mergeCell ref="A147:A148"/>
    <mergeCell ref="B147:B148"/>
    <mergeCell ref="A149:A150"/>
    <mergeCell ref="B149:B150"/>
    <mergeCell ref="A139:A140"/>
    <mergeCell ref="B139:B140"/>
    <mergeCell ref="A141:A142"/>
    <mergeCell ref="B141:B142"/>
    <mergeCell ref="A143:A144"/>
    <mergeCell ref="B143:B144"/>
    <mergeCell ref="A133:A134"/>
    <mergeCell ref="B133:B134"/>
    <mergeCell ref="A135:A136"/>
    <mergeCell ref="B135:B136"/>
    <mergeCell ref="A137:A138"/>
    <mergeCell ref="B137:B138"/>
    <mergeCell ref="A127:A128"/>
    <mergeCell ref="B127:B128"/>
    <mergeCell ref="A129:A130"/>
    <mergeCell ref="B129:B130"/>
    <mergeCell ref="A131:A132"/>
    <mergeCell ref="B131:B132"/>
    <mergeCell ref="A121:A122"/>
    <mergeCell ref="B121:B122"/>
    <mergeCell ref="A123:A124"/>
    <mergeCell ref="B123:B124"/>
    <mergeCell ref="A125:A126"/>
    <mergeCell ref="B125:B126"/>
    <mergeCell ref="A115:A116"/>
    <mergeCell ref="B115:B116"/>
    <mergeCell ref="A117:A118"/>
    <mergeCell ref="B117:B118"/>
    <mergeCell ref="A119:A120"/>
    <mergeCell ref="B119:B120"/>
    <mergeCell ref="A109:A110"/>
    <mergeCell ref="B109:B110"/>
    <mergeCell ref="A111:A112"/>
    <mergeCell ref="B111:B112"/>
    <mergeCell ref="A113:A114"/>
    <mergeCell ref="B113:B114"/>
    <mergeCell ref="A103:A104"/>
    <mergeCell ref="B103:B104"/>
    <mergeCell ref="A105:A106"/>
    <mergeCell ref="B105:B106"/>
    <mergeCell ref="A107:A108"/>
    <mergeCell ref="B107:B108"/>
    <mergeCell ref="A97:A98"/>
    <mergeCell ref="B97:B98"/>
    <mergeCell ref="A99:A100"/>
    <mergeCell ref="B99:B100"/>
    <mergeCell ref="A101:A102"/>
    <mergeCell ref="B101:B102"/>
    <mergeCell ref="A91:A92"/>
    <mergeCell ref="B91:B92"/>
    <mergeCell ref="A93:A94"/>
    <mergeCell ref="B93:B94"/>
    <mergeCell ref="A95:A96"/>
    <mergeCell ref="B95:B96"/>
    <mergeCell ref="A85:A86"/>
    <mergeCell ref="B85:B86"/>
    <mergeCell ref="A87:A88"/>
    <mergeCell ref="B87:B88"/>
    <mergeCell ref="A89:A90"/>
    <mergeCell ref="B89:B90"/>
    <mergeCell ref="A79:A80"/>
    <mergeCell ref="B79:B80"/>
    <mergeCell ref="A81:A82"/>
    <mergeCell ref="B81:B82"/>
    <mergeCell ref="A83:A84"/>
    <mergeCell ref="B83:B84"/>
    <mergeCell ref="A73:A74"/>
    <mergeCell ref="B73:B74"/>
    <mergeCell ref="A75:A76"/>
    <mergeCell ref="B75:B76"/>
    <mergeCell ref="A77:A78"/>
    <mergeCell ref="B77:B78"/>
    <mergeCell ref="A67:A68"/>
    <mergeCell ref="B67:B68"/>
    <mergeCell ref="A69:A70"/>
    <mergeCell ref="B69:B70"/>
    <mergeCell ref="A71:A72"/>
    <mergeCell ref="B71:B72"/>
    <mergeCell ref="A61:A62"/>
    <mergeCell ref="B61:B62"/>
    <mergeCell ref="A63:A64"/>
    <mergeCell ref="B63:B64"/>
    <mergeCell ref="A65:A66"/>
    <mergeCell ref="B65:B66"/>
    <mergeCell ref="A55:A56"/>
    <mergeCell ref="B55:B56"/>
    <mergeCell ref="A57:A58"/>
    <mergeCell ref="B57:B58"/>
    <mergeCell ref="A59:A60"/>
    <mergeCell ref="B59:B60"/>
    <mergeCell ref="A49:A50"/>
    <mergeCell ref="B49:B50"/>
    <mergeCell ref="A51:A52"/>
    <mergeCell ref="B51:B52"/>
    <mergeCell ref="A53:A54"/>
    <mergeCell ref="B53:B54"/>
    <mergeCell ref="A43:A44"/>
    <mergeCell ref="B43:B44"/>
    <mergeCell ref="A45:A46"/>
    <mergeCell ref="B45:B46"/>
    <mergeCell ref="A47:A48"/>
    <mergeCell ref="B47:B48"/>
    <mergeCell ref="A37:A38"/>
    <mergeCell ref="B37:B38"/>
    <mergeCell ref="A39:A40"/>
    <mergeCell ref="B39:B40"/>
    <mergeCell ref="A41:A42"/>
    <mergeCell ref="B41:B42"/>
    <mergeCell ref="A31:A32"/>
    <mergeCell ref="B31:B32"/>
    <mergeCell ref="A33:A34"/>
    <mergeCell ref="B33:B34"/>
    <mergeCell ref="A35:A36"/>
    <mergeCell ref="B35:B36"/>
    <mergeCell ref="A25:A26"/>
    <mergeCell ref="B25:B26"/>
    <mergeCell ref="A27:A28"/>
    <mergeCell ref="B27:B28"/>
    <mergeCell ref="A29:A30"/>
    <mergeCell ref="B29:B30"/>
    <mergeCell ref="A19:A20"/>
    <mergeCell ref="B19:B20"/>
    <mergeCell ref="A21:A22"/>
    <mergeCell ref="B21:B22"/>
    <mergeCell ref="A23:A24"/>
    <mergeCell ref="B23:B24"/>
    <mergeCell ref="A13:A14"/>
    <mergeCell ref="B13:B14"/>
    <mergeCell ref="A15:A16"/>
    <mergeCell ref="B15:B16"/>
    <mergeCell ref="A17:A18"/>
    <mergeCell ref="B17:B18"/>
    <mergeCell ref="A7:A8"/>
    <mergeCell ref="B7:B8"/>
    <mergeCell ref="A9:A10"/>
    <mergeCell ref="B9:B10"/>
    <mergeCell ref="A11:A12"/>
    <mergeCell ref="B11:B12"/>
    <mergeCell ref="M3:M4"/>
    <mergeCell ref="O3:O4"/>
    <mergeCell ref="A5:A6"/>
    <mergeCell ref="B5:B6"/>
    <mergeCell ref="H3:H4"/>
    <mergeCell ref="I3:I4"/>
    <mergeCell ref="J3:J4"/>
    <mergeCell ref="K3:K4"/>
    <mergeCell ref="L3:L4"/>
    <mergeCell ref="A3:A4"/>
    <mergeCell ref="B3:B4"/>
    <mergeCell ref="D3:D4"/>
    <mergeCell ref="E3:E4"/>
    <mergeCell ref="F3:F4"/>
    <mergeCell ref="C3:C4"/>
    <mergeCell ref="C5:C6"/>
    <mergeCell ref="C7:C8"/>
    <mergeCell ref="G3:G4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2"/>
    <mergeCell ref="C343:C344"/>
    <mergeCell ref="C345:C346"/>
    <mergeCell ref="C347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87:C388"/>
    <mergeCell ref="C389:C390"/>
    <mergeCell ref="C391:C392"/>
    <mergeCell ref="C369:C370"/>
    <mergeCell ref="C371:C372"/>
    <mergeCell ref="C373:C374"/>
    <mergeCell ref="C375:C376"/>
    <mergeCell ref="C377:C378"/>
    <mergeCell ref="C379:C380"/>
    <mergeCell ref="C381:C382"/>
    <mergeCell ref="C383:C384"/>
    <mergeCell ref="C385:C386"/>
  </mergeCells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3"/>
  <sheetViews>
    <sheetView workbookViewId="0">
      <selection activeCell="D1" sqref="D1:D1048576"/>
    </sheetView>
  </sheetViews>
  <sheetFormatPr defaultRowHeight="18" x14ac:dyDescent="0.55000000000000004"/>
  <cols>
    <col min="1" max="1" width="8.6640625" style="59"/>
    <col min="2" max="2" width="12.75" style="59" bestFit="1" customWidth="1"/>
    <col min="3" max="3" width="18.5" style="59" bestFit="1" customWidth="1"/>
    <col min="4" max="4" width="13.25" style="63" customWidth="1"/>
    <col min="5" max="5" width="13.25" style="59" customWidth="1"/>
    <col min="6" max="6" width="11.5" style="59" bestFit="1" customWidth="1"/>
    <col min="7" max="16384" width="8.6640625" style="59"/>
  </cols>
  <sheetData>
    <row r="1" spans="2:6" x14ac:dyDescent="0.55000000000000004">
      <c r="D1" s="63" t="s">
        <v>1701</v>
      </c>
    </row>
    <row r="3" spans="2:6" x14ac:dyDescent="0.55000000000000004">
      <c r="D3" s="64" t="s">
        <v>1702</v>
      </c>
      <c r="E3" s="65" t="s">
        <v>1703</v>
      </c>
    </row>
    <row r="4" spans="2:6" x14ac:dyDescent="0.2">
      <c r="B4" s="30" t="s">
        <v>219</v>
      </c>
      <c r="C4" s="30" t="s">
        <v>2</v>
      </c>
      <c r="D4" s="64" t="s">
        <v>1704</v>
      </c>
      <c r="E4" s="64" t="s">
        <v>1705</v>
      </c>
    </row>
    <row r="5" spans="2:6" x14ac:dyDescent="0.2">
      <c r="B5" s="37">
        <v>1</v>
      </c>
      <c r="C5" s="37" t="s">
        <v>17</v>
      </c>
      <c r="D5" s="57">
        <v>321.14552438372152</v>
      </c>
      <c r="E5" s="58">
        <v>320</v>
      </c>
      <c r="F5" s="62"/>
    </row>
    <row r="6" spans="2:6" x14ac:dyDescent="0.2">
      <c r="B6" s="37">
        <v>2</v>
      </c>
      <c r="C6" s="37" t="s">
        <v>20</v>
      </c>
      <c r="D6" s="57">
        <v>510.48639000446229</v>
      </c>
      <c r="E6" s="58">
        <v>510</v>
      </c>
      <c r="F6" s="62"/>
    </row>
    <row r="7" spans="2:6" x14ac:dyDescent="0.2">
      <c r="B7" s="37">
        <v>3</v>
      </c>
      <c r="C7" s="37" t="s">
        <v>21</v>
      </c>
      <c r="D7" s="57">
        <v>280.83162349320338</v>
      </c>
      <c r="E7" s="58">
        <v>280</v>
      </c>
      <c r="F7" s="62"/>
    </row>
    <row r="8" spans="2:6" x14ac:dyDescent="0.2">
      <c r="B8" s="37">
        <v>4</v>
      </c>
      <c r="C8" s="37" t="s">
        <v>22</v>
      </c>
      <c r="D8" s="57">
        <v>352.15661308292215</v>
      </c>
      <c r="E8" s="58">
        <v>350</v>
      </c>
      <c r="F8" s="62"/>
    </row>
    <row r="9" spans="2:6" x14ac:dyDescent="0.2">
      <c r="B9" s="37">
        <v>5</v>
      </c>
      <c r="C9" s="37" t="s">
        <v>23</v>
      </c>
      <c r="D9" s="57">
        <v>2148.4375</v>
      </c>
      <c r="E9" s="58">
        <v>2150</v>
      </c>
      <c r="F9" s="62"/>
    </row>
    <row r="10" spans="2:6" x14ac:dyDescent="0.2">
      <c r="B10" s="37">
        <v>6</v>
      </c>
      <c r="C10" s="37" t="s">
        <v>24</v>
      </c>
      <c r="D10" s="57">
        <v>1852.6</v>
      </c>
      <c r="E10" s="58">
        <v>1850</v>
      </c>
      <c r="F10" s="62"/>
    </row>
    <row r="11" spans="2:6" x14ac:dyDescent="0.2">
      <c r="B11" s="37">
        <v>7</v>
      </c>
      <c r="C11" s="37" t="s">
        <v>25</v>
      </c>
      <c r="D11" s="57">
        <v>1215.2564664620782</v>
      </c>
      <c r="E11" s="58">
        <v>1220</v>
      </c>
      <c r="F11" s="62"/>
    </row>
    <row r="12" spans="2:6" x14ac:dyDescent="0.2">
      <c r="B12" s="37">
        <v>8</v>
      </c>
      <c r="C12" s="37" t="s">
        <v>26</v>
      </c>
      <c r="D12" s="57">
        <v>2249.1039426523298</v>
      </c>
      <c r="E12" s="58">
        <v>2250</v>
      </c>
      <c r="F12" s="62"/>
    </row>
    <row r="13" spans="2:6" x14ac:dyDescent="0.2">
      <c r="B13" s="37">
        <v>8</v>
      </c>
      <c r="C13" s="37" t="s">
        <v>26</v>
      </c>
      <c r="D13" s="57">
        <v>2249.1039426523298</v>
      </c>
      <c r="E13" s="58">
        <v>2250</v>
      </c>
      <c r="F13" s="62"/>
    </row>
    <row r="14" spans="2:6" x14ac:dyDescent="0.2">
      <c r="B14" s="37">
        <v>9</v>
      </c>
      <c r="C14" s="37" t="s">
        <v>27</v>
      </c>
      <c r="D14" s="57">
        <v>1106.6425120772947</v>
      </c>
      <c r="E14" s="58">
        <v>1110</v>
      </c>
      <c r="F14" s="62"/>
    </row>
    <row r="15" spans="2:6" x14ac:dyDescent="0.2">
      <c r="B15" s="37">
        <v>10</v>
      </c>
      <c r="C15" s="37" t="s">
        <v>28</v>
      </c>
      <c r="D15" s="57">
        <v>1088.1720430107528</v>
      </c>
      <c r="E15" s="58">
        <v>1090</v>
      </c>
      <c r="F15" s="62"/>
    </row>
    <row r="16" spans="2:6" x14ac:dyDescent="0.2">
      <c r="B16" s="37">
        <v>11</v>
      </c>
      <c r="C16" s="37" t="s">
        <v>29</v>
      </c>
      <c r="D16" s="57">
        <v>3806.4971751412431</v>
      </c>
      <c r="E16" s="58">
        <v>3810</v>
      </c>
      <c r="F16" s="62"/>
    </row>
    <row r="17" spans="2:6" x14ac:dyDescent="0.2">
      <c r="B17" s="37">
        <v>12</v>
      </c>
      <c r="C17" s="37" t="s">
        <v>30</v>
      </c>
      <c r="D17" s="57">
        <v>0</v>
      </c>
      <c r="E17" s="58">
        <v>0</v>
      </c>
      <c r="F17" s="62"/>
    </row>
    <row r="18" spans="2:6" x14ac:dyDescent="0.2">
      <c r="B18" s="37">
        <v>13</v>
      </c>
      <c r="C18" s="37" t="s">
        <v>31</v>
      </c>
      <c r="D18" s="57">
        <v>0</v>
      </c>
      <c r="E18" s="58">
        <v>0</v>
      </c>
      <c r="F18" s="62"/>
    </row>
    <row r="19" spans="2:6" x14ac:dyDescent="0.2">
      <c r="B19" s="37">
        <v>14</v>
      </c>
      <c r="C19" s="37" t="s">
        <v>32</v>
      </c>
      <c r="D19" s="57">
        <v>0</v>
      </c>
      <c r="E19" s="58">
        <v>0</v>
      </c>
      <c r="F19" s="62"/>
    </row>
    <row r="20" spans="2:6" x14ac:dyDescent="0.2">
      <c r="B20" s="37">
        <v>15</v>
      </c>
      <c r="C20" s="37" t="s">
        <v>225</v>
      </c>
      <c r="D20" s="57">
        <v>0</v>
      </c>
      <c r="E20" s="58">
        <v>0</v>
      </c>
      <c r="F20" s="62"/>
    </row>
    <row r="21" spans="2:6" x14ac:dyDescent="0.2">
      <c r="B21" s="37">
        <v>16</v>
      </c>
      <c r="C21" s="37" t="s">
        <v>34</v>
      </c>
      <c r="D21" s="57">
        <v>0</v>
      </c>
      <c r="E21" s="58">
        <v>0</v>
      </c>
      <c r="F21" s="62"/>
    </row>
    <row r="22" spans="2:6" x14ac:dyDescent="0.2">
      <c r="B22" s="37">
        <v>17</v>
      </c>
      <c r="C22" s="37" t="s">
        <v>35</v>
      </c>
      <c r="D22" s="57">
        <v>0</v>
      </c>
      <c r="E22" s="58">
        <v>0</v>
      </c>
      <c r="F22" s="62"/>
    </row>
    <row r="23" spans="2:6" x14ac:dyDescent="0.2">
      <c r="B23" s="37">
        <v>18</v>
      </c>
      <c r="C23" s="37" t="s">
        <v>36</v>
      </c>
      <c r="D23" s="57">
        <v>0</v>
      </c>
      <c r="E23" s="58">
        <v>0</v>
      </c>
      <c r="F23" s="62"/>
    </row>
    <row r="24" spans="2:6" x14ac:dyDescent="0.2">
      <c r="B24" s="37">
        <v>19</v>
      </c>
      <c r="C24" s="37" t="s">
        <v>37</v>
      </c>
      <c r="D24" s="57">
        <v>0</v>
      </c>
      <c r="E24" s="58">
        <v>0</v>
      </c>
      <c r="F24" s="62"/>
    </row>
    <row r="25" spans="2:6" x14ac:dyDescent="0.2">
      <c r="B25" s="37">
        <v>20</v>
      </c>
      <c r="C25" s="37" t="s">
        <v>38</v>
      </c>
      <c r="D25" s="57">
        <v>0</v>
      </c>
      <c r="E25" s="58">
        <v>0</v>
      </c>
      <c r="F25" s="62"/>
    </row>
    <row r="26" spans="2:6" x14ac:dyDescent="0.2">
      <c r="B26" s="37">
        <v>21</v>
      </c>
      <c r="C26" s="37" t="s">
        <v>39</v>
      </c>
      <c r="D26" s="57">
        <v>0</v>
      </c>
      <c r="E26" s="58">
        <v>0</v>
      </c>
      <c r="F26" s="62"/>
    </row>
    <row r="27" spans="2:6" x14ac:dyDescent="0.2">
      <c r="B27" s="37">
        <v>22</v>
      </c>
      <c r="C27" s="37" t="s">
        <v>40</v>
      </c>
      <c r="D27" s="57">
        <v>0</v>
      </c>
      <c r="E27" s="58">
        <v>0</v>
      </c>
      <c r="F27" s="62"/>
    </row>
    <row r="28" spans="2:6" x14ac:dyDescent="0.2">
      <c r="B28" s="37">
        <v>23</v>
      </c>
      <c r="C28" s="37" t="s">
        <v>41</v>
      </c>
      <c r="D28" s="57">
        <v>0</v>
      </c>
      <c r="E28" s="58">
        <v>0</v>
      </c>
      <c r="F28" s="62"/>
    </row>
    <row r="29" spans="2:6" x14ac:dyDescent="0.2">
      <c r="B29" s="37">
        <v>24</v>
      </c>
      <c r="C29" s="37" t="s">
        <v>42</v>
      </c>
      <c r="D29" s="57">
        <v>429.39297124600637</v>
      </c>
      <c r="E29" s="58">
        <v>430</v>
      </c>
      <c r="F29" s="62"/>
    </row>
    <row r="30" spans="2:6" x14ac:dyDescent="0.2">
      <c r="B30" s="37">
        <v>25</v>
      </c>
      <c r="C30" s="37" t="s">
        <v>226</v>
      </c>
      <c r="D30" s="57">
        <v>4.9713193116634802</v>
      </c>
      <c r="E30" s="58">
        <v>0</v>
      </c>
      <c r="F30" s="62"/>
    </row>
    <row r="31" spans="2:6" x14ac:dyDescent="0.2">
      <c r="B31" s="37">
        <v>26</v>
      </c>
      <c r="C31" s="37" t="s">
        <v>227</v>
      </c>
      <c r="D31" s="57">
        <v>245.31246376811595</v>
      </c>
      <c r="E31" s="58">
        <v>250</v>
      </c>
      <c r="F31" s="62"/>
    </row>
    <row r="32" spans="2:6" x14ac:dyDescent="0.2">
      <c r="B32" s="37">
        <v>27</v>
      </c>
      <c r="C32" s="37" t="s">
        <v>45</v>
      </c>
      <c r="D32" s="57">
        <v>3058.5711620966235</v>
      </c>
      <c r="E32" s="58">
        <v>3060</v>
      </c>
      <c r="F32" s="62"/>
    </row>
    <row r="33" spans="2:6" x14ac:dyDescent="0.2">
      <c r="B33" s="37">
        <v>28</v>
      </c>
      <c r="C33" s="37" t="s">
        <v>46</v>
      </c>
      <c r="D33" s="57">
        <v>614.4200626959248</v>
      </c>
      <c r="E33" s="58">
        <v>610</v>
      </c>
      <c r="F33" s="62"/>
    </row>
    <row r="34" spans="2:6" x14ac:dyDescent="0.2">
      <c r="B34" s="37">
        <v>29</v>
      </c>
      <c r="C34" s="37" t="s">
        <v>47</v>
      </c>
      <c r="D34" s="57">
        <v>1826.9230769230769</v>
      </c>
      <c r="E34" s="58">
        <v>1830</v>
      </c>
      <c r="F34" s="62"/>
    </row>
    <row r="35" spans="2:6" x14ac:dyDescent="0.2">
      <c r="B35" s="37">
        <v>30</v>
      </c>
      <c r="C35" s="37" t="s">
        <v>48</v>
      </c>
      <c r="D35" s="57">
        <v>459</v>
      </c>
      <c r="E35" s="58">
        <v>460</v>
      </c>
      <c r="F35" s="62"/>
    </row>
    <row r="36" spans="2:6" x14ac:dyDescent="0.2">
      <c r="B36" s="37">
        <v>31</v>
      </c>
      <c r="C36" s="37" t="s">
        <v>49</v>
      </c>
      <c r="D36" s="57">
        <v>638</v>
      </c>
      <c r="E36" s="58">
        <v>640</v>
      </c>
      <c r="F36" s="62"/>
    </row>
    <row r="37" spans="2:6" x14ac:dyDescent="0.2">
      <c r="B37" s="37">
        <v>32</v>
      </c>
      <c r="C37" s="37" t="s">
        <v>50</v>
      </c>
      <c r="D37" s="57">
        <v>459</v>
      </c>
      <c r="E37" s="58">
        <v>460</v>
      </c>
      <c r="F37" s="62"/>
    </row>
    <row r="38" spans="2:6" x14ac:dyDescent="0.2">
      <c r="B38" s="37">
        <v>33</v>
      </c>
      <c r="C38" s="37" t="s">
        <v>51</v>
      </c>
      <c r="D38" s="57">
        <v>2040</v>
      </c>
      <c r="E38" s="58">
        <v>2040</v>
      </c>
      <c r="F38" s="62"/>
    </row>
    <row r="39" spans="2:6" x14ac:dyDescent="0.2">
      <c r="B39" s="37">
        <v>34</v>
      </c>
      <c r="C39" s="37" t="s">
        <v>52</v>
      </c>
      <c r="D39" s="57">
        <v>0</v>
      </c>
      <c r="E39" s="58">
        <v>0</v>
      </c>
      <c r="F39" s="62"/>
    </row>
    <row r="40" spans="2:6" x14ac:dyDescent="0.2">
      <c r="B40" s="37">
        <v>35</v>
      </c>
      <c r="C40" s="37" t="s">
        <v>53</v>
      </c>
      <c r="D40" s="57">
        <v>290</v>
      </c>
      <c r="E40" s="58">
        <v>290</v>
      </c>
      <c r="F40" s="62"/>
    </row>
    <row r="41" spans="2:6" x14ac:dyDescent="0.2">
      <c r="B41" s="37">
        <v>36</v>
      </c>
      <c r="C41" s="37" t="s">
        <v>54</v>
      </c>
      <c r="D41" s="57">
        <v>2160</v>
      </c>
      <c r="E41" s="58">
        <v>2160</v>
      </c>
      <c r="F41" s="62"/>
    </row>
    <row r="42" spans="2:6" x14ac:dyDescent="0.2">
      <c r="B42" s="37">
        <v>37</v>
      </c>
      <c r="C42" s="37" t="s">
        <v>55</v>
      </c>
      <c r="D42" s="57">
        <v>250</v>
      </c>
      <c r="E42" s="58">
        <v>250</v>
      </c>
      <c r="F42" s="62"/>
    </row>
    <row r="43" spans="2:6" x14ac:dyDescent="0.2">
      <c r="B43" s="37">
        <v>38</v>
      </c>
      <c r="C43" s="37" t="s">
        <v>56</v>
      </c>
      <c r="D43" s="57">
        <v>400</v>
      </c>
      <c r="E43" s="58">
        <v>400</v>
      </c>
      <c r="F43" s="62"/>
    </row>
    <row r="44" spans="2:6" x14ac:dyDescent="0.2">
      <c r="B44" s="37">
        <v>39</v>
      </c>
      <c r="C44" s="37" t="s">
        <v>57</v>
      </c>
      <c r="D44" s="57">
        <v>1034.6666666666667</v>
      </c>
      <c r="E44" s="58">
        <v>1030</v>
      </c>
      <c r="F44" s="62"/>
    </row>
    <row r="45" spans="2:6" x14ac:dyDescent="0.2">
      <c r="B45" s="37">
        <v>40</v>
      </c>
      <c r="C45" s="37" t="s">
        <v>58</v>
      </c>
      <c r="D45" s="57">
        <v>987.52380952380952</v>
      </c>
      <c r="E45" s="58">
        <v>990</v>
      </c>
      <c r="F45" s="62"/>
    </row>
    <row r="46" spans="2:6" x14ac:dyDescent="0.2">
      <c r="B46" s="37">
        <v>41</v>
      </c>
      <c r="C46" s="37" t="s">
        <v>59</v>
      </c>
      <c r="D46" s="57">
        <v>3700</v>
      </c>
      <c r="E46" s="58">
        <v>3700</v>
      </c>
      <c r="F46" s="62"/>
    </row>
    <row r="47" spans="2:6" x14ac:dyDescent="0.2">
      <c r="B47" s="37">
        <v>42</v>
      </c>
      <c r="C47" s="37" t="s">
        <v>60</v>
      </c>
      <c r="D47" s="57">
        <v>4200</v>
      </c>
      <c r="E47" s="58">
        <v>4200</v>
      </c>
      <c r="F47" s="62"/>
    </row>
    <row r="48" spans="2:6" x14ac:dyDescent="0.2">
      <c r="B48" s="37">
        <v>43</v>
      </c>
      <c r="C48" s="37" t="s">
        <v>61</v>
      </c>
      <c r="D48" s="57">
        <v>4129.6208530805688</v>
      </c>
      <c r="E48" s="58">
        <v>4130</v>
      </c>
      <c r="F48" s="62"/>
    </row>
    <row r="49" spans="2:6" x14ac:dyDescent="0.2">
      <c r="B49" s="37">
        <v>44</v>
      </c>
      <c r="C49" s="37" t="s">
        <v>228</v>
      </c>
      <c r="D49" s="57">
        <v>8445</v>
      </c>
      <c r="E49" s="58">
        <v>8450</v>
      </c>
      <c r="F49" s="62"/>
    </row>
    <row r="50" spans="2:6" x14ac:dyDescent="0.2">
      <c r="B50" s="37">
        <v>45</v>
      </c>
      <c r="C50" s="37" t="s">
        <v>63</v>
      </c>
      <c r="D50" s="57">
        <v>21300</v>
      </c>
      <c r="E50" s="58">
        <v>21300</v>
      </c>
      <c r="F50" s="62"/>
    </row>
    <row r="51" spans="2:6" x14ac:dyDescent="0.2">
      <c r="B51" s="37">
        <v>46</v>
      </c>
      <c r="C51" s="37" t="s">
        <v>64</v>
      </c>
      <c r="D51" s="57">
        <v>494.61206896551727</v>
      </c>
      <c r="E51" s="58">
        <v>490</v>
      </c>
      <c r="F51" s="62"/>
    </row>
    <row r="52" spans="2:6" x14ac:dyDescent="0.2">
      <c r="B52" s="37">
        <v>47</v>
      </c>
      <c r="C52" s="37" t="s">
        <v>65</v>
      </c>
      <c r="D52" s="57">
        <v>1666.6666666666667</v>
      </c>
      <c r="E52" s="58">
        <v>1670</v>
      </c>
      <c r="F52" s="62"/>
    </row>
    <row r="53" spans="2:6" x14ac:dyDescent="0.2">
      <c r="B53" s="37">
        <v>48</v>
      </c>
      <c r="C53" s="37" t="s">
        <v>66</v>
      </c>
      <c r="D53" s="57">
        <v>786.43724696356276</v>
      </c>
      <c r="E53" s="58">
        <v>790</v>
      </c>
      <c r="F53" s="62"/>
    </row>
    <row r="54" spans="2:6" x14ac:dyDescent="0.2">
      <c r="B54" s="37">
        <v>49</v>
      </c>
      <c r="C54" s="37" t="s">
        <v>1706</v>
      </c>
      <c r="D54" s="57">
        <v>0</v>
      </c>
      <c r="E54" s="58">
        <v>0</v>
      </c>
      <c r="F54" s="62"/>
    </row>
    <row r="55" spans="2:6" x14ac:dyDescent="0.2">
      <c r="B55" s="37">
        <v>50</v>
      </c>
      <c r="C55" s="37" t="s">
        <v>1711</v>
      </c>
      <c r="D55" s="57">
        <v>0</v>
      </c>
      <c r="E55" s="58">
        <v>0</v>
      </c>
      <c r="F55" s="62"/>
    </row>
    <row r="56" spans="2:6" x14ac:dyDescent="0.2">
      <c r="B56" s="37">
        <v>51</v>
      </c>
      <c r="C56" s="37" t="s">
        <v>70</v>
      </c>
      <c r="D56" s="57">
        <v>2726.6928833967336</v>
      </c>
      <c r="E56" s="58">
        <v>2730</v>
      </c>
      <c r="F56" s="62"/>
    </row>
    <row r="57" spans="2:6" x14ac:dyDescent="0.2">
      <c r="B57" s="37">
        <v>52</v>
      </c>
      <c r="C57" s="37" t="s">
        <v>933</v>
      </c>
      <c r="D57" s="57">
        <v>12000</v>
      </c>
      <c r="E57" s="58">
        <v>12000</v>
      </c>
      <c r="F57" s="62"/>
    </row>
    <row r="58" spans="2:6" x14ac:dyDescent="0.2">
      <c r="B58" s="37">
        <v>53</v>
      </c>
      <c r="C58" s="37" t="s">
        <v>229</v>
      </c>
      <c r="D58" s="57">
        <v>395.87628865979383</v>
      </c>
      <c r="E58" s="58">
        <v>400</v>
      </c>
      <c r="F58" s="62"/>
    </row>
    <row r="59" spans="2:6" x14ac:dyDescent="0.2">
      <c r="B59" s="37">
        <v>54</v>
      </c>
      <c r="C59" s="37" t="s">
        <v>940</v>
      </c>
      <c r="D59" s="57">
        <v>0</v>
      </c>
      <c r="E59" s="58">
        <v>0</v>
      </c>
      <c r="F59" s="62"/>
    </row>
    <row r="60" spans="2:6" x14ac:dyDescent="0.2">
      <c r="B60" s="37">
        <v>55</v>
      </c>
      <c r="C60" s="37" t="s">
        <v>230</v>
      </c>
      <c r="D60" s="57">
        <v>514.72127856701661</v>
      </c>
      <c r="E60" s="58">
        <v>510</v>
      </c>
      <c r="F60" s="62"/>
    </row>
    <row r="61" spans="2:6" x14ac:dyDescent="0.2">
      <c r="B61" s="37">
        <v>56</v>
      </c>
      <c r="C61" s="37" t="s">
        <v>231</v>
      </c>
      <c r="D61" s="57">
        <v>3800</v>
      </c>
      <c r="E61" s="58">
        <v>3800</v>
      </c>
      <c r="F61" s="62"/>
    </row>
    <row r="62" spans="2:6" x14ac:dyDescent="0.2">
      <c r="B62" s="37">
        <v>57</v>
      </c>
      <c r="C62" s="37" t="s">
        <v>232</v>
      </c>
      <c r="D62" s="57">
        <v>2194.5149378986234</v>
      </c>
      <c r="E62" s="58">
        <v>2190</v>
      </c>
      <c r="F62" s="62"/>
    </row>
    <row r="63" spans="2:6" x14ac:dyDescent="0.2">
      <c r="B63" s="37">
        <v>58</v>
      </c>
      <c r="C63" s="37" t="s">
        <v>1712</v>
      </c>
      <c r="D63" s="57">
        <v>0</v>
      </c>
      <c r="E63" s="58">
        <v>0</v>
      </c>
      <c r="F63" s="62"/>
    </row>
    <row r="64" spans="2:6" x14ac:dyDescent="0.2">
      <c r="B64" s="37">
        <v>59</v>
      </c>
      <c r="C64" s="37" t="s">
        <v>1713</v>
      </c>
      <c r="D64" s="57">
        <v>0</v>
      </c>
      <c r="E64" s="58">
        <v>0</v>
      </c>
      <c r="F64" s="62"/>
    </row>
    <row r="65" spans="2:6" x14ac:dyDescent="0.2">
      <c r="B65" s="37">
        <v>60</v>
      </c>
      <c r="C65" s="37" t="s">
        <v>1714</v>
      </c>
      <c r="D65" s="57">
        <v>0</v>
      </c>
      <c r="E65" s="58">
        <v>0</v>
      </c>
      <c r="F65" s="62"/>
    </row>
    <row r="66" spans="2:6" x14ac:dyDescent="0.2">
      <c r="B66" s="37">
        <v>61</v>
      </c>
      <c r="C66" s="37" t="s">
        <v>233</v>
      </c>
      <c r="D66" s="57">
        <v>250.66666666666666</v>
      </c>
      <c r="E66" s="58">
        <v>250</v>
      </c>
      <c r="F66" s="62"/>
    </row>
    <row r="67" spans="2:6" x14ac:dyDescent="0.2">
      <c r="B67" s="37">
        <v>96</v>
      </c>
      <c r="C67" s="37" t="s">
        <v>234</v>
      </c>
      <c r="D67" s="57">
        <v>3558.3941605839418</v>
      </c>
      <c r="E67" s="58">
        <v>3560</v>
      </c>
      <c r="F67" s="62"/>
    </row>
    <row r="68" spans="2:6" x14ac:dyDescent="0.2">
      <c r="B68" s="37">
        <v>97</v>
      </c>
      <c r="C68" s="37" t="s">
        <v>235</v>
      </c>
      <c r="D68" s="57">
        <v>3486.5900383141761</v>
      </c>
      <c r="E68" s="58">
        <v>3490</v>
      </c>
      <c r="F68" s="62"/>
    </row>
    <row r="69" spans="2:6" x14ac:dyDescent="0.2">
      <c r="B69" s="37">
        <v>98</v>
      </c>
      <c r="C69" s="37" t="s">
        <v>236</v>
      </c>
      <c r="D69" s="57">
        <v>326.38036809815952</v>
      </c>
      <c r="E69" s="58">
        <v>330</v>
      </c>
      <c r="F69" s="62"/>
    </row>
    <row r="70" spans="2:6" x14ac:dyDescent="0.2">
      <c r="B70" s="37">
        <v>99</v>
      </c>
      <c r="C70" s="37" t="s">
        <v>237</v>
      </c>
      <c r="D70" s="57">
        <v>686.27450980392155</v>
      </c>
      <c r="E70" s="58">
        <v>690</v>
      </c>
      <c r="F70" s="62"/>
    </row>
    <row r="71" spans="2:6" x14ac:dyDescent="0.2">
      <c r="B71" s="37">
        <v>200</v>
      </c>
      <c r="C71" s="37" t="s">
        <v>238</v>
      </c>
      <c r="D71" s="57">
        <v>575</v>
      </c>
      <c r="E71" s="58">
        <v>580</v>
      </c>
      <c r="F71" s="62"/>
    </row>
    <row r="72" spans="2:6" x14ac:dyDescent="0.2">
      <c r="B72" s="37">
        <v>201</v>
      </c>
      <c r="C72" s="37" t="s">
        <v>120</v>
      </c>
      <c r="D72" s="57">
        <v>358.82565429395959</v>
      </c>
      <c r="E72" s="58">
        <v>360</v>
      </c>
      <c r="F72" s="62"/>
    </row>
    <row r="73" spans="2:6" x14ac:dyDescent="0.2">
      <c r="B73" s="37">
        <v>202</v>
      </c>
      <c r="C73" s="37" t="s">
        <v>121</v>
      </c>
      <c r="D73" s="57">
        <v>398.59602649006621</v>
      </c>
      <c r="E73" s="58">
        <v>400</v>
      </c>
      <c r="F73" s="62"/>
    </row>
    <row r="74" spans="2:6" x14ac:dyDescent="0.2">
      <c r="B74" s="37">
        <v>203</v>
      </c>
      <c r="C74" s="37" t="s">
        <v>122</v>
      </c>
      <c r="D74" s="57">
        <v>223.24916943521595</v>
      </c>
      <c r="E74" s="58">
        <v>220</v>
      </c>
      <c r="F74" s="62"/>
    </row>
    <row r="75" spans="2:6" x14ac:dyDescent="0.2">
      <c r="B75" s="37">
        <v>204</v>
      </c>
      <c r="C75" s="37" t="s">
        <v>123</v>
      </c>
      <c r="D75" s="57">
        <v>1989.795918367347</v>
      </c>
      <c r="E75" s="58">
        <v>1990</v>
      </c>
      <c r="F75" s="62"/>
    </row>
    <row r="76" spans="2:6" x14ac:dyDescent="0.2">
      <c r="B76" s="37">
        <v>205</v>
      </c>
      <c r="C76" s="37" t="s">
        <v>124</v>
      </c>
      <c r="D76" s="57">
        <v>274.2</v>
      </c>
      <c r="E76" s="58">
        <v>270</v>
      </c>
      <c r="F76" s="62"/>
    </row>
    <row r="77" spans="2:6" x14ac:dyDescent="0.2">
      <c r="B77" s="37">
        <v>206</v>
      </c>
      <c r="C77" s="37" t="s">
        <v>125</v>
      </c>
      <c r="D77" s="57">
        <v>613.98113207547169</v>
      </c>
      <c r="E77" s="58">
        <v>610</v>
      </c>
      <c r="F77" s="62"/>
    </row>
    <row r="78" spans="2:6" x14ac:dyDescent="0.2">
      <c r="B78" s="37">
        <v>207</v>
      </c>
      <c r="C78" s="37" t="s">
        <v>126</v>
      </c>
      <c r="D78" s="57">
        <v>9200</v>
      </c>
      <c r="E78" s="58">
        <v>9200</v>
      </c>
      <c r="F78" s="62"/>
    </row>
    <row r="79" spans="2:6" x14ac:dyDescent="0.2">
      <c r="B79" s="37">
        <v>301</v>
      </c>
      <c r="C79" s="37" t="s">
        <v>132</v>
      </c>
      <c r="D79" s="57">
        <v>40000</v>
      </c>
      <c r="E79" s="58">
        <v>40000</v>
      </c>
      <c r="F79" s="62"/>
    </row>
    <row r="80" spans="2:6" x14ac:dyDescent="0.2">
      <c r="B80" s="37">
        <v>302</v>
      </c>
      <c r="C80" s="60" t="s">
        <v>133</v>
      </c>
      <c r="D80" s="57">
        <v>50000</v>
      </c>
      <c r="E80" s="57">
        <v>50000</v>
      </c>
      <c r="F80" s="62"/>
    </row>
    <row r="81" spans="1:6" x14ac:dyDescent="0.2">
      <c r="B81" s="37">
        <v>305</v>
      </c>
      <c r="C81" s="37" t="s">
        <v>1371</v>
      </c>
      <c r="D81" s="57">
        <v>158000</v>
      </c>
      <c r="E81" s="58">
        <v>158000</v>
      </c>
      <c r="F81" s="62"/>
    </row>
    <row r="82" spans="1:6" x14ac:dyDescent="0.2">
      <c r="B82" s="37">
        <v>312</v>
      </c>
      <c r="C82" s="37" t="s">
        <v>144</v>
      </c>
      <c r="D82" s="57">
        <v>3800</v>
      </c>
      <c r="E82" s="58">
        <v>3800</v>
      </c>
      <c r="F82" s="62"/>
    </row>
    <row r="83" spans="1:6" x14ac:dyDescent="0.2">
      <c r="B83" s="37">
        <v>317</v>
      </c>
      <c r="C83" s="37" t="s">
        <v>149</v>
      </c>
      <c r="D83" s="57">
        <v>23000</v>
      </c>
      <c r="E83" s="58">
        <v>23000</v>
      </c>
      <c r="F83" s="62"/>
    </row>
    <row r="84" spans="1:6" x14ac:dyDescent="0.2">
      <c r="B84" s="37">
        <v>318</v>
      </c>
      <c r="C84" s="37" t="s">
        <v>150</v>
      </c>
      <c r="D84" s="57">
        <v>0</v>
      </c>
      <c r="E84" s="58">
        <v>0</v>
      </c>
      <c r="F84" s="62"/>
    </row>
    <row r="85" spans="1:6" x14ac:dyDescent="0.2">
      <c r="B85" s="37">
        <v>325</v>
      </c>
      <c r="C85" s="37" t="s">
        <v>240</v>
      </c>
      <c r="D85" s="57">
        <v>50000</v>
      </c>
      <c r="E85" s="58">
        <v>50000</v>
      </c>
      <c r="F85" s="62"/>
    </row>
    <row r="86" spans="1:6" x14ac:dyDescent="0.2">
      <c r="B86" s="37">
        <v>327</v>
      </c>
      <c r="C86" s="37" t="s">
        <v>241</v>
      </c>
      <c r="D86" s="57">
        <v>120000</v>
      </c>
      <c r="E86" s="58">
        <v>120000</v>
      </c>
      <c r="F86" s="62"/>
    </row>
    <row r="87" spans="1:6" x14ac:dyDescent="0.2">
      <c r="B87" s="37">
        <v>333</v>
      </c>
      <c r="C87" s="37" t="s">
        <v>242</v>
      </c>
      <c r="D87" s="57">
        <v>0</v>
      </c>
      <c r="E87" s="58">
        <v>0</v>
      </c>
      <c r="F87" s="62"/>
    </row>
    <row r="88" spans="1:6" x14ac:dyDescent="0.55000000000000004">
      <c r="B88" s="60">
        <v>336</v>
      </c>
      <c r="C88" s="61" t="s">
        <v>243</v>
      </c>
      <c r="D88" s="58">
        <v>0</v>
      </c>
      <c r="E88" s="58">
        <v>0</v>
      </c>
      <c r="F88" s="62"/>
    </row>
    <row r="89" spans="1:6" x14ac:dyDescent="0.2">
      <c r="B89" s="37">
        <v>337</v>
      </c>
      <c r="C89" s="37" t="s">
        <v>1530</v>
      </c>
      <c r="D89" s="57">
        <v>47000.000000000007</v>
      </c>
      <c r="E89" s="58">
        <v>47000.000000000007</v>
      </c>
      <c r="F89" s="62"/>
    </row>
    <row r="90" spans="1:6" customFormat="1" x14ac:dyDescent="0.55000000000000004">
      <c r="A90" s="59"/>
      <c r="B90" s="60">
        <v>338</v>
      </c>
      <c r="C90" s="61" t="s">
        <v>375</v>
      </c>
      <c r="D90" s="62">
        <v>14413.40782122905</v>
      </c>
      <c r="E90" s="58">
        <v>14410</v>
      </c>
      <c r="F90" s="62"/>
    </row>
    <row r="91" spans="1:6" x14ac:dyDescent="0.2">
      <c r="B91" s="37">
        <v>341</v>
      </c>
      <c r="C91" s="37" t="s">
        <v>410</v>
      </c>
      <c r="D91" s="57">
        <v>308.97364599350755</v>
      </c>
      <c r="E91" s="58">
        <v>310</v>
      </c>
      <c r="F91" s="62"/>
    </row>
    <row r="92" spans="1:6" x14ac:dyDescent="0.2">
      <c r="B92" s="37">
        <v>345</v>
      </c>
      <c r="C92" s="37" t="s">
        <v>244</v>
      </c>
      <c r="D92" s="57">
        <v>1360</v>
      </c>
      <c r="E92" s="58">
        <v>1360</v>
      </c>
      <c r="F92" s="62"/>
    </row>
    <row r="93" spans="1:6" customFormat="1" x14ac:dyDescent="0.55000000000000004">
      <c r="A93" s="59"/>
      <c r="B93" s="60">
        <v>346</v>
      </c>
      <c r="C93" s="61" t="s">
        <v>245</v>
      </c>
      <c r="D93" s="62">
        <v>0</v>
      </c>
      <c r="E93" s="58">
        <v>0</v>
      </c>
      <c r="F93" s="62"/>
    </row>
    <row r="94" spans="1:6" customFormat="1" x14ac:dyDescent="0.55000000000000004">
      <c r="A94" s="59"/>
      <c r="B94" s="60">
        <v>347</v>
      </c>
      <c r="C94" s="61" t="s">
        <v>180</v>
      </c>
      <c r="D94" s="62">
        <v>10802.46913580247</v>
      </c>
      <c r="E94" s="58">
        <v>10800</v>
      </c>
      <c r="F94" s="62"/>
    </row>
    <row r="95" spans="1:6" x14ac:dyDescent="0.2">
      <c r="B95" s="37">
        <v>348</v>
      </c>
      <c r="C95" s="37" t="s">
        <v>181</v>
      </c>
      <c r="D95" s="57">
        <v>2495.5000000000005</v>
      </c>
      <c r="E95" s="58">
        <v>2500</v>
      </c>
      <c r="F95" s="62"/>
    </row>
    <row r="96" spans="1:6" x14ac:dyDescent="0.2">
      <c r="B96" s="37">
        <v>352</v>
      </c>
      <c r="C96" s="37" t="s">
        <v>185</v>
      </c>
      <c r="D96" s="57">
        <v>9500</v>
      </c>
      <c r="E96" s="58">
        <v>9500</v>
      </c>
      <c r="F96" s="62"/>
    </row>
    <row r="97" spans="2:6" x14ac:dyDescent="0.2">
      <c r="B97" s="37">
        <v>353</v>
      </c>
      <c r="C97" s="37" t="s">
        <v>246</v>
      </c>
      <c r="D97" s="57">
        <v>13200</v>
      </c>
      <c r="E97" s="58">
        <v>13200</v>
      </c>
      <c r="F97" s="62"/>
    </row>
    <row r="98" spans="2:6" x14ac:dyDescent="0.2">
      <c r="B98" s="37">
        <v>916</v>
      </c>
      <c r="C98" s="37" t="s">
        <v>247</v>
      </c>
      <c r="D98" s="57">
        <v>450</v>
      </c>
      <c r="E98" s="58">
        <v>450</v>
      </c>
      <c r="F98" s="62"/>
    </row>
    <row r="99" spans="2:6" x14ac:dyDescent="0.2">
      <c r="B99" s="37">
        <v>917</v>
      </c>
      <c r="C99" s="37" t="s">
        <v>290</v>
      </c>
      <c r="D99" s="57">
        <v>0</v>
      </c>
      <c r="E99" s="58">
        <v>0</v>
      </c>
      <c r="F99" s="62"/>
    </row>
    <row r="100" spans="2:6" x14ac:dyDescent="0.2">
      <c r="B100" s="37">
        <v>920</v>
      </c>
      <c r="C100" s="37" t="s">
        <v>207</v>
      </c>
      <c r="D100" s="57">
        <v>686.86868686868684</v>
      </c>
      <c r="E100" s="58">
        <v>690</v>
      </c>
      <c r="F100" s="62"/>
    </row>
    <row r="101" spans="2:6" x14ac:dyDescent="0.2">
      <c r="B101" s="37">
        <v>921</v>
      </c>
      <c r="C101" s="37" t="s">
        <v>208</v>
      </c>
      <c r="D101" s="57">
        <v>2700</v>
      </c>
      <c r="E101" s="58">
        <v>2700</v>
      </c>
      <c r="F101" s="62"/>
    </row>
    <row r="102" spans="2:6" x14ac:dyDescent="0.2">
      <c r="B102" s="37">
        <v>922</v>
      </c>
      <c r="C102" s="37" t="s">
        <v>209</v>
      </c>
      <c r="D102" s="57">
        <v>3400</v>
      </c>
      <c r="E102" s="58">
        <v>3400</v>
      </c>
      <c r="F102" s="62"/>
    </row>
    <row r="103" spans="2:6" x14ac:dyDescent="0.2">
      <c r="B103" s="37">
        <v>923</v>
      </c>
      <c r="C103" s="37" t="s">
        <v>248</v>
      </c>
      <c r="D103" s="57">
        <v>0</v>
      </c>
      <c r="E103" s="58">
        <v>0</v>
      </c>
      <c r="F103" s="62"/>
    </row>
    <row r="104" spans="2:6" x14ac:dyDescent="0.2">
      <c r="B104" s="37">
        <v>924</v>
      </c>
      <c r="C104" s="37" t="s">
        <v>249</v>
      </c>
      <c r="D104" s="57">
        <v>800</v>
      </c>
      <c r="E104" s="58">
        <v>800</v>
      </c>
      <c r="F104" s="62"/>
    </row>
    <row r="105" spans="2:6" x14ac:dyDescent="0.2">
      <c r="B105" s="37">
        <v>925</v>
      </c>
      <c r="C105" s="37" t="s">
        <v>250</v>
      </c>
      <c r="D105" s="57">
        <v>395.45454545454544</v>
      </c>
      <c r="E105" s="58">
        <v>400</v>
      </c>
      <c r="F105" s="62"/>
    </row>
    <row r="106" spans="2:6" x14ac:dyDescent="0.2">
      <c r="B106" s="37">
        <v>926</v>
      </c>
      <c r="C106" s="37" t="s">
        <v>251</v>
      </c>
      <c r="D106" s="57">
        <v>435</v>
      </c>
      <c r="E106" s="58">
        <v>440</v>
      </c>
      <c r="F106" s="62"/>
    </row>
    <row r="107" spans="2:6" x14ac:dyDescent="0.2">
      <c r="B107" s="33">
        <v>927</v>
      </c>
      <c r="C107" s="33" t="s">
        <v>252</v>
      </c>
      <c r="D107" s="63">
        <v>0</v>
      </c>
      <c r="E107" s="59">
        <v>0</v>
      </c>
      <c r="F107" s="62"/>
    </row>
    <row r="108" spans="2:6" x14ac:dyDescent="0.2">
      <c r="B108" s="33"/>
      <c r="C108" s="33"/>
    </row>
    <row r="109" spans="2:6" x14ac:dyDescent="0.2">
      <c r="B109" s="33"/>
      <c r="C109" s="33"/>
    </row>
    <row r="110" spans="2:6" x14ac:dyDescent="0.2">
      <c r="B110" s="33"/>
      <c r="C110" s="33"/>
    </row>
    <row r="111" spans="2:6" x14ac:dyDescent="0.2">
      <c r="B111" s="33"/>
      <c r="C111" s="33"/>
    </row>
    <row r="112" spans="2:6" x14ac:dyDescent="0.2">
      <c r="B112" s="33"/>
      <c r="C112" s="33"/>
    </row>
    <row r="113" spans="2:5" x14ac:dyDescent="0.2">
      <c r="B113" s="33"/>
      <c r="C113" s="33"/>
    </row>
    <row r="114" spans="2:5" x14ac:dyDescent="0.2">
      <c r="B114" s="33"/>
      <c r="C114" s="33"/>
    </row>
    <row r="115" spans="2:5" x14ac:dyDescent="0.2">
      <c r="B115" s="33"/>
      <c r="C115" s="33"/>
    </row>
    <row r="116" spans="2:5" x14ac:dyDescent="0.2">
      <c r="B116" s="33"/>
      <c r="C116" s="33"/>
    </row>
    <row r="117" spans="2:5" s="63" customFormat="1" x14ac:dyDescent="0.2">
      <c r="B117" s="33"/>
      <c r="C117" s="33"/>
      <c r="E117" s="59"/>
    </row>
    <row r="118" spans="2:5" s="63" customFormat="1" x14ac:dyDescent="0.2">
      <c r="B118" s="33"/>
      <c r="C118" s="33"/>
      <c r="E118" s="59"/>
    </row>
    <row r="119" spans="2:5" s="63" customFormat="1" x14ac:dyDescent="0.2">
      <c r="B119" s="33"/>
      <c r="C119" s="33"/>
      <c r="E119" s="59"/>
    </row>
    <row r="120" spans="2:5" s="63" customFormat="1" x14ac:dyDescent="0.2">
      <c r="B120" s="33"/>
      <c r="C120" s="33"/>
      <c r="E120" s="59"/>
    </row>
    <row r="121" spans="2:5" s="63" customFormat="1" x14ac:dyDescent="0.2">
      <c r="B121" s="33"/>
      <c r="C121" s="33"/>
      <c r="E121" s="59"/>
    </row>
    <row r="122" spans="2:5" s="63" customFormat="1" x14ac:dyDescent="0.2">
      <c r="B122" s="33"/>
      <c r="C122" s="33"/>
      <c r="E122" s="59"/>
    </row>
    <row r="123" spans="2:5" s="63" customFormat="1" x14ac:dyDescent="0.2">
      <c r="B123" s="33"/>
      <c r="C123" s="33"/>
      <c r="E123" s="59"/>
    </row>
    <row r="124" spans="2:5" s="63" customFormat="1" x14ac:dyDescent="0.2">
      <c r="B124" s="33"/>
      <c r="C124" s="33"/>
      <c r="E124" s="59"/>
    </row>
    <row r="125" spans="2:5" s="63" customFormat="1" x14ac:dyDescent="0.2">
      <c r="B125" s="33"/>
      <c r="C125" s="33"/>
      <c r="E125" s="59"/>
    </row>
    <row r="126" spans="2:5" s="63" customFormat="1" x14ac:dyDescent="0.2">
      <c r="B126" s="33"/>
      <c r="C126" s="33"/>
      <c r="E126" s="59"/>
    </row>
    <row r="127" spans="2:5" s="63" customFormat="1" x14ac:dyDescent="0.2">
      <c r="B127" s="33"/>
      <c r="C127" s="33"/>
      <c r="E127" s="59"/>
    </row>
    <row r="128" spans="2:5" s="63" customFormat="1" x14ac:dyDescent="0.2">
      <c r="B128" s="33"/>
      <c r="C128" s="33"/>
      <c r="E128" s="59"/>
    </row>
    <row r="129" spans="2:5" s="63" customFormat="1" x14ac:dyDescent="0.2">
      <c r="B129" s="33"/>
      <c r="C129" s="33"/>
      <c r="E129" s="59"/>
    </row>
    <row r="130" spans="2:5" s="63" customFormat="1" x14ac:dyDescent="0.2">
      <c r="B130" s="33"/>
      <c r="C130" s="33"/>
      <c r="E130" s="59"/>
    </row>
    <row r="131" spans="2:5" s="63" customFormat="1" x14ac:dyDescent="0.2">
      <c r="B131" s="33"/>
      <c r="C131" s="33"/>
      <c r="E131" s="59"/>
    </row>
    <row r="132" spans="2:5" s="63" customFormat="1" x14ac:dyDescent="0.2">
      <c r="B132" s="33"/>
      <c r="C132" s="33"/>
      <c r="E132" s="59"/>
    </row>
    <row r="133" spans="2:5" s="63" customFormat="1" x14ac:dyDescent="0.2">
      <c r="B133" s="33"/>
      <c r="C133" s="33"/>
      <c r="E133" s="59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389"/>
  <sheetViews>
    <sheetView workbookViewId="0">
      <selection activeCell="G14" sqref="G14"/>
    </sheetView>
  </sheetViews>
  <sheetFormatPr defaultColWidth="8.25" defaultRowHeight="18" x14ac:dyDescent="0.55000000000000004"/>
  <cols>
    <col min="1" max="1" width="9.08203125" bestFit="1" customWidth="1"/>
    <col min="2" max="2" width="25.58203125" customWidth="1"/>
    <col min="3" max="3" width="7.25" bestFit="1" customWidth="1"/>
    <col min="4" max="4" width="10.5" bestFit="1" customWidth="1"/>
    <col min="5" max="5" width="10.5" style="36" bestFit="1" customWidth="1"/>
    <col min="6" max="6" width="8.33203125" style="32" bestFit="1" customWidth="1"/>
    <col min="7" max="7" width="8.25" style="32"/>
    <col min="8" max="8" width="5.9140625" style="32" bestFit="1" customWidth="1"/>
    <col min="9" max="16384" width="8.25" style="32"/>
  </cols>
  <sheetData>
    <row r="1" spans="1:9" x14ac:dyDescent="0.55000000000000004">
      <c r="A1" s="30" t="s">
        <v>219</v>
      </c>
      <c r="B1" s="30" t="s">
        <v>2</v>
      </c>
      <c r="C1" s="30" t="s">
        <v>220</v>
      </c>
      <c r="D1" s="30" t="s">
        <v>221</v>
      </c>
      <c r="E1" s="30" t="s">
        <v>222</v>
      </c>
      <c r="F1" s="31" t="s">
        <v>223</v>
      </c>
      <c r="H1" s="86">
        <v>1</v>
      </c>
      <c r="I1" s="86" t="s">
        <v>17</v>
      </c>
    </row>
    <row r="2" spans="1:9" x14ac:dyDescent="0.55000000000000004">
      <c r="A2" s="33">
        <v>1</v>
      </c>
      <c r="B2" s="33" t="s">
        <v>17</v>
      </c>
      <c r="C2" s="34">
        <v>8226.7999999999993</v>
      </c>
      <c r="D2" s="33" t="s">
        <v>224</v>
      </c>
      <c r="E2" s="35">
        <v>2642000</v>
      </c>
      <c r="F2" s="32">
        <f>VLOOKUP(A2,$H:$H,1,FALSE)</f>
        <v>1</v>
      </c>
      <c r="H2" s="80"/>
      <c r="I2" s="80"/>
    </row>
    <row r="3" spans="1:9" x14ac:dyDescent="0.55000000000000004">
      <c r="A3" s="33">
        <v>2</v>
      </c>
      <c r="B3" s="33" t="s">
        <v>20</v>
      </c>
      <c r="C3" s="34">
        <v>224.1</v>
      </c>
      <c r="D3" s="33" t="s">
        <v>224</v>
      </c>
      <c r="E3" s="35">
        <v>114400</v>
      </c>
      <c r="F3" s="32">
        <f t="shared" ref="F3:F66" si="0">VLOOKUP(A3,$H:$H,1,FALSE)</f>
        <v>2</v>
      </c>
      <c r="H3" s="80">
        <v>2</v>
      </c>
      <c r="I3" s="80" t="s">
        <v>20</v>
      </c>
    </row>
    <row r="4" spans="1:9" x14ac:dyDescent="0.55000000000000004">
      <c r="A4" s="33">
        <v>3</v>
      </c>
      <c r="B4" s="33" t="s">
        <v>21</v>
      </c>
      <c r="C4" s="34">
        <v>3119.2</v>
      </c>
      <c r="D4" s="33" t="s">
        <v>224</v>
      </c>
      <c r="E4" s="35">
        <v>875970</v>
      </c>
      <c r="F4" s="32">
        <f t="shared" si="0"/>
        <v>3</v>
      </c>
      <c r="H4" s="80"/>
      <c r="I4" s="80"/>
    </row>
    <row r="5" spans="1:9" x14ac:dyDescent="0.55000000000000004">
      <c r="A5" s="33">
        <v>4</v>
      </c>
      <c r="B5" s="33" t="s">
        <v>22</v>
      </c>
      <c r="C5" s="34">
        <v>3141.5</v>
      </c>
      <c r="D5" s="33" t="s">
        <v>224</v>
      </c>
      <c r="E5" s="35">
        <v>1106300</v>
      </c>
      <c r="F5" s="32">
        <f t="shared" si="0"/>
        <v>4</v>
      </c>
      <c r="H5" s="80">
        <v>3</v>
      </c>
      <c r="I5" s="80" t="s">
        <v>21</v>
      </c>
    </row>
    <row r="6" spans="1:9" x14ac:dyDescent="0.55000000000000004">
      <c r="A6" s="33">
        <v>5</v>
      </c>
      <c r="B6" s="33" t="s">
        <v>23</v>
      </c>
      <c r="C6" s="34">
        <v>230.4</v>
      </c>
      <c r="D6" s="33" t="s">
        <v>224</v>
      </c>
      <c r="E6" s="35">
        <v>495000</v>
      </c>
      <c r="F6" s="32">
        <f t="shared" si="0"/>
        <v>5</v>
      </c>
      <c r="H6" s="80"/>
      <c r="I6" s="80"/>
    </row>
    <row r="7" spans="1:9" x14ac:dyDescent="0.55000000000000004">
      <c r="A7" s="33">
        <v>7</v>
      </c>
      <c r="B7" s="33" t="s">
        <v>25</v>
      </c>
      <c r="C7" s="34">
        <v>228.1</v>
      </c>
      <c r="D7" s="33" t="s">
        <v>224</v>
      </c>
      <c r="E7" s="35">
        <v>277200</v>
      </c>
      <c r="F7" s="32">
        <f t="shared" si="0"/>
        <v>7</v>
      </c>
      <c r="H7" s="80">
        <v>4</v>
      </c>
      <c r="I7" s="80" t="s">
        <v>22</v>
      </c>
    </row>
    <row r="8" spans="1:9" x14ac:dyDescent="0.55000000000000004">
      <c r="A8" s="33">
        <v>8</v>
      </c>
      <c r="B8" s="33" t="s">
        <v>26</v>
      </c>
      <c r="C8" s="34">
        <v>27.9</v>
      </c>
      <c r="D8" s="33" t="s">
        <v>224</v>
      </c>
      <c r="E8" s="35">
        <v>62750</v>
      </c>
      <c r="F8" s="32">
        <f t="shared" si="0"/>
        <v>8</v>
      </c>
      <c r="H8" s="80"/>
      <c r="I8" s="80"/>
    </row>
    <row r="9" spans="1:9" x14ac:dyDescent="0.55000000000000004">
      <c r="A9" s="33">
        <v>9</v>
      </c>
      <c r="B9" s="33" t="s">
        <v>27</v>
      </c>
      <c r="C9" s="34">
        <v>248.4</v>
      </c>
      <c r="D9" s="33" t="s">
        <v>224</v>
      </c>
      <c r="E9" s="35">
        <v>274890</v>
      </c>
      <c r="F9" s="32">
        <f t="shared" si="0"/>
        <v>9</v>
      </c>
      <c r="H9" s="80">
        <v>5</v>
      </c>
      <c r="I9" s="80" t="s">
        <v>23</v>
      </c>
    </row>
    <row r="10" spans="1:9" x14ac:dyDescent="0.55000000000000004">
      <c r="A10" s="33">
        <v>10</v>
      </c>
      <c r="B10" s="33" t="s">
        <v>28</v>
      </c>
      <c r="C10" s="34">
        <v>1162.5</v>
      </c>
      <c r="D10" s="33" t="s">
        <v>224</v>
      </c>
      <c r="E10" s="35">
        <v>1265000</v>
      </c>
      <c r="F10" s="32">
        <f t="shared" si="0"/>
        <v>10</v>
      </c>
      <c r="H10" s="80"/>
      <c r="I10" s="80"/>
    </row>
    <row r="11" spans="1:9" x14ac:dyDescent="0.55000000000000004">
      <c r="A11" s="33">
        <v>11</v>
      </c>
      <c r="B11" s="33" t="s">
        <v>29</v>
      </c>
      <c r="C11" s="34">
        <v>141.6</v>
      </c>
      <c r="D11" s="33" t="s">
        <v>224</v>
      </c>
      <c r="E11" s="35">
        <v>539000</v>
      </c>
      <c r="F11" s="32">
        <f t="shared" si="0"/>
        <v>11</v>
      </c>
      <c r="H11" s="80">
        <v>6</v>
      </c>
      <c r="I11" s="80" t="s">
        <v>24</v>
      </c>
    </row>
    <row r="12" spans="1:9" x14ac:dyDescent="0.55000000000000004">
      <c r="A12" s="33">
        <v>12</v>
      </c>
      <c r="B12" s="33" t="s">
        <v>30</v>
      </c>
      <c r="C12" s="34">
        <v>16.600000000000001</v>
      </c>
      <c r="D12" s="33" t="s">
        <v>224</v>
      </c>
      <c r="E12" s="35">
        <v>0</v>
      </c>
      <c r="F12" s="32">
        <f t="shared" si="0"/>
        <v>12</v>
      </c>
      <c r="H12" s="80"/>
      <c r="I12" s="80"/>
    </row>
    <row r="13" spans="1:9" x14ac:dyDescent="0.55000000000000004">
      <c r="A13" s="33">
        <v>13</v>
      </c>
      <c r="B13" s="33" t="s">
        <v>31</v>
      </c>
      <c r="C13" s="34">
        <v>673.4</v>
      </c>
      <c r="D13" s="33" t="s">
        <v>224</v>
      </c>
      <c r="E13" s="35">
        <v>0</v>
      </c>
      <c r="F13" s="32">
        <f t="shared" si="0"/>
        <v>13</v>
      </c>
      <c r="H13" s="80">
        <v>7</v>
      </c>
      <c r="I13" s="80" t="s">
        <v>25</v>
      </c>
    </row>
    <row r="14" spans="1:9" x14ac:dyDescent="0.55000000000000004">
      <c r="A14" s="33">
        <v>14</v>
      </c>
      <c r="B14" s="33" t="s">
        <v>32</v>
      </c>
      <c r="C14" s="34">
        <v>1510.5</v>
      </c>
      <c r="D14" s="33" t="s">
        <v>224</v>
      </c>
      <c r="E14" s="35">
        <v>0</v>
      </c>
      <c r="F14" s="32">
        <f t="shared" si="0"/>
        <v>14</v>
      </c>
      <c r="H14" s="80"/>
      <c r="I14" s="80"/>
    </row>
    <row r="15" spans="1:9" x14ac:dyDescent="0.55000000000000004">
      <c r="A15" s="33">
        <v>15</v>
      </c>
      <c r="B15" s="33" t="s">
        <v>225</v>
      </c>
      <c r="C15" s="34">
        <v>3933.3</v>
      </c>
      <c r="D15" s="33" t="s">
        <v>224</v>
      </c>
      <c r="E15" s="35">
        <v>0</v>
      </c>
      <c r="F15" s="32">
        <f t="shared" si="0"/>
        <v>15</v>
      </c>
      <c r="H15" s="80">
        <v>8</v>
      </c>
      <c r="I15" s="80" t="s">
        <v>26</v>
      </c>
    </row>
    <row r="16" spans="1:9" x14ac:dyDescent="0.55000000000000004">
      <c r="A16" s="33">
        <v>16</v>
      </c>
      <c r="B16" s="33" t="s">
        <v>34</v>
      </c>
      <c r="C16" s="34">
        <v>111.80000000000001</v>
      </c>
      <c r="D16" s="33" t="s">
        <v>224</v>
      </c>
      <c r="E16" s="35">
        <v>0</v>
      </c>
      <c r="F16" s="32">
        <f t="shared" si="0"/>
        <v>16</v>
      </c>
      <c r="H16" s="80"/>
      <c r="I16" s="80"/>
    </row>
    <row r="17" spans="1:9" x14ac:dyDescent="0.55000000000000004">
      <c r="A17" s="33">
        <v>17</v>
      </c>
      <c r="B17" s="33" t="s">
        <v>35</v>
      </c>
      <c r="C17" s="34">
        <v>222</v>
      </c>
      <c r="D17" s="33" t="s">
        <v>224</v>
      </c>
      <c r="E17" s="35">
        <v>0</v>
      </c>
      <c r="F17" s="32">
        <f t="shared" si="0"/>
        <v>17</v>
      </c>
      <c r="H17" s="80">
        <v>9</v>
      </c>
      <c r="I17" s="80" t="s">
        <v>27</v>
      </c>
    </row>
    <row r="18" spans="1:9" x14ac:dyDescent="0.55000000000000004">
      <c r="A18" s="33">
        <v>18</v>
      </c>
      <c r="B18" s="33" t="s">
        <v>36</v>
      </c>
      <c r="C18" s="34">
        <v>25.1</v>
      </c>
      <c r="D18" s="33" t="s">
        <v>224</v>
      </c>
      <c r="E18" s="35">
        <v>0</v>
      </c>
      <c r="F18" s="32">
        <f t="shared" si="0"/>
        <v>18</v>
      </c>
      <c r="H18" s="80"/>
      <c r="I18" s="80"/>
    </row>
    <row r="19" spans="1:9" x14ac:dyDescent="0.55000000000000004">
      <c r="A19" s="33">
        <v>19</v>
      </c>
      <c r="B19" s="33" t="s">
        <v>37</v>
      </c>
      <c r="C19" s="34">
        <v>30</v>
      </c>
      <c r="D19" s="33" t="s">
        <v>224</v>
      </c>
      <c r="E19" s="35">
        <v>0</v>
      </c>
      <c r="F19" s="32">
        <f t="shared" si="0"/>
        <v>19</v>
      </c>
      <c r="H19" s="80">
        <v>10</v>
      </c>
      <c r="I19" s="80" t="s">
        <v>28</v>
      </c>
    </row>
    <row r="20" spans="1:9" x14ac:dyDescent="0.55000000000000004">
      <c r="A20" s="33">
        <v>20</v>
      </c>
      <c r="B20" s="33" t="s">
        <v>38</v>
      </c>
      <c r="C20" s="34">
        <v>30.6</v>
      </c>
      <c r="D20" s="33" t="s">
        <v>224</v>
      </c>
      <c r="E20" s="35">
        <v>0</v>
      </c>
      <c r="F20" s="32">
        <f t="shared" si="0"/>
        <v>20</v>
      </c>
      <c r="H20" s="80"/>
      <c r="I20" s="80"/>
    </row>
    <row r="21" spans="1:9" x14ac:dyDescent="0.55000000000000004">
      <c r="A21" s="33">
        <v>21</v>
      </c>
      <c r="B21" s="33" t="s">
        <v>39</v>
      </c>
      <c r="C21" s="34">
        <v>31.1</v>
      </c>
      <c r="D21" s="33" t="s">
        <v>224</v>
      </c>
      <c r="E21" s="35">
        <v>0</v>
      </c>
      <c r="F21" s="32">
        <f t="shared" si="0"/>
        <v>21</v>
      </c>
      <c r="H21" s="80">
        <v>11</v>
      </c>
      <c r="I21" s="80" t="s">
        <v>29</v>
      </c>
    </row>
    <row r="22" spans="1:9" x14ac:dyDescent="0.55000000000000004">
      <c r="A22" s="33">
        <v>22</v>
      </c>
      <c r="B22" s="33" t="s">
        <v>40</v>
      </c>
      <c r="C22" s="34">
        <v>30.6</v>
      </c>
      <c r="D22" s="33" t="s">
        <v>224</v>
      </c>
      <c r="E22" s="35">
        <v>0</v>
      </c>
      <c r="F22" s="32">
        <f t="shared" si="0"/>
        <v>22</v>
      </c>
      <c r="H22" s="80"/>
      <c r="I22" s="80"/>
    </row>
    <row r="23" spans="1:9" x14ac:dyDescent="0.55000000000000004">
      <c r="A23" s="33">
        <v>23</v>
      </c>
      <c r="B23" s="33" t="s">
        <v>41</v>
      </c>
      <c r="C23" s="34">
        <v>224</v>
      </c>
      <c r="D23" s="33" t="s">
        <v>224</v>
      </c>
      <c r="E23" s="35">
        <v>0</v>
      </c>
      <c r="F23" s="32">
        <f t="shared" si="0"/>
        <v>23</v>
      </c>
      <c r="H23" s="80">
        <v>12</v>
      </c>
      <c r="I23" s="80" t="s">
        <v>30</v>
      </c>
    </row>
    <row r="24" spans="1:9" x14ac:dyDescent="0.55000000000000004">
      <c r="A24" s="33">
        <v>24</v>
      </c>
      <c r="B24" s="33" t="s">
        <v>42</v>
      </c>
      <c r="C24" s="34">
        <v>31.3</v>
      </c>
      <c r="D24" s="33" t="s">
        <v>224</v>
      </c>
      <c r="E24" s="35">
        <v>13440</v>
      </c>
      <c r="F24" s="32">
        <f t="shared" si="0"/>
        <v>24</v>
      </c>
      <c r="H24" s="80"/>
      <c r="I24" s="80"/>
    </row>
    <row r="25" spans="1:9" x14ac:dyDescent="0.55000000000000004">
      <c r="A25" s="33">
        <v>25</v>
      </c>
      <c r="B25" s="33" t="s">
        <v>226</v>
      </c>
      <c r="C25" s="34">
        <v>1150.5999999999999</v>
      </c>
      <c r="D25" s="33" t="s">
        <v>224</v>
      </c>
      <c r="E25" s="35">
        <v>5720</v>
      </c>
      <c r="F25" s="32">
        <f t="shared" si="0"/>
        <v>25</v>
      </c>
      <c r="H25" s="80">
        <v>13</v>
      </c>
      <c r="I25" s="80" t="s">
        <v>31</v>
      </c>
    </row>
    <row r="26" spans="1:9" x14ac:dyDescent="0.55000000000000004">
      <c r="A26" s="33">
        <v>26</v>
      </c>
      <c r="B26" s="33" t="s">
        <v>227</v>
      </c>
      <c r="C26" s="34">
        <v>862.5</v>
      </c>
      <c r="D26" s="33" t="s">
        <v>224</v>
      </c>
      <c r="E26" s="35">
        <v>211582</v>
      </c>
      <c r="F26" s="32">
        <f t="shared" si="0"/>
        <v>26</v>
      </c>
      <c r="H26" s="80"/>
      <c r="I26" s="80"/>
    </row>
    <row r="27" spans="1:9" x14ac:dyDescent="0.55000000000000004">
      <c r="A27" s="33">
        <v>27</v>
      </c>
      <c r="B27" s="33" t="s">
        <v>45</v>
      </c>
      <c r="C27" s="34">
        <v>536.1</v>
      </c>
      <c r="D27" s="33" t="s">
        <v>224</v>
      </c>
      <c r="E27" s="35">
        <v>1639700</v>
      </c>
      <c r="F27" s="32">
        <f t="shared" si="0"/>
        <v>27</v>
      </c>
      <c r="H27" s="80">
        <v>14</v>
      </c>
      <c r="I27" s="80" t="s">
        <v>32</v>
      </c>
    </row>
    <row r="28" spans="1:9" x14ac:dyDescent="0.55000000000000004">
      <c r="A28" s="33">
        <v>28</v>
      </c>
      <c r="B28" s="33" t="s">
        <v>46</v>
      </c>
      <c r="C28" s="34">
        <v>31.9</v>
      </c>
      <c r="D28" s="33" t="s">
        <v>224</v>
      </c>
      <c r="E28" s="35">
        <v>19600</v>
      </c>
      <c r="F28" s="32">
        <f t="shared" si="0"/>
        <v>28</v>
      </c>
      <c r="H28" s="80"/>
      <c r="I28" s="80"/>
    </row>
    <row r="29" spans="1:9" ht="13.5" customHeight="1" x14ac:dyDescent="0.55000000000000004">
      <c r="A29" s="33">
        <v>29</v>
      </c>
      <c r="B29" s="33" t="s">
        <v>47</v>
      </c>
      <c r="C29" s="34">
        <v>36.4</v>
      </c>
      <c r="D29" s="33" t="s">
        <v>224</v>
      </c>
      <c r="E29" s="35">
        <v>66500</v>
      </c>
      <c r="F29" s="32">
        <f t="shared" si="0"/>
        <v>29</v>
      </c>
      <c r="H29" s="80">
        <v>15</v>
      </c>
      <c r="I29" s="80" t="s">
        <v>33</v>
      </c>
    </row>
    <row r="30" spans="1:9" x14ac:dyDescent="0.55000000000000004">
      <c r="A30" s="33">
        <v>30</v>
      </c>
      <c r="B30" s="33" t="s">
        <v>48</v>
      </c>
      <c r="C30" s="34">
        <v>2430</v>
      </c>
      <c r="D30" s="33" t="s">
        <v>224</v>
      </c>
      <c r="E30" s="35">
        <v>1115370</v>
      </c>
      <c r="F30" s="32">
        <f t="shared" si="0"/>
        <v>30</v>
      </c>
      <c r="H30" s="80"/>
      <c r="I30" s="80"/>
    </row>
    <row r="31" spans="1:9" x14ac:dyDescent="0.55000000000000004">
      <c r="A31" s="33">
        <v>31</v>
      </c>
      <c r="B31" s="33" t="s">
        <v>49</v>
      </c>
      <c r="C31" s="34">
        <v>1530</v>
      </c>
      <c r="D31" s="33" t="s">
        <v>224</v>
      </c>
      <c r="E31" s="35">
        <v>976140</v>
      </c>
      <c r="F31" s="32">
        <f t="shared" si="0"/>
        <v>31</v>
      </c>
      <c r="H31" s="80">
        <v>16</v>
      </c>
      <c r="I31" s="80" t="s">
        <v>34</v>
      </c>
    </row>
    <row r="32" spans="1:9" x14ac:dyDescent="0.55000000000000004">
      <c r="A32" s="33">
        <v>32</v>
      </c>
      <c r="B32" s="33" t="s">
        <v>50</v>
      </c>
      <c r="C32" s="34">
        <v>3090</v>
      </c>
      <c r="D32" s="33" t="s">
        <v>224</v>
      </c>
      <c r="E32" s="35">
        <v>1418310</v>
      </c>
      <c r="F32" s="32">
        <f t="shared" si="0"/>
        <v>32</v>
      </c>
      <c r="H32" s="80"/>
      <c r="I32" s="80"/>
    </row>
    <row r="33" spans="1:9" x14ac:dyDescent="0.55000000000000004">
      <c r="A33" s="33">
        <v>33</v>
      </c>
      <c r="B33" s="33" t="s">
        <v>51</v>
      </c>
      <c r="C33" s="34">
        <v>20</v>
      </c>
      <c r="D33" s="33" t="s">
        <v>224</v>
      </c>
      <c r="E33" s="35">
        <v>40800</v>
      </c>
      <c r="F33" s="32">
        <f t="shared" si="0"/>
        <v>33</v>
      </c>
      <c r="H33" s="80">
        <v>17</v>
      </c>
      <c r="I33" s="80" t="s">
        <v>35</v>
      </c>
    </row>
    <row r="34" spans="1:9" x14ac:dyDescent="0.55000000000000004">
      <c r="A34" s="33">
        <v>34</v>
      </c>
      <c r="B34" s="33" t="s">
        <v>52</v>
      </c>
      <c r="C34" s="34">
        <v>42.8</v>
      </c>
      <c r="D34" s="33" t="s">
        <v>224</v>
      </c>
      <c r="E34" s="35">
        <v>0</v>
      </c>
      <c r="F34" s="32">
        <f t="shared" si="0"/>
        <v>34</v>
      </c>
      <c r="H34" s="80"/>
      <c r="I34" s="80"/>
    </row>
    <row r="35" spans="1:9" x14ac:dyDescent="0.55000000000000004">
      <c r="A35" s="33">
        <v>35</v>
      </c>
      <c r="B35" s="33" t="s">
        <v>53</v>
      </c>
      <c r="C35" s="34">
        <v>40</v>
      </c>
      <c r="D35" s="33" t="s">
        <v>224</v>
      </c>
      <c r="E35" s="35">
        <v>11600</v>
      </c>
      <c r="F35" s="32">
        <f t="shared" si="0"/>
        <v>35</v>
      </c>
      <c r="H35" s="80">
        <v>18</v>
      </c>
      <c r="I35" s="80" t="s">
        <v>36</v>
      </c>
    </row>
    <row r="36" spans="1:9" x14ac:dyDescent="0.55000000000000004">
      <c r="A36" s="33">
        <v>36</v>
      </c>
      <c r="B36" s="33" t="s">
        <v>54</v>
      </c>
      <c r="C36" s="34">
        <v>20</v>
      </c>
      <c r="D36" s="33" t="s">
        <v>224</v>
      </c>
      <c r="E36" s="35">
        <v>43200</v>
      </c>
      <c r="F36" s="32">
        <f t="shared" si="0"/>
        <v>36</v>
      </c>
      <c r="H36" s="80"/>
      <c r="I36" s="80"/>
    </row>
    <row r="37" spans="1:9" x14ac:dyDescent="0.55000000000000004">
      <c r="A37" s="33">
        <v>37</v>
      </c>
      <c r="B37" s="33" t="s">
        <v>55</v>
      </c>
      <c r="C37" s="34">
        <v>630</v>
      </c>
      <c r="D37" s="33" t="s">
        <v>224</v>
      </c>
      <c r="E37" s="35">
        <v>157500</v>
      </c>
      <c r="F37" s="32">
        <f t="shared" si="0"/>
        <v>37</v>
      </c>
      <c r="H37" s="80">
        <v>19</v>
      </c>
      <c r="I37" s="80" t="s">
        <v>37</v>
      </c>
    </row>
    <row r="38" spans="1:9" x14ac:dyDescent="0.55000000000000004">
      <c r="A38" s="33">
        <v>38</v>
      </c>
      <c r="B38" s="33" t="s">
        <v>56</v>
      </c>
      <c r="C38" s="34">
        <v>960</v>
      </c>
      <c r="D38" s="33" t="s">
        <v>224</v>
      </c>
      <c r="E38" s="35">
        <v>384000</v>
      </c>
      <c r="F38" s="32">
        <f t="shared" si="0"/>
        <v>38</v>
      </c>
      <c r="H38" s="80"/>
      <c r="I38" s="80"/>
    </row>
    <row r="39" spans="1:9" x14ac:dyDescent="0.55000000000000004">
      <c r="A39" s="33">
        <v>39</v>
      </c>
      <c r="B39" s="33" t="s">
        <v>57</v>
      </c>
      <c r="C39" s="34">
        <v>1575</v>
      </c>
      <c r="D39" s="33" t="s">
        <v>224</v>
      </c>
      <c r="E39" s="35">
        <v>1629600</v>
      </c>
      <c r="F39" s="32">
        <f t="shared" si="0"/>
        <v>39</v>
      </c>
      <c r="H39" s="80">
        <v>20</v>
      </c>
      <c r="I39" s="80" t="s">
        <v>38</v>
      </c>
    </row>
    <row r="40" spans="1:9" x14ac:dyDescent="0.55000000000000004">
      <c r="A40" s="33">
        <v>40</v>
      </c>
      <c r="B40" s="33" t="s">
        <v>58</v>
      </c>
      <c r="C40" s="34">
        <v>1575</v>
      </c>
      <c r="D40" s="33" t="s">
        <v>224</v>
      </c>
      <c r="E40" s="35">
        <v>1555350</v>
      </c>
      <c r="F40" s="32">
        <f t="shared" si="0"/>
        <v>40</v>
      </c>
      <c r="H40" s="80"/>
      <c r="I40" s="80"/>
    </row>
    <row r="41" spans="1:9" x14ac:dyDescent="0.55000000000000004">
      <c r="A41" s="33">
        <v>41</v>
      </c>
      <c r="B41" s="33" t="s">
        <v>59</v>
      </c>
      <c r="C41" s="34">
        <v>20</v>
      </c>
      <c r="D41" s="33" t="s">
        <v>224</v>
      </c>
      <c r="E41" s="35">
        <v>74000</v>
      </c>
      <c r="F41" s="32">
        <f t="shared" si="0"/>
        <v>41</v>
      </c>
      <c r="H41" s="80">
        <v>21</v>
      </c>
      <c r="I41" s="80" t="s">
        <v>39</v>
      </c>
    </row>
    <row r="42" spans="1:9" x14ac:dyDescent="0.55000000000000004">
      <c r="A42" s="33">
        <v>42</v>
      </c>
      <c r="B42" s="33" t="s">
        <v>60</v>
      </c>
      <c r="C42" s="34">
        <v>110</v>
      </c>
      <c r="D42" s="33" t="s">
        <v>224</v>
      </c>
      <c r="E42" s="35">
        <v>462000</v>
      </c>
      <c r="F42" s="32">
        <f t="shared" si="0"/>
        <v>42</v>
      </c>
      <c r="H42" s="80"/>
      <c r="I42" s="80"/>
    </row>
    <row r="43" spans="1:9" x14ac:dyDescent="0.55000000000000004">
      <c r="A43" s="33">
        <v>43</v>
      </c>
      <c r="B43" s="33" t="s">
        <v>61</v>
      </c>
      <c r="C43" s="34">
        <v>1266</v>
      </c>
      <c r="D43" s="33" t="s">
        <v>224</v>
      </c>
      <c r="E43" s="35">
        <v>5228100</v>
      </c>
      <c r="F43" s="32">
        <f t="shared" si="0"/>
        <v>43</v>
      </c>
      <c r="H43" s="80">
        <v>22</v>
      </c>
      <c r="I43" s="80" t="s">
        <v>40</v>
      </c>
    </row>
    <row r="44" spans="1:9" x14ac:dyDescent="0.55000000000000004">
      <c r="A44" s="33">
        <v>44</v>
      </c>
      <c r="B44" s="33" t="s">
        <v>228</v>
      </c>
      <c r="C44" s="34">
        <v>23</v>
      </c>
      <c r="D44" s="33" t="s">
        <v>224</v>
      </c>
      <c r="E44" s="35">
        <v>194235</v>
      </c>
      <c r="F44" s="32">
        <f t="shared" si="0"/>
        <v>44</v>
      </c>
      <c r="H44" s="80"/>
      <c r="I44" s="80"/>
    </row>
    <row r="45" spans="1:9" x14ac:dyDescent="0.55000000000000004">
      <c r="A45" s="33">
        <v>45</v>
      </c>
      <c r="B45" s="33" t="s">
        <v>63</v>
      </c>
      <c r="C45" s="34">
        <v>13</v>
      </c>
      <c r="D45" s="33" t="s">
        <v>224</v>
      </c>
      <c r="E45" s="35">
        <v>276900</v>
      </c>
      <c r="F45" s="32">
        <f t="shared" si="0"/>
        <v>45</v>
      </c>
      <c r="H45" s="80">
        <v>23</v>
      </c>
      <c r="I45" s="80" t="s">
        <v>41</v>
      </c>
    </row>
    <row r="46" spans="1:9" x14ac:dyDescent="0.55000000000000004">
      <c r="A46" s="33">
        <v>46</v>
      </c>
      <c r="B46" s="33" t="s">
        <v>64</v>
      </c>
      <c r="C46" s="34">
        <v>46.4</v>
      </c>
      <c r="D46" s="33" t="s">
        <v>224</v>
      </c>
      <c r="E46" s="35">
        <v>22950</v>
      </c>
      <c r="F46" s="32">
        <f t="shared" si="0"/>
        <v>46</v>
      </c>
      <c r="H46" s="80"/>
      <c r="I46" s="80"/>
    </row>
    <row r="47" spans="1:9" x14ac:dyDescent="0.55000000000000004">
      <c r="A47" s="33">
        <v>47</v>
      </c>
      <c r="B47" s="33" t="s">
        <v>65</v>
      </c>
      <c r="C47" s="34">
        <v>10.5</v>
      </c>
      <c r="D47" s="33" t="s">
        <v>224</v>
      </c>
      <c r="E47" s="35">
        <v>17500</v>
      </c>
      <c r="F47" s="32">
        <f t="shared" si="0"/>
        <v>47</v>
      </c>
      <c r="H47" s="80">
        <v>24</v>
      </c>
      <c r="I47" s="80" t="s">
        <v>42</v>
      </c>
    </row>
    <row r="48" spans="1:9" x14ac:dyDescent="0.55000000000000004">
      <c r="A48" s="33">
        <v>48</v>
      </c>
      <c r="B48" s="33" t="s">
        <v>66</v>
      </c>
      <c r="C48" s="34">
        <v>49.4</v>
      </c>
      <c r="D48" s="33" t="s">
        <v>224</v>
      </c>
      <c r="E48" s="35">
        <v>38850</v>
      </c>
      <c r="F48" s="32">
        <f t="shared" si="0"/>
        <v>48</v>
      </c>
      <c r="H48" s="80"/>
      <c r="I48" s="80"/>
    </row>
    <row r="49" spans="1:9" ht="13.5" customHeight="1" x14ac:dyDescent="0.55000000000000004">
      <c r="A49" s="33">
        <v>51</v>
      </c>
      <c r="B49" s="33" t="s">
        <v>70</v>
      </c>
      <c r="C49" s="34">
        <v>4358.54</v>
      </c>
      <c r="D49" s="33" t="s">
        <v>224</v>
      </c>
      <c r="E49" s="35">
        <v>11884400</v>
      </c>
      <c r="F49" s="32">
        <f t="shared" si="0"/>
        <v>51</v>
      </c>
      <c r="H49" s="80">
        <v>25</v>
      </c>
      <c r="I49" s="80" t="s">
        <v>43</v>
      </c>
    </row>
    <row r="50" spans="1:9" x14ac:dyDescent="0.55000000000000004">
      <c r="A50" s="33">
        <v>53</v>
      </c>
      <c r="B50" s="33" t="s">
        <v>229</v>
      </c>
      <c r="C50" s="34">
        <v>9.6999999999999993</v>
      </c>
      <c r="D50" s="33" t="s">
        <v>224</v>
      </c>
      <c r="E50" s="35">
        <v>3840</v>
      </c>
      <c r="F50" s="32">
        <f t="shared" si="0"/>
        <v>53</v>
      </c>
      <c r="H50" s="80"/>
      <c r="I50" s="80"/>
    </row>
    <row r="51" spans="1:9" ht="13.5" customHeight="1" x14ac:dyDescent="0.55000000000000004">
      <c r="A51" s="33">
        <v>55</v>
      </c>
      <c r="B51" s="33" t="s">
        <v>230</v>
      </c>
      <c r="C51" s="34">
        <v>1295.2</v>
      </c>
      <c r="D51" s="33" t="s">
        <v>224</v>
      </c>
      <c r="E51" s="35">
        <v>666667</v>
      </c>
      <c r="F51" s="32">
        <f t="shared" si="0"/>
        <v>55</v>
      </c>
      <c r="H51" s="80">
        <v>26</v>
      </c>
      <c r="I51" s="80" t="s">
        <v>44</v>
      </c>
    </row>
    <row r="52" spans="1:9" x14ac:dyDescent="0.55000000000000004">
      <c r="A52" s="33">
        <v>56</v>
      </c>
      <c r="B52" s="33" t="s">
        <v>231</v>
      </c>
      <c r="C52" s="34">
        <v>910</v>
      </c>
      <c r="D52" s="33" t="s">
        <v>224</v>
      </c>
      <c r="E52" s="35">
        <v>3458000</v>
      </c>
      <c r="F52" s="32">
        <f t="shared" si="0"/>
        <v>56</v>
      </c>
      <c r="H52" s="80"/>
      <c r="I52" s="80"/>
    </row>
    <row r="53" spans="1:9" x14ac:dyDescent="0.55000000000000004">
      <c r="A53" s="33">
        <v>57</v>
      </c>
      <c r="B53" s="33" t="s">
        <v>232</v>
      </c>
      <c r="C53" s="34">
        <v>297.90000000000003</v>
      </c>
      <c r="D53" s="33" t="s">
        <v>224</v>
      </c>
      <c r="E53" s="35">
        <v>653746</v>
      </c>
      <c r="F53" s="32">
        <f t="shared" si="0"/>
        <v>57</v>
      </c>
      <c r="H53" s="80">
        <v>27</v>
      </c>
      <c r="I53" s="80" t="s">
        <v>45</v>
      </c>
    </row>
    <row r="54" spans="1:9" x14ac:dyDescent="0.55000000000000004">
      <c r="A54" s="33">
        <v>61</v>
      </c>
      <c r="B54" s="33" t="s">
        <v>233</v>
      </c>
      <c r="C54" s="34">
        <v>150</v>
      </c>
      <c r="D54" s="33" t="s">
        <v>224</v>
      </c>
      <c r="E54" s="35">
        <v>37600</v>
      </c>
      <c r="F54" s="32">
        <f t="shared" si="0"/>
        <v>61</v>
      </c>
      <c r="H54" s="80"/>
      <c r="I54" s="80"/>
    </row>
    <row r="55" spans="1:9" x14ac:dyDescent="0.55000000000000004">
      <c r="A55" s="33">
        <v>96</v>
      </c>
      <c r="B55" s="33" t="s">
        <v>234</v>
      </c>
      <c r="C55" s="34">
        <v>27.4</v>
      </c>
      <c r="D55" s="33" t="s">
        <v>224</v>
      </c>
      <c r="E55" s="35">
        <v>97500</v>
      </c>
      <c r="F55" s="32">
        <f t="shared" si="0"/>
        <v>96</v>
      </c>
      <c r="H55" s="80">
        <v>28</v>
      </c>
      <c r="I55" s="80" t="s">
        <v>46</v>
      </c>
    </row>
    <row r="56" spans="1:9" x14ac:dyDescent="0.55000000000000004">
      <c r="A56" s="33">
        <v>97</v>
      </c>
      <c r="B56" s="33" t="s">
        <v>235</v>
      </c>
      <c r="C56" s="34">
        <v>26.1</v>
      </c>
      <c r="D56" s="33" t="s">
        <v>224</v>
      </c>
      <c r="E56" s="35">
        <v>91000</v>
      </c>
      <c r="F56" s="32">
        <f t="shared" si="0"/>
        <v>97</v>
      </c>
      <c r="H56" s="80"/>
      <c r="I56" s="80"/>
    </row>
    <row r="57" spans="1:9" x14ac:dyDescent="0.55000000000000004">
      <c r="A57" s="33">
        <v>98</v>
      </c>
      <c r="B57" s="33" t="s">
        <v>236</v>
      </c>
      <c r="C57" s="34">
        <v>16.3</v>
      </c>
      <c r="D57" s="33" t="s">
        <v>224</v>
      </c>
      <c r="E57" s="35">
        <v>5320</v>
      </c>
      <c r="F57" s="32">
        <f t="shared" si="0"/>
        <v>98</v>
      </c>
      <c r="H57" s="80">
        <v>29</v>
      </c>
      <c r="I57" s="80" t="s">
        <v>47</v>
      </c>
    </row>
    <row r="58" spans="1:9" x14ac:dyDescent="0.55000000000000004">
      <c r="A58" s="33">
        <v>99</v>
      </c>
      <c r="B58" s="33" t="s">
        <v>237</v>
      </c>
      <c r="C58" s="34">
        <v>15.3</v>
      </c>
      <c r="D58" s="33" t="s">
        <v>224</v>
      </c>
      <c r="E58" s="35">
        <v>10500</v>
      </c>
      <c r="F58" s="32">
        <f t="shared" si="0"/>
        <v>99</v>
      </c>
      <c r="H58" s="80"/>
      <c r="I58" s="80"/>
    </row>
    <row r="59" spans="1:9" x14ac:dyDescent="0.55000000000000004">
      <c r="A59" s="33">
        <v>200</v>
      </c>
      <c r="B59" s="33" t="s">
        <v>238</v>
      </c>
      <c r="C59" s="34">
        <v>15</v>
      </c>
      <c r="D59" s="33" t="s">
        <v>239</v>
      </c>
      <c r="E59" s="35">
        <v>8625</v>
      </c>
      <c r="F59" s="32">
        <f t="shared" si="0"/>
        <v>200</v>
      </c>
      <c r="H59" s="80">
        <v>30</v>
      </c>
      <c r="I59" s="80" t="s">
        <v>48</v>
      </c>
    </row>
    <row r="60" spans="1:9" x14ac:dyDescent="0.55000000000000004">
      <c r="A60" s="33">
        <v>201</v>
      </c>
      <c r="B60" s="33" t="s">
        <v>120</v>
      </c>
      <c r="C60" s="34">
        <v>50245</v>
      </c>
      <c r="D60" s="33" t="s">
        <v>224</v>
      </c>
      <c r="E60" s="35">
        <v>18029195</v>
      </c>
      <c r="F60" s="32">
        <f t="shared" si="0"/>
        <v>201</v>
      </c>
      <c r="H60" s="80"/>
      <c r="I60" s="80"/>
    </row>
    <row r="61" spans="1:9" x14ac:dyDescent="0.55000000000000004">
      <c r="A61" s="33">
        <v>202</v>
      </c>
      <c r="B61" s="33" t="s">
        <v>121</v>
      </c>
      <c r="C61" s="34">
        <v>6040</v>
      </c>
      <c r="D61" s="33" t="s">
        <v>224</v>
      </c>
      <c r="E61" s="35">
        <v>2407520</v>
      </c>
      <c r="F61" s="32">
        <f t="shared" si="0"/>
        <v>202</v>
      </c>
      <c r="H61" s="80">
        <v>31</v>
      </c>
      <c r="I61" s="80" t="s">
        <v>49</v>
      </c>
    </row>
    <row r="62" spans="1:9" x14ac:dyDescent="0.55000000000000004">
      <c r="A62" s="33">
        <v>203</v>
      </c>
      <c r="B62" s="33" t="s">
        <v>122</v>
      </c>
      <c r="C62" s="34">
        <v>6020</v>
      </c>
      <c r="D62" s="33" t="s">
        <v>224</v>
      </c>
      <c r="E62" s="35">
        <v>1343960</v>
      </c>
      <c r="F62" s="32">
        <f t="shared" si="0"/>
        <v>203</v>
      </c>
      <c r="H62" s="80"/>
      <c r="I62" s="80"/>
    </row>
    <row r="63" spans="1:9" x14ac:dyDescent="0.55000000000000004">
      <c r="A63" s="33">
        <v>204</v>
      </c>
      <c r="B63" s="33" t="s">
        <v>123</v>
      </c>
      <c r="C63" s="34">
        <v>1176</v>
      </c>
      <c r="D63" s="33" t="s">
        <v>224</v>
      </c>
      <c r="E63" s="35">
        <v>2340000</v>
      </c>
      <c r="F63" s="32">
        <f t="shared" si="0"/>
        <v>204</v>
      </c>
      <c r="H63" s="80">
        <v>32</v>
      </c>
      <c r="I63" s="80" t="s">
        <v>50</v>
      </c>
    </row>
    <row r="64" spans="1:9" x14ac:dyDescent="0.55000000000000004">
      <c r="A64" s="33">
        <v>205</v>
      </c>
      <c r="B64" s="33" t="s">
        <v>124</v>
      </c>
      <c r="C64" s="34">
        <v>25</v>
      </c>
      <c r="D64" s="33" t="s">
        <v>224</v>
      </c>
      <c r="E64" s="35">
        <v>6855</v>
      </c>
      <c r="F64" s="32">
        <f t="shared" si="0"/>
        <v>205</v>
      </c>
      <c r="H64" s="80"/>
      <c r="I64" s="80"/>
    </row>
    <row r="65" spans="1:9" x14ac:dyDescent="0.55000000000000004">
      <c r="A65" s="33">
        <v>206</v>
      </c>
      <c r="B65" s="33" t="s">
        <v>125</v>
      </c>
      <c r="C65" s="34">
        <v>1802</v>
      </c>
      <c r="D65" s="33" t="s">
        <v>224</v>
      </c>
      <c r="E65" s="35">
        <v>1106394</v>
      </c>
      <c r="F65" s="32">
        <f t="shared" si="0"/>
        <v>206</v>
      </c>
      <c r="H65" s="80">
        <v>33</v>
      </c>
      <c r="I65" s="80" t="s">
        <v>51</v>
      </c>
    </row>
    <row r="66" spans="1:9" x14ac:dyDescent="0.55000000000000004">
      <c r="A66" s="33">
        <v>207</v>
      </c>
      <c r="B66" s="33" t="s">
        <v>126</v>
      </c>
      <c r="C66" s="34">
        <v>4</v>
      </c>
      <c r="D66" s="33" t="s">
        <v>224</v>
      </c>
      <c r="E66" s="35">
        <v>36800</v>
      </c>
      <c r="F66" s="32">
        <f t="shared" si="0"/>
        <v>207</v>
      </c>
      <c r="H66" s="80"/>
      <c r="I66" s="80"/>
    </row>
    <row r="67" spans="1:9" ht="13.5" customHeight="1" x14ac:dyDescent="0.55000000000000004">
      <c r="A67" s="33">
        <v>301</v>
      </c>
      <c r="B67" s="33" t="s">
        <v>132</v>
      </c>
      <c r="C67" s="34">
        <v>53</v>
      </c>
      <c r="D67" s="33" t="s">
        <v>224</v>
      </c>
      <c r="E67" s="35">
        <v>2120000</v>
      </c>
      <c r="F67" s="32">
        <f t="shared" ref="F67:F87" si="1">VLOOKUP(A67,$H:$H,1,FALSE)</f>
        <v>301</v>
      </c>
      <c r="H67" s="80">
        <v>34</v>
      </c>
      <c r="I67" s="80" t="s">
        <v>52</v>
      </c>
    </row>
    <row r="68" spans="1:9" x14ac:dyDescent="0.55000000000000004">
      <c r="A68" s="33">
        <v>302</v>
      </c>
      <c r="B68" s="33" t="s">
        <v>133</v>
      </c>
      <c r="C68" s="34">
        <v>10</v>
      </c>
      <c r="D68" s="33" t="s">
        <v>224</v>
      </c>
      <c r="E68" s="35">
        <v>500000</v>
      </c>
      <c r="F68" s="32">
        <f t="shared" si="1"/>
        <v>302</v>
      </c>
      <c r="H68" s="80"/>
      <c r="I68" s="80"/>
    </row>
    <row r="69" spans="1:9" x14ac:dyDescent="0.55000000000000004">
      <c r="A69" s="33">
        <v>312</v>
      </c>
      <c r="B69" s="33" t="s">
        <v>144</v>
      </c>
      <c r="C69" s="34">
        <v>20</v>
      </c>
      <c r="D69" s="33" t="s">
        <v>224</v>
      </c>
      <c r="E69" s="35">
        <v>76000</v>
      </c>
      <c r="F69" s="32">
        <f t="shared" si="1"/>
        <v>312</v>
      </c>
      <c r="H69" s="80">
        <v>35</v>
      </c>
      <c r="I69" s="80" t="s">
        <v>53</v>
      </c>
    </row>
    <row r="70" spans="1:9" x14ac:dyDescent="0.55000000000000004">
      <c r="A70" s="33">
        <v>317</v>
      </c>
      <c r="B70" s="33" t="s">
        <v>149</v>
      </c>
      <c r="C70" s="34">
        <v>2.5</v>
      </c>
      <c r="D70" s="33" t="s">
        <v>224</v>
      </c>
      <c r="E70" s="35">
        <v>57500</v>
      </c>
      <c r="F70" s="32">
        <f t="shared" si="1"/>
        <v>317</v>
      </c>
      <c r="H70" s="80"/>
      <c r="I70" s="80"/>
    </row>
    <row r="71" spans="1:9" x14ac:dyDescent="0.55000000000000004">
      <c r="A71" s="33">
        <v>325</v>
      </c>
      <c r="B71" s="33" t="s">
        <v>240</v>
      </c>
      <c r="C71" s="34">
        <v>115</v>
      </c>
      <c r="D71" s="33" t="s">
        <v>224</v>
      </c>
      <c r="E71" s="35">
        <v>5750000</v>
      </c>
      <c r="F71" s="32">
        <f t="shared" si="1"/>
        <v>325</v>
      </c>
      <c r="H71" s="80">
        <v>36</v>
      </c>
      <c r="I71" s="80" t="s">
        <v>54</v>
      </c>
    </row>
    <row r="72" spans="1:9" x14ac:dyDescent="0.55000000000000004">
      <c r="A72" s="33">
        <v>327</v>
      </c>
      <c r="B72" s="33" t="s">
        <v>241</v>
      </c>
      <c r="C72" s="34">
        <v>7</v>
      </c>
      <c r="D72" s="33" t="s">
        <v>224</v>
      </c>
      <c r="E72" s="35">
        <v>840000</v>
      </c>
      <c r="F72" s="32">
        <f t="shared" si="1"/>
        <v>327</v>
      </c>
      <c r="H72" s="80"/>
      <c r="I72" s="80"/>
    </row>
    <row r="73" spans="1:9" x14ac:dyDescent="0.55000000000000004">
      <c r="A73" s="33">
        <v>333</v>
      </c>
      <c r="B73" s="33" t="s">
        <v>242</v>
      </c>
      <c r="C73" s="34">
        <v>120</v>
      </c>
      <c r="D73" s="33" t="s">
        <v>224</v>
      </c>
      <c r="E73" s="35">
        <v>0</v>
      </c>
      <c r="F73" s="32">
        <f t="shared" si="1"/>
        <v>333</v>
      </c>
      <c r="H73" s="80">
        <v>37</v>
      </c>
      <c r="I73" s="80" t="s">
        <v>55</v>
      </c>
    </row>
    <row r="74" spans="1:9" x14ac:dyDescent="0.55000000000000004">
      <c r="A74" s="33">
        <v>336</v>
      </c>
      <c r="B74" s="33" t="s">
        <v>243</v>
      </c>
      <c r="C74" s="34">
        <v>20</v>
      </c>
      <c r="D74" s="33" t="s">
        <v>224</v>
      </c>
      <c r="E74" s="35">
        <v>0</v>
      </c>
      <c r="F74" s="32">
        <f t="shared" si="1"/>
        <v>336</v>
      </c>
      <c r="H74" s="80"/>
      <c r="I74" s="80"/>
    </row>
    <row r="75" spans="1:9" x14ac:dyDescent="0.55000000000000004">
      <c r="A75" s="33">
        <v>345</v>
      </c>
      <c r="B75" s="33" t="s">
        <v>244</v>
      </c>
      <c r="C75" s="34">
        <v>1100</v>
      </c>
      <c r="D75" s="33" t="s">
        <v>224</v>
      </c>
      <c r="E75" s="35">
        <v>1496000</v>
      </c>
      <c r="F75" s="32">
        <f t="shared" si="1"/>
        <v>345</v>
      </c>
      <c r="H75" s="80">
        <v>38</v>
      </c>
      <c r="I75" s="80" t="s">
        <v>56</v>
      </c>
    </row>
    <row r="76" spans="1:9" x14ac:dyDescent="0.55000000000000004">
      <c r="A76" s="33">
        <v>346</v>
      </c>
      <c r="B76" s="33" t="s">
        <v>245</v>
      </c>
      <c r="C76" s="34">
        <v>140</v>
      </c>
      <c r="D76" s="33" t="s">
        <v>224</v>
      </c>
      <c r="E76" s="35">
        <v>0</v>
      </c>
      <c r="F76" s="32">
        <f t="shared" si="1"/>
        <v>346</v>
      </c>
      <c r="H76" s="80"/>
      <c r="I76" s="80"/>
    </row>
    <row r="77" spans="1:9" x14ac:dyDescent="0.55000000000000004">
      <c r="A77" s="33">
        <v>352</v>
      </c>
      <c r="B77" s="33" t="s">
        <v>185</v>
      </c>
      <c r="C77" s="34">
        <v>1100</v>
      </c>
      <c r="D77" s="33" t="s">
        <v>239</v>
      </c>
      <c r="E77" s="35">
        <v>10450000</v>
      </c>
      <c r="F77" s="32">
        <f t="shared" si="1"/>
        <v>352</v>
      </c>
      <c r="H77" s="80">
        <v>39</v>
      </c>
      <c r="I77" s="80" t="s">
        <v>57</v>
      </c>
    </row>
    <row r="78" spans="1:9" x14ac:dyDescent="0.55000000000000004">
      <c r="A78" s="33">
        <v>353</v>
      </c>
      <c r="B78" s="33" t="s">
        <v>246</v>
      </c>
      <c r="C78" s="34">
        <v>10</v>
      </c>
      <c r="D78" s="33" t="s">
        <v>224</v>
      </c>
      <c r="E78" s="35">
        <v>132000</v>
      </c>
      <c r="F78" s="32">
        <f t="shared" si="1"/>
        <v>353</v>
      </c>
      <c r="H78" s="80"/>
      <c r="I78" s="80"/>
    </row>
    <row r="79" spans="1:9" x14ac:dyDescent="0.55000000000000004">
      <c r="A79" s="33">
        <v>916</v>
      </c>
      <c r="B79" s="33" t="s">
        <v>247</v>
      </c>
      <c r="C79" s="34">
        <v>16.5</v>
      </c>
      <c r="D79" s="33" t="s">
        <v>224</v>
      </c>
      <c r="E79" s="35">
        <v>7425</v>
      </c>
      <c r="F79" s="32">
        <f t="shared" si="1"/>
        <v>916</v>
      </c>
      <c r="H79" s="80">
        <v>40</v>
      </c>
      <c r="I79" s="80" t="s">
        <v>58</v>
      </c>
    </row>
    <row r="80" spans="1:9" x14ac:dyDescent="0.55000000000000004">
      <c r="A80" s="33">
        <v>920</v>
      </c>
      <c r="B80" s="33" t="s">
        <v>207</v>
      </c>
      <c r="C80" s="34">
        <v>14.850000000000001</v>
      </c>
      <c r="D80" s="33" t="s">
        <v>224</v>
      </c>
      <c r="E80" s="35">
        <v>10200</v>
      </c>
      <c r="F80" s="32">
        <f t="shared" si="1"/>
        <v>920</v>
      </c>
      <c r="H80" s="80"/>
      <c r="I80" s="80"/>
    </row>
    <row r="81" spans="1:9" x14ac:dyDescent="0.55000000000000004">
      <c r="A81" s="33">
        <v>921</v>
      </c>
      <c r="B81" s="33" t="s">
        <v>208</v>
      </c>
      <c r="C81" s="34">
        <v>16.5</v>
      </c>
      <c r="D81" s="33" t="s">
        <v>224</v>
      </c>
      <c r="E81" s="35">
        <v>44550</v>
      </c>
      <c r="F81" s="32">
        <f t="shared" si="1"/>
        <v>921</v>
      </c>
      <c r="H81" s="80">
        <v>41</v>
      </c>
      <c r="I81" s="80" t="s">
        <v>59</v>
      </c>
    </row>
    <row r="82" spans="1:9" x14ac:dyDescent="0.55000000000000004">
      <c r="A82" s="33">
        <v>922</v>
      </c>
      <c r="B82" s="33" t="s">
        <v>209</v>
      </c>
      <c r="C82" s="34">
        <v>16.5</v>
      </c>
      <c r="D82" s="33" t="s">
        <v>224</v>
      </c>
      <c r="E82" s="35">
        <v>56100</v>
      </c>
      <c r="F82" s="32">
        <f t="shared" si="1"/>
        <v>922</v>
      </c>
      <c r="H82" s="80"/>
      <c r="I82" s="80"/>
    </row>
    <row r="83" spans="1:9" x14ac:dyDescent="0.55000000000000004">
      <c r="A83" s="33">
        <v>923</v>
      </c>
      <c r="B83" s="33" t="s">
        <v>248</v>
      </c>
      <c r="C83" s="34">
        <v>1</v>
      </c>
      <c r="D83" s="33" t="s">
        <v>224</v>
      </c>
      <c r="E83" s="35">
        <v>0</v>
      </c>
      <c r="F83" s="32">
        <f t="shared" si="1"/>
        <v>923</v>
      </c>
      <c r="H83" s="80">
        <v>42</v>
      </c>
      <c r="I83" s="80" t="s">
        <v>60</v>
      </c>
    </row>
    <row r="84" spans="1:9" x14ac:dyDescent="0.55000000000000004">
      <c r="A84" s="33">
        <v>924</v>
      </c>
      <c r="B84" s="33" t="s">
        <v>249</v>
      </c>
      <c r="C84" s="34">
        <v>1</v>
      </c>
      <c r="D84" s="33" t="s">
        <v>224</v>
      </c>
      <c r="E84" s="35">
        <v>800</v>
      </c>
      <c r="F84" s="32">
        <f t="shared" si="1"/>
        <v>924</v>
      </c>
      <c r="H84" s="80"/>
      <c r="I84" s="80"/>
    </row>
    <row r="85" spans="1:9" x14ac:dyDescent="0.55000000000000004">
      <c r="A85" s="33">
        <v>925</v>
      </c>
      <c r="B85" s="33" t="s">
        <v>250</v>
      </c>
      <c r="C85" s="34">
        <v>1.1000000000000001</v>
      </c>
      <c r="D85" s="33" t="s">
        <v>224</v>
      </c>
      <c r="E85" s="35">
        <v>435</v>
      </c>
      <c r="F85" s="32">
        <f t="shared" si="1"/>
        <v>925</v>
      </c>
      <c r="H85" s="80">
        <v>43</v>
      </c>
      <c r="I85" s="80" t="s">
        <v>61</v>
      </c>
    </row>
    <row r="86" spans="1:9" x14ac:dyDescent="0.55000000000000004">
      <c r="A86" s="33">
        <v>926</v>
      </c>
      <c r="B86" s="33" t="s">
        <v>251</v>
      </c>
      <c r="C86" s="34">
        <v>1</v>
      </c>
      <c r="D86" s="33" t="s">
        <v>224</v>
      </c>
      <c r="E86" s="35">
        <v>435</v>
      </c>
      <c r="F86" s="32">
        <f t="shared" si="1"/>
        <v>926</v>
      </c>
      <c r="H86" s="80"/>
      <c r="I86" s="80"/>
    </row>
    <row r="87" spans="1:9" x14ac:dyDescent="0.55000000000000004">
      <c r="A87" s="33">
        <v>927</v>
      </c>
      <c r="B87" s="33" t="s">
        <v>252</v>
      </c>
      <c r="C87" s="34">
        <v>1</v>
      </c>
      <c r="D87" s="33" t="s">
        <v>224</v>
      </c>
      <c r="E87" s="35">
        <v>0</v>
      </c>
      <c r="F87" s="32">
        <f t="shared" si="1"/>
        <v>927</v>
      </c>
      <c r="H87" s="80">
        <v>44</v>
      </c>
      <c r="I87" s="80" t="s">
        <v>62</v>
      </c>
    </row>
    <row r="88" spans="1:9" x14ac:dyDescent="0.55000000000000004">
      <c r="A88" s="32"/>
      <c r="B88" s="32"/>
      <c r="C88" s="32"/>
      <c r="D88" s="32"/>
      <c r="E88" s="32"/>
      <c r="H88" s="80"/>
      <c r="I88" s="80"/>
    </row>
    <row r="89" spans="1:9" ht="13.5" customHeight="1" x14ac:dyDescent="0.55000000000000004">
      <c r="A89" s="32"/>
      <c r="B89" s="32"/>
      <c r="C89" s="32"/>
      <c r="D89" s="32"/>
      <c r="E89" s="32"/>
      <c r="H89" s="80">
        <v>45</v>
      </c>
      <c r="I89" s="80" t="s">
        <v>63</v>
      </c>
    </row>
    <row r="90" spans="1:9" x14ac:dyDescent="0.55000000000000004">
      <c r="A90" s="32"/>
      <c r="B90" s="32"/>
      <c r="C90" s="32"/>
      <c r="D90" s="32"/>
      <c r="E90" s="32"/>
      <c r="H90" s="80"/>
      <c r="I90" s="80"/>
    </row>
    <row r="91" spans="1:9" x14ac:dyDescent="0.55000000000000004">
      <c r="A91" s="32"/>
      <c r="B91" s="32"/>
      <c r="C91" s="32"/>
      <c r="D91" s="32"/>
      <c r="E91" s="32"/>
      <c r="H91" s="80">
        <v>46</v>
      </c>
      <c r="I91" s="80" t="s">
        <v>64</v>
      </c>
    </row>
    <row r="92" spans="1:9" x14ac:dyDescent="0.55000000000000004">
      <c r="A92" s="32"/>
      <c r="B92" s="32"/>
      <c r="C92" s="32"/>
      <c r="D92" s="32"/>
      <c r="E92" s="32"/>
      <c r="H92" s="80"/>
      <c r="I92" s="80"/>
    </row>
    <row r="93" spans="1:9" x14ac:dyDescent="0.55000000000000004">
      <c r="A93" s="32"/>
      <c r="B93" s="32"/>
      <c r="C93" s="32"/>
      <c r="D93" s="32"/>
      <c r="E93" s="32"/>
      <c r="H93" s="80">
        <v>47</v>
      </c>
      <c r="I93" s="80" t="s">
        <v>65</v>
      </c>
    </row>
    <row r="94" spans="1:9" x14ac:dyDescent="0.55000000000000004">
      <c r="A94" s="32"/>
      <c r="B94" s="32"/>
      <c r="C94" s="32"/>
      <c r="D94" s="32"/>
      <c r="E94" s="32"/>
      <c r="H94" s="80"/>
      <c r="I94" s="80"/>
    </row>
    <row r="95" spans="1:9" x14ac:dyDescent="0.55000000000000004">
      <c r="A95" s="32"/>
      <c r="B95" s="32"/>
      <c r="C95" s="32"/>
      <c r="D95" s="32"/>
      <c r="E95" s="32"/>
      <c r="H95" s="80">
        <v>48</v>
      </c>
      <c r="I95" s="80" t="s">
        <v>66</v>
      </c>
    </row>
    <row r="96" spans="1:9" x14ac:dyDescent="0.55000000000000004">
      <c r="A96" s="32"/>
      <c r="B96" s="32"/>
      <c r="C96" s="32"/>
      <c r="D96" s="32"/>
      <c r="E96" s="32"/>
      <c r="H96" s="80"/>
      <c r="I96" s="80"/>
    </row>
    <row r="97" spans="1:9" x14ac:dyDescent="0.55000000000000004">
      <c r="A97" s="32"/>
      <c r="B97" s="32"/>
      <c r="C97" s="32"/>
      <c r="D97" s="32"/>
      <c r="E97" s="32"/>
      <c r="H97" s="80">
        <v>49</v>
      </c>
      <c r="I97" s="80" t="s">
        <v>67</v>
      </c>
    </row>
    <row r="98" spans="1:9" x14ac:dyDescent="0.55000000000000004">
      <c r="A98" s="32"/>
      <c r="B98" s="32"/>
      <c r="C98" s="32"/>
      <c r="D98" s="32"/>
      <c r="E98" s="32"/>
      <c r="H98" s="80"/>
      <c r="I98" s="80"/>
    </row>
    <row r="99" spans="1:9" x14ac:dyDescent="0.55000000000000004">
      <c r="A99" s="32"/>
      <c r="B99" s="32"/>
      <c r="C99" s="32"/>
      <c r="D99" s="32"/>
      <c r="E99" s="32"/>
      <c r="H99" s="93">
        <v>50</v>
      </c>
      <c r="I99" s="80" t="s">
        <v>69</v>
      </c>
    </row>
    <row r="100" spans="1:9" x14ac:dyDescent="0.55000000000000004">
      <c r="A100" s="32"/>
      <c r="B100" s="32"/>
      <c r="C100" s="32"/>
      <c r="D100" s="32"/>
      <c r="E100" s="32"/>
      <c r="H100" s="80"/>
      <c r="I100" s="80"/>
    </row>
    <row r="101" spans="1:9" x14ac:dyDescent="0.55000000000000004">
      <c r="A101" s="32"/>
      <c r="B101" s="32"/>
      <c r="C101" s="32"/>
      <c r="D101" s="32"/>
      <c r="E101" s="32"/>
      <c r="H101" s="80">
        <v>51</v>
      </c>
      <c r="I101" s="80" t="s">
        <v>70</v>
      </c>
    </row>
    <row r="102" spans="1:9" x14ac:dyDescent="0.55000000000000004">
      <c r="A102" s="32"/>
      <c r="B102" s="32"/>
      <c r="C102" s="32"/>
      <c r="D102" s="32"/>
      <c r="E102" s="32"/>
      <c r="H102" s="80"/>
      <c r="I102" s="80"/>
    </row>
    <row r="103" spans="1:9" x14ac:dyDescent="0.55000000000000004">
      <c r="A103" s="32"/>
      <c r="B103" s="32"/>
      <c r="C103" s="32"/>
      <c r="D103" s="32"/>
      <c r="E103" s="32"/>
      <c r="H103" s="93">
        <v>52</v>
      </c>
      <c r="I103" s="80" t="s">
        <v>71</v>
      </c>
    </row>
    <row r="104" spans="1:9" x14ac:dyDescent="0.55000000000000004">
      <c r="A104" s="32"/>
      <c r="B104" s="32"/>
      <c r="C104" s="32"/>
      <c r="D104" s="32"/>
      <c r="E104" s="32"/>
      <c r="H104" s="80"/>
      <c r="I104" s="80"/>
    </row>
    <row r="105" spans="1:9" x14ac:dyDescent="0.55000000000000004">
      <c r="A105" s="32"/>
      <c r="B105" s="32"/>
      <c r="C105" s="32"/>
      <c r="D105" s="32"/>
      <c r="E105" s="32"/>
      <c r="H105" s="94">
        <v>53</v>
      </c>
      <c r="I105" s="80" t="s">
        <v>72</v>
      </c>
    </row>
    <row r="106" spans="1:9" x14ac:dyDescent="0.55000000000000004">
      <c r="A106" s="32"/>
      <c r="B106" s="32"/>
      <c r="C106" s="32"/>
      <c r="D106" s="32"/>
      <c r="E106" s="32"/>
      <c r="H106" s="94"/>
      <c r="I106" s="80"/>
    </row>
    <row r="107" spans="1:9" x14ac:dyDescent="0.55000000000000004">
      <c r="A107" s="32"/>
      <c r="B107" s="32"/>
      <c r="C107" s="32"/>
      <c r="D107" s="32"/>
      <c r="E107" s="32"/>
      <c r="H107" s="94">
        <v>54</v>
      </c>
      <c r="I107" s="80" t="s">
        <v>73</v>
      </c>
    </row>
    <row r="108" spans="1:9" x14ac:dyDescent="0.55000000000000004">
      <c r="A108" s="32"/>
      <c r="B108" s="32"/>
      <c r="C108" s="32"/>
      <c r="D108" s="32"/>
      <c r="E108" s="32"/>
      <c r="H108" s="94"/>
      <c r="I108" s="80"/>
    </row>
    <row r="109" spans="1:9" x14ac:dyDescent="0.55000000000000004">
      <c r="A109" s="32"/>
      <c r="B109" s="32"/>
      <c r="C109" s="32"/>
      <c r="D109" s="32"/>
      <c r="E109" s="32"/>
      <c r="H109" s="94">
        <v>55</v>
      </c>
      <c r="I109" s="80" t="s">
        <v>74</v>
      </c>
    </row>
    <row r="110" spans="1:9" x14ac:dyDescent="0.55000000000000004">
      <c r="A110" s="32"/>
      <c r="B110" s="32"/>
      <c r="C110" s="32"/>
      <c r="D110" s="32"/>
      <c r="E110" s="32"/>
      <c r="H110" s="94"/>
      <c r="I110" s="80"/>
    </row>
    <row r="111" spans="1:9" x14ac:dyDescent="0.55000000000000004">
      <c r="A111" s="32"/>
      <c r="B111" s="32"/>
      <c r="C111" s="32"/>
      <c r="D111" s="32"/>
      <c r="E111" s="32"/>
      <c r="H111" s="94">
        <v>56</v>
      </c>
      <c r="I111" s="80" t="s">
        <v>75</v>
      </c>
    </row>
    <row r="112" spans="1:9" x14ac:dyDescent="0.55000000000000004">
      <c r="H112" s="94"/>
      <c r="I112" s="80"/>
    </row>
    <row r="113" spans="8:9" x14ac:dyDescent="0.55000000000000004">
      <c r="H113" s="80">
        <v>57</v>
      </c>
      <c r="I113" s="95" t="s">
        <v>76</v>
      </c>
    </row>
    <row r="114" spans="8:9" x14ac:dyDescent="0.55000000000000004">
      <c r="H114" s="80"/>
      <c r="I114" s="86"/>
    </row>
    <row r="115" spans="8:9" x14ac:dyDescent="0.55000000000000004">
      <c r="H115" s="96">
        <v>58</v>
      </c>
      <c r="I115" s="80" t="s">
        <v>77</v>
      </c>
    </row>
    <row r="116" spans="8:9" x14ac:dyDescent="0.55000000000000004">
      <c r="H116" s="94"/>
      <c r="I116" s="80"/>
    </row>
    <row r="117" spans="8:9" x14ac:dyDescent="0.55000000000000004">
      <c r="H117" s="96">
        <v>59</v>
      </c>
      <c r="I117" s="80" t="s">
        <v>78</v>
      </c>
    </row>
    <row r="118" spans="8:9" x14ac:dyDescent="0.55000000000000004">
      <c r="H118" s="94"/>
      <c r="I118" s="80"/>
    </row>
    <row r="119" spans="8:9" x14ac:dyDescent="0.55000000000000004">
      <c r="H119" s="93">
        <v>60</v>
      </c>
      <c r="I119" s="95" t="s">
        <v>79</v>
      </c>
    </row>
    <row r="120" spans="8:9" x14ac:dyDescent="0.55000000000000004">
      <c r="H120" s="80"/>
      <c r="I120" s="86"/>
    </row>
    <row r="121" spans="8:9" ht="13.5" customHeight="1" x14ac:dyDescent="0.55000000000000004">
      <c r="H121" s="93">
        <v>61</v>
      </c>
      <c r="I121" s="95" t="s">
        <v>80</v>
      </c>
    </row>
    <row r="122" spans="8:9" x14ac:dyDescent="0.55000000000000004">
      <c r="H122" s="80"/>
      <c r="I122" s="86"/>
    </row>
    <row r="123" spans="8:9" ht="13.5" customHeight="1" x14ac:dyDescent="0.55000000000000004">
      <c r="H123" s="93">
        <v>62</v>
      </c>
      <c r="I123" s="95" t="s">
        <v>81</v>
      </c>
    </row>
    <row r="124" spans="8:9" x14ac:dyDescent="0.55000000000000004">
      <c r="H124" s="80"/>
      <c r="I124" s="86"/>
    </row>
    <row r="125" spans="8:9" ht="13.5" customHeight="1" x14ac:dyDescent="0.55000000000000004">
      <c r="H125" s="93">
        <v>63</v>
      </c>
      <c r="I125" s="95" t="s">
        <v>82</v>
      </c>
    </row>
    <row r="126" spans="8:9" x14ac:dyDescent="0.55000000000000004">
      <c r="H126" s="80"/>
      <c r="I126" s="86"/>
    </row>
    <row r="127" spans="8:9" x14ac:dyDescent="0.55000000000000004">
      <c r="H127" s="93">
        <v>64</v>
      </c>
      <c r="I127" s="80" t="s">
        <v>83</v>
      </c>
    </row>
    <row r="128" spans="8:9" x14ac:dyDescent="0.55000000000000004">
      <c r="H128" s="80"/>
      <c r="I128" s="80"/>
    </row>
    <row r="129" spans="8:9" ht="13.5" customHeight="1" x14ac:dyDescent="0.55000000000000004">
      <c r="H129" s="93">
        <v>65</v>
      </c>
      <c r="I129" s="80" t="s">
        <v>84</v>
      </c>
    </row>
    <row r="130" spans="8:9" x14ac:dyDescent="0.55000000000000004">
      <c r="H130" s="80"/>
      <c r="I130" s="80"/>
    </row>
    <row r="131" spans="8:9" ht="13.5" customHeight="1" x14ac:dyDescent="0.55000000000000004">
      <c r="H131" s="93">
        <v>66</v>
      </c>
      <c r="I131" s="95" t="s">
        <v>85</v>
      </c>
    </row>
    <row r="132" spans="8:9" x14ac:dyDescent="0.55000000000000004">
      <c r="H132" s="80"/>
      <c r="I132" s="86"/>
    </row>
    <row r="133" spans="8:9" ht="13.5" customHeight="1" x14ac:dyDescent="0.55000000000000004">
      <c r="H133" s="93">
        <v>67</v>
      </c>
      <c r="I133" s="95" t="s">
        <v>86</v>
      </c>
    </row>
    <row r="134" spans="8:9" x14ac:dyDescent="0.55000000000000004">
      <c r="H134" s="80"/>
      <c r="I134" s="86"/>
    </row>
    <row r="135" spans="8:9" ht="13.5" customHeight="1" x14ac:dyDescent="0.55000000000000004">
      <c r="H135" s="93">
        <v>68</v>
      </c>
      <c r="I135" s="95" t="s">
        <v>87</v>
      </c>
    </row>
    <row r="136" spans="8:9" x14ac:dyDescent="0.55000000000000004">
      <c r="H136" s="80"/>
      <c r="I136" s="86"/>
    </row>
    <row r="137" spans="8:9" x14ac:dyDescent="0.55000000000000004">
      <c r="H137" s="93">
        <v>69</v>
      </c>
      <c r="I137" s="95" t="s">
        <v>88</v>
      </c>
    </row>
    <row r="138" spans="8:9" x14ac:dyDescent="0.55000000000000004">
      <c r="H138" s="80"/>
      <c r="I138" s="86"/>
    </row>
    <row r="139" spans="8:9" x14ac:dyDescent="0.55000000000000004">
      <c r="H139" s="94">
        <v>70</v>
      </c>
      <c r="I139" s="94" t="s">
        <v>89</v>
      </c>
    </row>
    <row r="140" spans="8:9" x14ac:dyDescent="0.55000000000000004">
      <c r="H140" s="80"/>
      <c r="I140" s="80"/>
    </row>
    <row r="141" spans="8:9" x14ac:dyDescent="0.55000000000000004">
      <c r="H141" s="94">
        <v>71</v>
      </c>
      <c r="I141" s="94" t="s">
        <v>90</v>
      </c>
    </row>
    <row r="142" spans="8:9" x14ac:dyDescent="0.55000000000000004">
      <c r="H142" s="80"/>
      <c r="I142" s="80"/>
    </row>
    <row r="143" spans="8:9" x14ac:dyDescent="0.55000000000000004">
      <c r="H143" s="94">
        <v>72</v>
      </c>
      <c r="I143" s="94" t="s">
        <v>91</v>
      </c>
    </row>
    <row r="144" spans="8:9" x14ac:dyDescent="0.55000000000000004">
      <c r="H144" s="80"/>
      <c r="I144" s="80"/>
    </row>
    <row r="145" spans="8:9" x14ac:dyDescent="0.55000000000000004">
      <c r="H145" s="94">
        <v>73</v>
      </c>
      <c r="I145" s="94" t="s">
        <v>92</v>
      </c>
    </row>
    <row r="146" spans="8:9" x14ac:dyDescent="0.55000000000000004">
      <c r="H146" s="80"/>
      <c r="I146" s="80"/>
    </row>
    <row r="147" spans="8:9" x14ac:dyDescent="0.55000000000000004">
      <c r="H147" s="94">
        <v>74</v>
      </c>
      <c r="I147" s="94" t="s">
        <v>93</v>
      </c>
    </row>
    <row r="148" spans="8:9" x14ac:dyDescent="0.55000000000000004">
      <c r="H148" s="80"/>
      <c r="I148" s="80"/>
    </row>
    <row r="149" spans="8:9" ht="13.5" customHeight="1" x14ac:dyDescent="0.55000000000000004">
      <c r="H149" s="94">
        <v>75</v>
      </c>
      <c r="I149" s="94" t="s">
        <v>94</v>
      </c>
    </row>
    <row r="150" spans="8:9" x14ac:dyDescent="0.55000000000000004">
      <c r="H150" s="80"/>
      <c r="I150" s="80"/>
    </row>
    <row r="151" spans="8:9" ht="13.5" customHeight="1" x14ac:dyDescent="0.55000000000000004">
      <c r="H151" s="94">
        <v>76</v>
      </c>
      <c r="I151" s="94" t="s">
        <v>95</v>
      </c>
    </row>
    <row r="152" spans="8:9" x14ac:dyDescent="0.55000000000000004">
      <c r="H152" s="80"/>
      <c r="I152" s="80"/>
    </row>
    <row r="153" spans="8:9" ht="13.5" customHeight="1" x14ac:dyDescent="0.55000000000000004">
      <c r="H153" s="94">
        <v>77</v>
      </c>
      <c r="I153" s="94" t="s">
        <v>96</v>
      </c>
    </row>
    <row r="154" spans="8:9" x14ac:dyDescent="0.55000000000000004">
      <c r="H154" s="80"/>
      <c r="I154" s="80"/>
    </row>
    <row r="155" spans="8:9" ht="13.5" customHeight="1" x14ac:dyDescent="0.55000000000000004">
      <c r="H155" s="94">
        <v>78</v>
      </c>
      <c r="I155" s="94" t="s">
        <v>97</v>
      </c>
    </row>
    <row r="156" spans="8:9" x14ac:dyDescent="0.55000000000000004">
      <c r="H156" s="80"/>
      <c r="I156" s="80"/>
    </row>
    <row r="157" spans="8:9" ht="13.5" customHeight="1" x14ac:dyDescent="0.55000000000000004">
      <c r="H157" s="94">
        <v>79</v>
      </c>
      <c r="I157" s="94" t="s">
        <v>98</v>
      </c>
    </row>
    <row r="158" spans="8:9" x14ac:dyDescent="0.55000000000000004">
      <c r="H158" s="80"/>
      <c r="I158" s="80"/>
    </row>
    <row r="159" spans="8:9" ht="13.5" customHeight="1" x14ac:dyDescent="0.55000000000000004">
      <c r="H159" s="94">
        <v>80</v>
      </c>
      <c r="I159" s="94" t="s">
        <v>99</v>
      </c>
    </row>
    <row r="160" spans="8:9" x14ac:dyDescent="0.55000000000000004">
      <c r="H160" s="80"/>
      <c r="I160" s="80"/>
    </row>
    <row r="161" spans="8:9" ht="13.5" customHeight="1" x14ac:dyDescent="0.55000000000000004">
      <c r="H161" s="94">
        <v>81</v>
      </c>
      <c r="I161" s="94" t="s">
        <v>100</v>
      </c>
    </row>
    <row r="162" spans="8:9" x14ac:dyDescent="0.55000000000000004">
      <c r="H162" s="80"/>
      <c r="I162" s="80"/>
    </row>
    <row r="163" spans="8:9" x14ac:dyDescent="0.55000000000000004">
      <c r="H163" s="94">
        <v>82</v>
      </c>
      <c r="I163" s="94" t="s">
        <v>101</v>
      </c>
    </row>
    <row r="164" spans="8:9" x14ac:dyDescent="0.55000000000000004">
      <c r="H164" s="80"/>
      <c r="I164" s="80"/>
    </row>
    <row r="165" spans="8:9" ht="13.5" customHeight="1" x14ac:dyDescent="0.55000000000000004">
      <c r="H165" s="94">
        <v>83</v>
      </c>
      <c r="I165" s="94" t="s">
        <v>102</v>
      </c>
    </row>
    <row r="166" spans="8:9" x14ac:dyDescent="0.55000000000000004">
      <c r="H166" s="80"/>
      <c r="I166" s="80"/>
    </row>
    <row r="167" spans="8:9" x14ac:dyDescent="0.55000000000000004">
      <c r="H167" s="94">
        <v>84</v>
      </c>
      <c r="I167" s="94" t="s">
        <v>103</v>
      </c>
    </row>
    <row r="168" spans="8:9" x14ac:dyDescent="0.55000000000000004">
      <c r="H168" s="80"/>
      <c r="I168" s="80"/>
    </row>
    <row r="169" spans="8:9" x14ac:dyDescent="0.55000000000000004">
      <c r="H169" s="94">
        <v>85</v>
      </c>
      <c r="I169" s="94" t="s">
        <v>104</v>
      </c>
    </row>
    <row r="170" spans="8:9" x14ac:dyDescent="0.55000000000000004">
      <c r="H170" s="80"/>
      <c r="I170" s="80"/>
    </row>
    <row r="171" spans="8:9" ht="13.5" customHeight="1" x14ac:dyDescent="0.55000000000000004">
      <c r="H171" s="80">
        <v>86</v>
      </c>
      <c r="I171" s="97" t="s">
        <v>105</v>
      </c>
    </row>
    <row r="172" spans="8:9" x14ac:dyDescent="0.55000000000000004">
      <c r="H172" s="80"/>
      <c r="I172" s="98"/>
    </row>
    <row r="173" spans="8:9" ht="13.5" customHeight="1" x14ac:dyDescent="0.55000000000000004">
      <c r="H173" s="80">
        <v>87</v>
      </c>
      <c r="I173" s="94" t="s">
        <v>106</v>
      </c>
    </row>
    <row r="174" spans="8:9" x14ac:dyDescent="0.55000000000000004">
      <c r="H174" s="80"/>
      <c r="I174" s="80"/>
    </row>
    <row r="175" spans="8:9" x14ac:dyDescent="0.55000000000000004">
      <c r="H175" s="80">
        <v>88</v>
      </c>
      <c r="I175" s="94" t="s">
        <v>107</v>
      </c>
    </row>
    <row r="176" spans="8:9" x14ac:dyDescent="0.55000000000000004">
      <c r="H176" s="80"/>
      <c r="I176" s="80"/>
    </row>
    <row r="177" spans="8:9" x14ac:dyDescent="0.55000000000000004">
      <c r="H177" s="80">
        <v>89</v>
      </c>
      <c r="I177" s="94" t="s">
        <v>108</v>
      </c>
    </row>
    <row r="178" spans="8:9" x14ac:dyDescent="0.55000000000000004">
      <c r="H178" s="80"/>
      <c r="I178" s="80"/>
    </row>
    <row r="179" spans="8:9" x14ac:dyDescent="0.55000000000000004">
      <c r="H179" s="80">
        <v>90</v>
      </c>
      <c r="I179" s="94" t="s">
        <v>109</v>
      </c>
    </row>
    <row r="180" spans="8:9" x14ac:dyDescent="0.55000000000000004">
      <c r="H180" s="80"/>
      <c r="I180" s="80"/>
    </row>
    <row r="181" spans="8:9" x14ac:dyDescent="0.55000000000000004">
      <c r="H181" s="80">
        <v>91</v>
      </c>
      <c r="I181" s="94" t="s">
        <v>110</v>
      </c>
    </row>
    <row r="182" spans="8:9" x14ac:dyDescent="0.55000000000000004">
      <c r="H182" s="80"/>
      <c r="I182" s="80"/>
    </row>
    <row r="183" spans="8:9" x14ac:dyDescent="0.55000000000000004">
      <c r="H183" s="80">
        <v>92</v>
      </c>
      <c r="I183" s="94" t="s">
        <v>111</v>
      </c>
    </row>
    <row r="184" spans="8:9" x14ac:dyDescent="0.55000000000000004">
      <c r="H184" s="80"/>
      <c r="I184" s="80"/>
    </row>
    <row r="185" spans="8:9" ht="13.5" customHeight="1" x14ac:dyDescent="0.55000000000000004">
      <c r="H185" s="80">
        <v>93</v>
      </c>
      <c r="I185" s="94" t="s">
        <v>112</v>
      </c>
    </row>
    <row r="186" spans="8:9" x14ac:dyDescent="0.55000000000000004">
      <c r="H186" s="80"/>
      <c r="I186" s="80"/>
    </row>
    <row r="187" spans="8:9" x14ac:dyDescent="0.55000000000000004">
      <c r="H187" s="80">
        <v>94</v>
      </c>
      <c r="I187" s="94" t="s">
        <v>113</v>
      </c>
    </row>
    <row r="188" spans="8:9" x14ac:dyDescent="0.55000000000000004">
      <c r="H188" s="80"/>
      <c r="I188" s="80"/>
    </row>
    <row r="189" spans="8:9" x14ac:dyDescent="0.55000000000000004">
      <c r="H189" s="80">
        <v>95</v>
      </c>
      <c r="I189" s="94" t="s">
        <v>114</v>
      </c>
    </row>
    <row r="190" spans="8:9" x14ac:dyDescent="0.55000000000000004">
      <c r="H190" s="80"/>
      <c r="I190" s="80"/>
    </row>
    <row r="191" spans="8:9" x14ac:dyDescent="0.55000000000000004">
      <c r="H191" s="99">
        <v>96</v>
      </c>
      <c r="I191" s="100" t="s">
        <v>115</v>
      </c>
    </row>
    <row r="192" spans="8:9" x14ac:dyDescent="0.55000000000000004">
      <c r="H192" s="99"/>
      <c r="I192" s="99"/>
    </row>
    <row r="193" spans="8:9" x14ac:dyDescent="0.55000000000000004">
      <c r="H193" s="99">
        <v>97</v>
      </c>
      <c r="I193" s="100" t="s">
        <v>116</v>
      </c>
    </row>
    <row r="194" spans="8:9" x14ac:dyDescent="0.55000000000000004">
      <c r="H194" s="99"/>
      <c r="I194" s="99"/>
    </row>
    <row r="195" spans="8:9" x14ac:dyDescent="0.55000000000000004">
      <c r="H195" s="99">
        <v>98</v>
      </c>
      <c r="I195" s="100" t="s">
        <v>117</v>
      </c>
    </row>
    <row r="196" spans="8:9" x14ac:dyDescent="0.55000000000000004">
      <c r="H196" s="99"/>
      <c r="I196" s="99"/>
    </row>
    <row r="197" spans="8:9" x14ac:dyDescent="0.55000000000000004">
      <c r="H197" s="99">
        <v>99</v>
      </c>
      <c r="I197" s="100" t="s">
        <v>118</v>
      </c>
    </row>
    <row r="198" spans="8:9" x14ac:dyDescent="0.55000000000000004">
      <c r="H198" s="99"/>
      <c r="I198" s="99"/>
    </row>
    <row r="199" spans="8:9" x14ac:dyDescent="0.55000000000000004">
      <c r="H199" s="94">
        <v>200</v>
      </c>
      <c r="I199" s="94" t="s">
        <v>119</v>
      </c>
    </row>
    <row r="200" spans="8:9" x14ac:dyDescent="0.55000000000000004">
      <c r="H200" s="80"/>
      <c r="I200" s="80"/>
    </row>
    <row r="201" spans="8:9" x14ac:dyDescent="0.55000000000000004">
      <c r="H201" s="80">
        <v>201</v>
      </c>
      <c r="I201" s="80" t="s">
        <v>120</v>
      </c>
    </row>
    <row r="202" spans="8:9" x14ac:dyDescent="0.55000000000000004">
      <c r="H202" s="80"/>
      <c r="I202" s="80"/>
    </row>
    <row r="203" spans="8:9" x14ac:dyDescent="0.55000000000000004">
      <c r="H203" s="80">
        <v>202</v>
      </c>
      <c r="I203" s="80" t="s">
        <v>121</v>
      </c>
    </row>
    <row r="204" spans="8:9" x14ac:dyDescent="0.55000000000000004">
      <c r="H204" s="80"/>
      <c r="I204" s="80"/>
    </row>
    <row r="205" spans="8:9" x14ac:dyDescent="0.55000000000000004">
      <c r="H205" s="80">
        <v>203</v>
      </c>
      <c r="I205" s="80" t="s">
        <v>122</v>
      </c>
    </row>
    <row r="206" spans="8:9" x14ac:dyDescent="0.55000000000000004">
      <c r="H206" s="80"/>
      <c r="I206" s="80"/>
    </row>
    <row r="207" spans="8:9" x14ac:dyDescent="0.55000000000000004">
      <c r="H207" s="80">
        <v>204</v>
      </c>
      <c r="I207" s="80" t="s">
        <v>123</v>
      </c>
    </row>
    <row r="208" spans="8:9" x14ac:dyDescent="0.55000000000000004">
      <c r="H208" s="80"/>
      <c r="I208" s="80"/>
    </row>
    <row r="209" spans="8:9" x14ac:dyDescent="0.55000000000000004">
      <c r="H209" s="80">
        <v>205</v>
      </c>
      <c r="I209" s="80" t="s">
        <v>124</v>
      </c>
    </row>
    <row r="210" spans="8:9" x14ac:dyDescent="0.55000000000000004">
      <c r="H210" s="80"/>
      <c r="I210" s="80"/>
    </row>
    <row r="211" spans="8:9" ht="13.5" customHeight="1" x14ac:dyDescent="0.55000000000000004">
      <c r="H211" s="80">
        <v>206</v>
      </c>
      <c r="I211" s="80" t="s">
        <v>125</v>
      </c>
    </row>
    <row r="212" spans="8:9" x14ac:dyDescent="0.55000000000000004">
      <c r="H212" s="80"/>
      <c r="I212" s="80"/>
    </row>
    <row r="213" spans="8:9" ht="13.5" customHeight="1" x14ac:dyDescent="0.55000000000000004">
      <c r="H213" s="80">
        <v>207</v>
      </c>
      <c r="I213" s="80" t="s">
        <v>126</v>
      </c>
    </row>
    <row r="214" spans="8:9" x14ac:dyDescent="0.55000000000000004">
      <c r="H214" s="80"/>
      <c r="I214" s="80"/>
    </row>
    <row r="215" spans="8:9" ht="13.5" customHeight="1" x14ac:dyDescent="0.55000000000000004">
      <c r="H215" s="80">
        <v>208</v>
      </c>
      <c r="I215" s="80" t="s">
        <v>127</v>
      </c>
    </row>
    <row r="216" spans="8:9" x14ac:dyDescent="0.55000000000000004">
      <c r="H216" s="80"/>
      <c r="I216" s="80"/>
    </row>
    <row r="217" spans="8:9" ht="13.5" customHeight="1" x14ac:dyDescent="0.55000000000000004">
      <c r="H217" s="94">
        <v>209</v>
      </c>
      <c r="I217" s="94" t="s">
        <v>128</v>
      </c>
    </row>
    <row r="218" spans="8:9" x14ac:dyDescent="0.55000000000000004">
      <c r="H218" s="80"/>
      <c r="I218" s="80"/>
    </row>
    <row r="219" spans="8:9" ht="13.5" customHeight="1" x14ac:dyDescent="0.55000000000000004">
      <c r="H219" s="94">
        <v>210</v>
      </c>
      <c r="I219" s="94" t="s">
        <v>129</v>
      </c>
    </row>
    <row r="220" spans="8:9" x14ac:dyDescent="0.55000000000000004">
      <c r="H220" s="80"/>
      <c r="I220" s="80"/>
    </row>
    <row r="221" spans="8:9" ht="13.5" customHeight="1" x14ac:dyDescent="0.55000000000000004">
      <c r="H221" s="80">
        <v>211</v>
      </c>
      <c r="I221" s="94" t="s">
        <v>130</v>
      </c>
    </row>
    <row r="222" spans="8:9" x14ac:dyDescent="0.55000000000000004">
      <c r="H222" s="80"/>
      <c r="I222" s="80"/>
    </row>
    <row r="223" spans="8:9" ht="13.5" customHeight="1" x14ac:dyDescent="0.55000000000000004">
      <c r="H223" s="80">
        <v>212</v>
      </c>
      <c r="I223" s="94" t="s">
        <v>131</v>
      </c>
    </row>
    <row r="224" spans="8:9" x14ac:dyDescent="0.55000000000000004">
      <c r="H224" s="80"/>
      <c r="I224" s="80"/>
    </row>
    <row r="225" spans="8:9" ht="13.5" customHeight="1" x14ac:dyDescent="0.55000000000000004">
      <c r="H225" s="80">
        <v>301</v>
      </c>
      <c r="I225" s="80" t="s">
        <v>132</v>
      </c>
    </row>
    <row r="226" spans="8:9" x14ac:dyDescent="0.55000000000000004">
      <c r="H226" s="80"/>
      <c r="I226" s="80"/>
    </row>
    <row r="227" spans="8:9" ht="13.5" customHeight="1" x14ac:dyDescent="0.55000000000000004">
      <c r="H227" s="80">
        <v>302</v>
      </c>
      <c r="I227" s="80" t="s">
        <v>133</v>
      </c>
    </row>
    <row r="228" spans="8:9" x14ac:dyDescent="0.55000000000000004">
      <c r="H228" s="80"/>
      <c r="I228" s="80"/>
    </row>
    <row r="229" spans="8:9" ht="13.5" customHeight="1" x14ac:dyDescent="0.55000000000000004">
      <c r="H229" s="80">
        <v>303</v>
      </c>
      <c r="I229" s="80" t="s">
        <v>134</v>
      </c>
    </row>
    <row r="230" spans="8:9" x14ac:dyDescent="0.55000000000000004">
      <c r="H230" s="80"/>
      <c r="I230" s="80"/>
    </row>
    <row r="231" spans="8:9" ht="13.5" customHeight="1" x14ac:dyDescent="0.55000000000000004">
      <c r="H231" s="80">
        <v>304</v>
      </c>
      <c r="I231" s="80" t="s">
        <v>136</v>
      </c>
    </row>
    <row r="232" spans="8:9" x14ac:dyDescent="0.55000000000000004">
      <c r="H232" s="80"/>
      <c r="I232" s="80"/>
    </row>
    <row r="233" spans="8:9" ht="13.5" customHeight="1" x14ac:dyDescent="0.55000000000000004">
      <c r="H233" s="80">
        <v>305</v>
      </c>
      <c r="I233" s="80" t="s">
        <v>137</v>
      </c>
    </row>
    <row r="234" spans="8:9" x14ac:dyDescent="0.55000000000000004">
      <c r="H234" s="80"/>
      <c r="I234" s="80"/>
    </row>
    <row r="235" spans="8:9" ht="13.5" customHeight="1" x14ac:dyDescent="0.55000000000000004">
      <c r="H235" s="80">
        <v>306</v>
      </c>
      <c r="I235" s="80" t="s">
        <v>138</v>
      </c>
    </row>
    <row r="236" spans="8:9" x14ac:dyDescent="0.55000000000000004">
      <c r="H236" s="80"/>
      <c r="I236" s="80"/>
    </row>
    <row r="237" spans="8:9" ht="13.5" customHeight="1" x14ac:dyDescent="0.55000000000000004">
      <c r="H237" s="80">
        <v>307</v>
      </c>
      <c r="I237" s="80" t="s">
        <v>139</v>
      </c>
    </row>
    <row r="238" spans="8:9" x14ac:dyDescent="0.55000000000000004">
      <c r="H238" s="80"/>
      <c r="I238" s="80"/>
    </row>
    <row r="239" spans="8:9" ht="13.5" customHeight="1" x14ac:dyDescent="0.55000000000000004">
      <c r="H239" s="80">
        <v>308</v>
      </c>
      <c r="I239" s="80" t="s">
        <v>140</v>
      </c>
    </row>
    <row r="240" spans="8:9" x14ac:dyDescent="0.55000000000000004">
      <c r="H240" s="80"/>
      <c r="I240" s="80"/>
    </row>
    <row r="241" spans="8:9" ht="13.5" customHeight="1" x14ac:dyDescent="0.55000000000000004">
      <c r="H241" s="80">
        <v>309</v>
      </c>
      <c r="I241" s="80" t="s">
        <v>141</v>
      </c>
    </row>
    <row r="242" spans="8:9" x14ac:dyDescent="0.55000000000000004">
      <c r="H242" s="80"/>
      <c r="I242" s="80"/>
    </row>
    <row r="243" spans="8:9" ht="13.5" customHeight="1" x14ac:dyDescent="0.55000000000000004">
      <c r="H243" s="80">
        <v>310</v>
      </c>
      <c r="I243" s="80" t="s">
        <v>142</v>
      </c>
    </row>
    <row r="244" spans="8:9" x14ac:dyDescent="0.55000000000000004">
      <c r="H244" s="80"/>
      <c r="I244" s="80"/>
    </row>
    <row r="245" spans="8:9" ht="13.5" customHeight="1" x14ac:dyDescent="0.55000000000000004">
      <c r="H245" s="80">
        <v>311</v>
      </c>
      <c r="I245" s="80" t="s">
        <v>143</v>
      </c>
    </row>
    <row r="246" spans="8:9" x14ac:dyDescent="0.55000000000000004">
      <c r="H246" s="80"/>
      <c r="I246" s="80"/>
    </row>
    <row r="247" spans="8:9" ht="13.5" customHeight="1" x14ac:dyDescent="0.55000000000000004">
      <c r="H247" s="80">
        <v>312</v>
      </c>
      <c r="I247" s="80" t="s">
        <v>144</v>
      </c>
    </row>
    <row r="248" spans="8:9" x14ac:dyDescent="0.55000000000000004">
      <c r="H248" s="80"/>
      <c r="I248" s="80"/>
    </row>
    <row r="249" spans="8:9" ht="13.5" customHeight="1" x14ac:dyDescent="0.55000000000000004">
      <c r="H249" s="80">
        <v>313</v>
      </c>
      <c r="I249" s="80" t="s">
        <v>145</v>
      </c>
    </row>
    <row r="250" spans="8:9" x14ac:dyDescent="0.55000000000000004">
      <c r="H250" s="80"/>
      <c r="I250" s="80"/>
    </row>
    <row r="251" spans="8:9" ht="13.5" customHeight="1" x14ac:dyDescent="0.55000000000000004">
      <c r="H251" s="80">
        <v>314</v>
      </c>
      <c r="I251" s="80" t="s">
        <v>146</v>
      </c>
    </row>
    <row r="252" spans="8:9" x14ac:dyDescent="0.55000000000000004">
      <c r="H252" s="80"/>
      <c r="I252" s="80"/>
    </row>
    <row r="253" spans="8:9" x14ac:dyDescent="0.55000000000000004">
      <c r="H253" s="80">
        <v>315</v>
      </c>
      <c r="I253" s="80" t="s">
        <v>147</v>
      </c>
    </row>
    <row r="254" spans="8:9" x14ac:dyDescent="0.55000000000000004">
      <c r="H254" s="80"/>
      <c r="I254" s="80"/>
    </row>
    <row r="255" spans="8:9" ht="13.5" customHeight="1" x14ac:dyDescent="0.55000000000000004">
      <c r="H255" s="80">
        <v>316</v>
      </c>
      <c r="I255" s="80" t="s">
        <v>148</v>
      </c>
    </row>
    <row r="256" spans="8:9" x14ac:dyDescent="0.55000000000000004">
      <c r="H256" s="80"/>
      <c r="I256" s="80"/>
    </row>
    <row r="257" spans="8:9" x14ac:dyDescent="0.55000000000000004">
      <c r="H257" s="80">
        <v>317</v>
      </c>
      <c r="I257" s="80" t="s">
        <v>149</v>
      </c>
    </row>
    <row r="258" spans="8:9" x14ac:dyDescent="0.55000000000000004">
      <c r="H258" s="80"/>
      <c r="I258" s="80"/>
    </row>
    <row r="259" spans="8:9" ht="13.5" customHeight="1" x14ac:dyDescent="0.55000000000000004">
      <c r="H259" s="80">
        <v>318</v>
      </c>
      <c r="I259" s="80" t="s">
        <v>150</v>
      </c>
    </row>
    <row r="260" spans="8:9" x14ac:dyDescent="0.55000000000000004">
      <c r="H260" s="80"/>
      <c r="I260" s="80"/>
    </row>
    <row r="261" spans="8:9" x14ac:dyDescent="0.55000000000000004">
      <c r="H261" s="80">
        <v>319</v>
      </c>
      <c r="I261" s="80" t="s">
        <v>151</v>
      </c>
    </row>
    <row r="262" spans="8:9" x14ac:dyDescent="0.55000000000000004">
      <c r="H262" s="80"/>
      <c r="I262" s="80"/>
    </row>
    <row r="263" spans="8:9" ht="13.5" customHeight="1" x14ac:dyDescent="0.55000000000000004">
      <c r="H263" s="80">
        <v>320</v>
      </c>
      <c r="I263" s="80" t="s">
        <v>152</v>
      </c>
    </row>
    <row r="264" spans="8:9" x14ac:dyDescent="0.55000000000000004">
      <c r="H264" s="80"/>
      <c r="I264" s="80"/>
    </row>
    <row r="265" spans="8:9" x14ac:dyDescent="0.55000000000000004">
      <c r="H265" s="80">
        <v>321</v>
      </c>
      <c r="I265" s="80" t="s">
        <v>153</v>
      </c>
    </row>
    <row r="266" spans="8:9" x14ac:dyDescent="0.55000000000000004">
      <c r="H266" s="80"/>
      <c r="I266" s="80"/>
    </row>
    <row r="267" spans="8:9" ht="13.5" customHeight="1" x14ac:dyDescent="0.55000000000000004">
      <c r="H267" s="80">
        <v>322</v>
      </c>
      <c r="I267" s="80" t="s">
        <v>154</v>
      </c>
    </row>
    <row r="268" spans="8:9" x14ac:dyDescent="0.55000000000000004">
      <c r="H268" s="80"/>
      <c r="I268" s="80"/>
    </row>
    <row r="269" spans="8:9" x14ac:dyDescent="0.55000000000000004">
      <c r="H269" s="80">
        <v>323</v>
      </c>
      <c r="I269" s="80" t="s">
        <v>156</v>
      </c>
    </row>
    <row r="270" spans="8:9" x14ac:dyDescent="0.55000000000000004">
      <c r="H270" s="80"/>
      <c r="I270" s="80"/>
    </row>
    <row r="271" spans="8:9" ht="13.5" customHeight="1" x14ac:dyDescent="0.55000000000000004">
      <c r="H271" s="80">
        <v>324</v>
      </c>
      <c r="I271" s="95" t="s">
        <v>157</v>
      </c>
    </row>
    <row r="272" spans="8:9" x14ac:dyDescent="0.55000000000000004">
      <c r="H272" s="80"/>
      <c r="I272" s="86"/>
    </row>
    <row r="273" spans="8:9" x14ac:dyDescent="0.55000000000000004">
      <c r="H273" s="80">
        <v>325</v>
      </c>
      <c r="I273" s="95" t="s">
        <v>158</v>
      </c>
    </row>
    <row r="274" spans="8:9" x14ac:dyDescent="0.55000000000000004">
      <c r="H274" s="80"/>
      <c r="I274" s="86"/>
    </row>
    <row r="275" spans="8:9" x14ac:dyDescent="0.55000000000000004">
      <c r="H275" s="80">
        <v>326</v>
      </c>
      <c r="I275" s="95" t="s">
        <v>159</v>
      </c>
    </row>
    <row r="276" spans="8:9" x14ac:dyDescent="0.55000000000000004">
      <c r="H276" s="80"/>
      <c r="I276" s="86"/>
    </row>
    <row r="277" spans="8:9" x14ac:dyDescent="0.55000000000000004">
      <c r="H277" s="80">
        <v>327</v>
      </c>
      <c r="I277" s="95" t="s">
        <v>160</v>
      </c>
    </row>
    <row r="278" spans="8:9" x14ac:dyDescent="0.55000000000000004">
      <c r="H278" s="80"/>
      <c r="I278" s="86"/>
    </row>
    <row r="279" spans="8:9" ht="13.5" customHeight="1" x14ac:dyDescent="0.55000000000000004">
      <c r="H279" s="80">
        <v>328</v>
      </c>
      <c r="I279" s="95" t="s">
        <v>161</v>
      </c>
    </row>
    <row r="280" spans="8:9" x14ac:dyDescent="0.55000000000000004">
      <c r="H280" s="80"/>
      <c r="I280" s="86"/>
    </row>
    <row r="281" spans="8:9" x14ac:dyDescent="0.55000000000000004">
      <c r="H281" s="80">
        <v>329</v>
      </c>
      <c r="I281" s="95" t="s">
        <v>162</v>
      </c>
    </row>
    <row r="282" spans="8:9" x14ac:dyDescent="0.55000000000000004">
      <c r="H282" s="80"/>
      <c r="I282" s="86"/>
    </row>
    <row r="283" spans="8:9" ht="13.5" customHeight="1" x14ac:dyDescent="0.55000000000000004">
      <c r="H283" s="80">
        <v>330</v>
      </c>
      <c r="I283" s="95" t="s">
        <v>163</v>
      </c>
    </row>
    <row r="284" spans="8:9" x14ac:dyDescent="0.55000000000000004">
      <c r="H284" s="80"/>
      <c r="I284" s="86"/>
    </row>
    <row r="285" spans="8:9" ht="13.5" customHeight="1" x14ac:dyDescent="0.55000000000000004">
      <c r="H285" s="80">
        <v>331</v>
      </c>
      <c r="I285" s="95" t="s">
        <v>164</v>
      </c>
    </row>
    <row r="286" spans="8:9" x14ac:dyDescent="0.55000000000000004">
      <c r="H286" s="80"/>
      <c r="I286" s="86"/>
    </row>
    <row r="287" spans="8:9" ht="13.5" customHeight="1" x14ac:dyDescent="0.55000000000000004">
      <c r="H287" s="80">
        <v>332</v>
      </c>
      <c r="I287" s="95" t="s">
        <v>165</v>
      </c>
    </row>
    <row r="288" spans="8:9" x14ac:dyDescent="0.55000000000000004">
      <c r="H288" s="80"/>
      <c r="I288" s="86"/>
    </row>
    <row r="289" spans="8:9" ht="13.5" customHeight="1" x14ac:dyDescent="0.55000000000000004">
      <c r="H289" s="80">
        <v>333</v>
      </c>
      <c r="I289" s="95" t="s">
        <v>166</v>
      </c>
    </row>
    <row r="290" spans="8:9" x14ac:dyDescent="0.55000000000000004">
      <c r="H290" s="80"/>
      <c r="I290" s="86"/>
    </row>
    <row r="291" spans="8:9" ht="13.5" customHeight="1" x14ac:dyDescent="0.55000000000000004">
      <c r="H291" s="80">
        <v>334</v>
      </c>
      <c r="I291" s="95" t="s">
        <v>167</v>
      </c>
    </row>
    <row r="292" spans="8:9" x14ac:dyDescent="0.55000000000000004">
      <c r="H292" s="80"/>
      <c r="I292" s="86"/>
    </row>
    <row r="293" spans="8:9" ht="13.5" customHeight="1" x14ac:dyDescent="0.55000000000000004">
      <c r="H293" s="80">
        <v>335</v>
      </c>
      <c r="I293" s="95" t="s">
        <v>168</v>
      </c>
    </row>
    <row r="294" spans="8:9" x14ac:dyDescent="0.55000000000000004">
      <c r="H294" s="80"/>
      <c r="I294" s="86"/>
    </row>
    <row r="295" spans="8:9" ht="13.5" customHeight="1" x14ac:dyDescent="0.55000000000000004">
      <c r="H295" s="80">
        <v>336</v>
      </c>
      <c r="I295" s="95" t="s">
        <v>169</v>
      </c>
    </row>
    <row r="296" spans="8:9" x14ac:dyDescent="0.55000000000000004">
      <c r="H296" s="80"/>
      <c r="I296" s="86"/>
    </row>
    <row r="297" spans="8:9" x14ac:dyDescent="0.55000000000000004">
      <c r="H297" s="80">
        <v>337</v>
      </c>
      <c r="I297" s="95" t="s">
        <v>170</v>
      </c>
    </row>
    <row r="298" spans="8:9" x14ac:dyDescent="0.55000000000000004">
      <c r="H298" s="80"/>
      <c r="I298" s="86"/>
    </row>
    <row r="299" spans="8:9" ht="13.5" customHeight="1" x14ac:dyDescent="0.55000000000000004">
      <c r="H299" s="80">
        <v>338</v>
      </c>
      <c r="I299" s="95" t="s">
        <v>171</v>
      </c>
    </row>
    <row r="300" spans="8:9" x14ac:dyDescent="0.55000000000000004">
      <c r="H300" s="80"/>
      <c r="I300" s="86"/>
    </row>
    <row r="301" spans="8:9" ht="13.5" customHeight="1" x14ac:dyDescent="0.55000000000000004">
      <c r="H301" s="80">
        <v>339</v>
      </c>
      <c r="I301" s="95" t="s">
        <v>172</v>
      </c>
    </row>
    <row r="302" spans="8:9" x14ac:dyDescent="0.55000000000000004">
      <c r="H302" s="80"/>
      <c r="I302" s="86"/>
    </row>
    <row r="303" spans="8:9" ht="13.5" customHeight="1" x14ac:dyDescent="0.55000000000000004">
      <c r="H303" s="80">
        <v>340</v>
      </c>
      <c r="I303" s="95" t="s">
        <v>173</v>
      </c>
    </row>
    <row r="304" spans="8:9" x14ac:dyDescent="0.55000000000000004">
      <c r="H304" s="80"/>
      <c r="I304" s="86"/>
    </row>
    <row r="305" spans="8:9" ht="13.5" customHeight="1" x14ac:dyDescent="0.55000000000000004">
      <c r="H305" s="80">
        <v>341</v>
      </c>
      <c r="I305" s="95" t="s">
        <v>174</v>
      </c>
    </row>
    <row r="306" spans="8:9" x14ac:dyDescent="0.55000000000000004">
      <c r="H306" s="80"/>
      <c r="I306" s="86"/>
    </row>
    <row r="307" spans="8:9" ht="13.5" customHeight="1" x14ac:dyDescent="0.55000000000000004">
      <c r="H307" s="80">
        <v>342</v>
      </c>
      <c r="I307" s="95" t="s">
        <v>175</v>
      </c>
    </row>
    <row r="308" spans="8:9" x14ac:dyDescent="0.55000000000000004">
      <c r="H308" s="80"/>
      <c r="I308" s="86"/>
    </row>
    <row r="309" spans="8:9" x14ac:dyDescent="0.55000000000000004">
      <c r="H309" s="80">
        <v>343</v>
      </c>
      <c r="I309" s="95" t="s">
        <v>176</v>
      </c>
    </row>
    <row r="310" spans="8:9" x14ac:dyDescent="0.55000000000000004">
      <c r="H310" s="80"/>
      <c r="I310" s="86"/>
    </row>
    <row r="311" spans="8:9" ht="13.5" customHeight="1" x14ac:dyDescent="0.55000000000000004">
      <c r="H311" s="80">
        <v>344</v>
      </c>
      <c r="I311" s="95" t="s">
        <v>177</v>
      </c>
    </row>
    <row r="312" spans="8:9" x14ac:dyDescent="0.55000000000000004">
      <c r="H312" s="80"/>
      <c r="I312" s="86"/>
    </row>
    <row r="313" spans="8:9" x14ac:dyDescent="0.55000000000000004">
      <c r="H313" s="80">
        <v>345</v>
      </c>
      <c r="I313" s="95" t="s">
        <v>178</v>
      </c>
    </row>
    <row r="314" spans="8:9" x14ac:dyDescent="0.55000000000000004">
      <c r="H314" s="80"/>
      <c r="I314" s="86"/>
    </row>
    <row r="315" spans="8:9" x14ac:dyDescent="0.55000000000000004">
      <c r="H315" s="80">
        <v>346</v>
      </c>
      <c r="I315" s="95" t="s">
        <v>179</v>
      </c>
    </row>
    <row r="316" spans="8:9" x14ac:dyDescent="0.55000000000000004">
      <c r="H316" s="80"/>
      <c r="I316" s="86"/>
    </row>
    <row r="317" spans="8:9" ht="13.5" customHeight="1" x14ac:dyDescent="0.55000000000000004">
      <c r="H317" s="80">
        <v>347</v>
      </c>
      <c r="I317" s="95" t="s">
        <v>180</v>
      </c>
    </row>
    <row r="318" spans="8:9" x14ac:dyDescent="0.55000000000000004">
      <c r="H318" s="80"/>
      <c r="I318" s="86"/>
    </row>
    <row r="319" spans="8:9" x14ac:dyDescent="0.55000000000000004">
      <c r="H319" s="80">
        <v>348</v>
      </c>
      <c r="I319" s="95" t="s">
        <v>181</v>
      </c>
    </row>
    <row r="320" spans="8:9" x14ac:dyDescent="0.55000000000000004">
      <c r="H320" s="80"/>
      <c r="I320" s="86"/>
    </row>
    <row r="321" spans="8:9" ht="13.5" customHeight="1" x14ac:dyDescent="0.55000000000000004">
      <c r="H321" s="80">
        <v>349</v>
      </c>
      <c r="I321" s="95" t="s">
        <v>182</v>
      </c>
    </row>
    <row r="322" spans="8:9" x14ac:dyDescent="0.55000000000000004">
      <c r="H322" s="80"/>
      <c r="I322" s="86"/>
    </row>
    <row r="323" spans="8:9" x14ac:dyDescent="0.55000000000000004">
      <c r="H323" s="80">
        <v>350</v>
      </c>
      <c r="I323" s="95" t="s">
        <v>183</v>
      </c>
    </row>
    <row r="324" spans="8:9" x14ac:dyDescent="0.55000000000000004">
      <c r="H324" s="80"/>
      <c r="I324" s="86"/>
    </row>
    <row r="325" spans="8:9" ht="13.5" customHeight="1" x14ac:dyDescent="0.55000000000000004">
      <c r="H325" s="94">
        <v>351</v>
      </c>
      <c r="I325" s="94" t="s">
        <v>184</v>
      </c>
    </row>
    <row r="326" spans="8:9" x14ac:dyDescent="0.55000000000000004">
      <c r="H326" s="80"/>
      <c r="I326" s="80"/>
    </row>
    <row r="327" spans="8:9" ht="13.5" customHeight="1" x14ac:dyDescent="0.55000000000000004">
      <c r="H327" s="94">
        <v>352</v>
      </c>
      <c r="I327" s="94" t="s">
        <v>185</v>
      </c>
    </row>
    <row r="328" spans="8:9" x14ac:dyDescent="0.55000000000000004">
      <c r="H328" s="80"/>
      <c r="I328" s="80"/>
    </row>
    <row r="329" spans="8:9" ht="13.5" customHeight="1" x14ac:dyDescent="0.55000000000000004">
      <c r="H329" s="99">
        <v>353</v>
      </c>
      <c r="I329" s="100" t="s">
        <v>186</v>
      </c>
    </row>
    <row r="330" spans="8:9" x14ac:dyDescent="0.55000000000000004">
      <c r="H330" s="99"/>
      <c r="I330" s="99"/>
    </row>
    <row r="331" spans="8:9" ht="13.5" customHeight="1" x14ac:dyDescent="0.55000000000000004">
      <c r="H331" s="95">
        <v>900</v>
      </c>
      <c r="I331" s="95" t="s">
        <v>187</v>
      </c>
    </row>
    <row r="332" spans="8:9" x14ac:dyDescent="0.55000000000000004">
      <c r="H332" s="86"/>
      <c r="I332" s="86"/>
    </row>
    <row r="333" spans="8:9" ht="13.5" customHeight="1" x14ac:dyDescent="0.55000000000000004">
      <c r="H333" s="80">
        <v>901</v>
      </c>
      <c r="I333" s="80" t="s">
        <v>188</v>
      </c>
    </row>
    <row r="334" spans="8:9" x14ac:dyDescent="0.55000000000000004">
      <c r="H334" s="80"/>
      <c r="I334" s="80"/>
    </row>
    <row r="335" spans="8:9" ht="13.5" customHeight="1" x14ac:dyDescent="0.55000000000000004">
      <c r="H335" s="80">
        <v>902</v>
      </c>
      <c r="I335" s="80" t="s">
        <v>189</v>
      </c>
    </row>
    <row r="336" spans="8:9" x14ac:dyDescent="0.55000000000000004">
      <c r="H336" s="80"/>
      <c r="I336" s="80"/>
    </row>
    <row r="337" spans="8:9" x14ac:dyDescent="0.55000000000000004">
      <c r="H337" s="80">
        <v>903</v>
      </c>
      <c r="I337" s="80" t="s">
        <v>190</v>
      </c>
    </row>
    <row r="338" spans="8:9" x14ac:dyDescent="0.55000000000000004">
      <c r="H338" s="80"/>
      <c r="I338" s="80"/>
    </row>
    <row r="339" spans="8:9" ht="13.5" customHeight="1" x14ac:dyDescent="0.55000000000000004">
      <c r="H339" s="80">
        <v>904</v>
      </c>
      <c r="I339" s="95" t="s">
        <v>191</v>
      </c>
    </row>
    <row r="340" spans="8:9" x14ac:dyDescent="0.55000000000000004">
      <c r="H340" s="80"/>
      <c r="I340" s="86"/>
    </row>
    <row r="341" spans="8:9" x14ac:dyDescent="0.55000000000000004">
      <c r="H341" s="80">
        <v>905</v>
      </c>
      <c r="I341" s="95" t="s">
        <v>192</v>
      </c>
    </row>
    <row r="342" spans="8:9" x14ac:dyDescent="0.55000000000000004">
      <c r="H342" s="80"/>
      <c r="I342" s="86"/>
    </row>
    <row r="343" spans="8:9" ht="13.5" customHeight="1" x14ac:dyDescent="0.55000000000000004">
      <c r="H343" s="80">
        <v>906</v>
      </c>
      <c r="I343" s="95" t="s">
        <v>193</v>
      </c>
    </row>
    <row r="344" spans="8:9" x14ac:dyDescent="0.55000000000000004">
      <c r="H344" s="80"/>
      <c r="I344" s="86"/>
    </row>
    <row r="345" spans="8:9" x14ac:dyDescent="0.55000000000000004">
      <c r="H345" s="80">
        <v>907</v>
      </c>
      <c r="I345" s="95" t="s">
        <v>194</v>
      </c>
    </row>
    <row r="346" spans="8:9" x14ac:dyDescent="0.55000000000000004">
      <c r="H346" s="80"/>
      <c r="I346" s="86"/>
    </row>
    <row r="347" spans="8:9" ht="13.5" customHeight="1" x14ac:dyDescent="0.55000000000000004">
      <c r="H347" s="80">
        <v>908</v>
      </c>
      <c r="I347" s="95" t="s">
        <v>195</v>
      </c>
    </row>
    <row r="348" spans="8:9" x14ac:dyDescent="0.55000000000000004">
      <c r="H348" s="80"/>
      <c r="I348" s="86"/>
    </row>
    <row r="349" spans="8:9" ht="13.5" customHeight="1" x14ac:dyDescent="0.55000000000000004">
      <c r="H349" s="80">
        <v>909</v>
      </c>
      <c r="I349" s="80" t="s">
        <v>196</v>
      </c>
    </row>
    <row r="350" spans="8:9" x14ac:dyDescent="0.55000000000000004">
      <c r="H350" s="80"/>
      <c r="I350" s="80"/>
    </row>
    <row r="351" spans="8:9" ht="13.5" customHeight="1" x14ac:dyDescent="0.55000000000000004">
      <c r="H351" s="80">
        <v>910</v>
      </c>
      <c r="I351" s="80" t="s">
        <v>197</v>
      </c>
    </row>
    <row r="352" spans="8:9" x14ac:dyDescent="0.55000000000000004">
      <c r="H352" s="80"/>
      <c r="I352" s="80"/>
    </row>
    <row r="353" spans="8:9" ht="13.5" customHeight="1" x14ac:dyDescent="0.55000000000000004">
      <c r="H353" s="80">
        <v>911</v>
      </c>
      <c r="I353" s="80" t="s">
        <v>198</v>
      </c>
    </row>
    <row r="354" spans="8:9" x14ac:dyDescent="0.55000000000000004">
      <c r="H354" s="80"/>
      <c r="I354" s="80"/>
    </row>
    <row r="355" spans="8:9" ht="13.5" customHeight="1" x14ac:dyDescent="0.55000000000000004">
      <c r="H355" s="80">
        <v>912</v>
      </c>
      <c r="I355" s="80" t="s">
        <v>199</v>
      </c>
    </row>
    <row r="356" spans="8:9" x14ac:dyDescent="0.55000000000000004">
      <c r="H356" s="80"/>
      <c r="I356" s="80"/>
    </row>
    <row r="357" spans="8:9" x14ac:dyDescent="0.55000000000000004">
      <c r="H357" s="80">
        <v>913</v>
      </c>
      <c r="I357" s="80" t="s">
        <v>200</v>
      </c>
    </row>
    <row r="358" spans="8:9" x14ac:dyDescent="0.55000000000000004">
      <c r="H358" s="80"/>
      <c r="I358" s="80"/>
    </row>
    <row r="359" spans="8:9" ht="13.5" customHeight="1" x14ac:dyDescent="0.55000000000000004">
      <c r="H359" s="80">
        <v>914</v>
      </c>
      <c r="I359" s="80" t="s">
        <v>201</v>
      </c>
    </row>
    <row r="360" spans="8:9" x14ac:dyDescent="0.55000000000000004">
      <c r="H360" s="80"/>
      <c r="I360" s="80"/>
    </row>
    <row r="361" spans="8:9" x14ac:dyDescent="0.55000000000000004">
      <c r="H361" s="93">
        <v>915</v>
      </c>
      <c r="I361" s="95" t="s">
        <v>202</v>
      </c>
    </row>
    <row r="362" spans="8:9" x14ac:dyDescent="0.55000000000000004">
      <c r="H362" s="80"/>
      <c r="I362" s="86"/>
    </row>
    <row r="363" spans="8:9" x14ac:dyDescent="0.55000000000000004">
      <c r="H363" s="93">
        <v>916</v>
      </c>
      <c r="I363" s="80" t="s">
        <v>203</v>
      </c>
    </row>
    <row r="364" spans="8:9" x14ac:dyDescent="0.55000000000000004">
      <c r="H364" s="80"/>
      <c r="I364" s="80"/>
    </row>
    <row r="365" spans="8:9" x14ac:dyDescent="0.55000000000000004">
      <c r="H365" s="93">
        <v>917</v>
      </c>
      <c r="I365" s="80" t="s">
        <v>204</v>
      </c>
    </row>
    <row r="366" spans="8:9" x14ac:dyDescent="0.55000000000000004">
      <c r="H366" s="80"/>
      <c r="I366" s="80"/>
    </row>
    <row r="367" spans="8:9" x14ac:dyDescent="0.55000000000000004">
      <c r="H367" s="93">
        <v>918</v>
      </c>
      <c r="I367" s="80" t="s">
        <v>205</v>
      </c>
    </row>
    <row r="368" spans="8:9" x14ac:dyDescent="0.55000000000000004">
      <c r="H368" s="80"/>
      <c r="I368" s="80"/>
    </row>
    <row r="369" spans="8:9" x14ac:dyDescent="0.55000000000000004">
      <c r="H369" s="93">
        <v>919</v>
      </c>
      <c r="I369" s="80" t="s">
        <v>206</v>
      </c>
    </row>
    <row r="370" spans="8:9" x14ac:dyDescent="0.55000000000000004">
      <c r="H370" s="80"/>
      <c r="I370" s="80"/>
    </row>
    <row r="371" spans="8:9" x14ac:dyDescent="0.55000000000000004">
      <c r="H371" s="93">
        <v>920</v>
      </c>
      <c r="I371" s="80" t="s">
        <v>207</v>
      </c>
    </row>
    <row r="372" spans="8:9" x14ac:dyDescent="0.55000000000000004">
      <c r="H372" s="80"/>
      <c r="I372" s="80"/>
    </row>
    <row r="373" spans="8:9" x14ac:dyDescent="0.55000000000000004">
      <c r="H373" s="93">
        <v>921</v>
      </c>
      <c r="I373" s="80" t="s">
        <v>208</v>
      </c>
    </row>
    <row r="374" spans="8:9" x14ac:dyDescent="0.55000000000000004">
      <c r="H374" s="80"/>
      <c r="I374" s="80"/>
    </row>
    <row r="375" spans="8:9" x14ac:dyDescent="0.55000000000000004">
      <c r="H375" s="93">
        <v>922</v>
      </c>
      <c r="I375" s="80" t="s">
        <v>209</v>
      </c>
    </row>
    <row r="376" spans="8:9" x14ac:dyDescent="0.55000000000000004">
      <c r="H376" s="80"/>
      <c r="I376" s="80"/>
    </row>
    <row r="377" spans="8:9" x14ac:dyDescent="0.55000000000000004">
      <c r="H377" s="99">
        <v>923</v>
      </c>
      <c r="I377" s="100" t="s">
        <v>210</v>
      </c>
    </row>
    <row r="378" spans="8:9" x14ac:dyDescent="0.55000000000000004">
      <c r="H378" s="99"/>
      <c r="I378" s="99"/>
    </row>
    <row r="379" spans="8:9" x14ac:dyDescent="0.55000000000000004">
      <c r="H379" s="99">
        <v>924</v>
      </c>
      <c r="I379" s="100" t="s">
        <v>211</v>
      </c>
    </row>
    <row r="380" spans="8:9" x14ac:dyDescent="0.55000000000000004">
      <c r="H380" s="99"/>
      <c r="I380" s="99"/>
    </row>
    <row r="381" spans="8:9" x14ac:dyDescent="0.55000000000000004">
      <c r="H381" s="99">
        <v>925</v>
      </c>
      <c r="I381" s="100" t="s">
        <v>212</v>
      </c>
    </row>
    <row r="382" spans="8:9" x14ac:dyDescent="0.55000000000000004">
      <c r="H382" s="99"/>
      <c r="I382" s="99"/>
    </row>
    <row r="383" spans="8:9" x14ac:dyDescent="0.55000000000000004">
      <c r="H383" s="99">
        <v>926</v>
      </c>
      <c r="I383" s="100" t="s">
        <v>213</v>
      </c>
    </row>
    <row r="384" spans="8:9" x14ac:dyDescent="0.55000000000000004">
      <c r="H384" s="99"/>
      <c r="I384" s="99"/>
    </row>
    <row r="385" spans="8:9" x14ac:dyDescent="0.55000000000000004">
      <c r="H385" s="99">
        <v>927</v>
      </c>
      <c r="I385" s="100" t="s">
        <v>214</v>
      </c>
    </row>
    <row r="386" spans="8:9" x14ac:dyDescent="0.55000000000000004">
      <c r="H386" s="99"/>
      <c r="I386" s="99"/>
    </row>
    <row r="387" spans="8:9" x14ac:dyDescent="0.55000000000000004">
      <c r="H387" s="93">
        <v>999</v>
      </c>
      <c r="I387" s="80" t="s">
        <v>215</v>
      </c>
    </row>
    <row r="388" spans="8:9" ht="18.5" thickBot="1" x14ac:dyDescent="0.6">
      <c r="H388" s="81"/>
      <c r="I388" s="81"/>
    </row>
    <row r="389" spans="8:9" ht="18.5" thickTop="1" x14ac:dyDescent="0.55000000000000004"/>
  </sheetData>
  <mergeCells count="388">
    <mergeCell ref="H385:H386"/>
    <mergeCell ref="I385:I386"/>
    <mergeCell ref="H387:H388"/>
    <mergeCell ref="I387:I388"/>
    <mergeCell ref="H379:H380"/>
    <mergeCell ref="I379:I380"/>
    <mergeCell ref="H381:H382"/>
    <mergeCell ref="I381:I382"/>
    <mergeCell ref="H383:H384"/>
    <mergeCell ref="I383:I384"/>
    <mergeCell ref="H373:H374"/>
    <mergeCell ref="I373:I374"/>
    <mergeCell ref="H375:H376"/>
    <mergeCell ref="I375:I376"/>
    <mergeCell ref="H377:H378"/>
    <mergeCell ref="I377:I378"/>
    <mergeCell ref="H367:H368"/>
    <mergeCell ref="I367:I368"/>
    <mergeCell ref="H369:H370"/>
    <mergeCell ref="I369:I370"/>
    <mergeCell ref="H371:H372"/>
    <mergeCell ref="I371:I372"/>
    <mergeCell ref="H361:H362"/>
    <mergeCell ref="I361:I362"/>
    <mergeCell ref="H363:H364"/>
    <mergeCell ref="I363:I364"/>
    <mergeCell ref="H365:H366"/>
    <mergeCell ref="I365:I366"/>
    <mergeCell ref="H355:H356"/>
    <mergeCell ref="I355:I356"/>
    <mergeCell ref="H357:H358"/>
    <mergeCell ref="I357:I358"/>
    <mergeCell ref="H359:H360"/>
    <mergeCell ref="I359:I360"/>
    <mergeCell ref="H349:H350"/>
    <mergeCell ref="I349:I350"/>
    <mergeCell ref="H351:H352"/>
    <mergeCell ref="I351:I352"/>
    <mergeCell ref="H353:H354"/>
    <mergeCell ref="I353:I354"/>
    <mergeCell ref="H343:H344"/>
    <mergeCell ref="I343:I344"/>
    <mergeCell ref="H345:H346"/>
    <mergeCell ref="I345:I346"/>
    <mergeCell ref="H347:H348"/>
    <mergeCell ref="I347:I348"/>
    <mergeCell ref="H337:H338"/>
    <mergeCell ref="I337:I338"/>
    <mergeCell ref="H339:H340"/>
    <mergeCell ref="I339:I340"/>
    <mergeCell ref="H341:H342"/>
    <mergeCell ref="I341:I342"/>
    <mergeCell ref="H331:H332"/>
    <mergeCell ref="I331:I332"/>
    <mergeCell ref="H333:H334"/>
    <mergeCell ref="I333:I334"/>
    <mergeCell ref="H335:H336"/>
    <mergeCell ref="I335:I336"/>
    <mergeCell ref="H325:H326"/>
    <mergeCell ref="I325:I326"/>
    <mergeCell ref="H327:H328"/>
    <mergeCell ref="I327:I328"/>
    <mergeCell ref="H329:H330"/>
    <mergeCell ref="I329:I330"/>
    <mergeCell ref="H319:H320"/>
    <mergeCell ref="I319:I320"/>
    <mergeCell ref="H321:H322"/>
    <mergeCell ref="I321:I322"/>
    <mergeCell ref="H323:H324"/>
    <mergeCell ref="I323:I324"/>
    <mergeCell ref="H313:H314"/>
    <mergeCell ref="I313:I314"/>
    <mergeCell ref="H315:H316"/>
    <mergeCell ref="I315:I316"/>
    <mergeCell ref="H317:H318"/>
    <mergeCell ref="I317:I318"/>
    <mergeCell ref="H307:H308"/>
    <mergeCell ref="I307:I308"/>
    <mergeCell ref="H309:H310"/>
    <mergeCell ref="I309:I310"/>
    <mergeCell ref="H311:H312"/>
    <mergeCell ref="I311:I312"/>
    <mergeCell ref="H301:H302"/>
    <mergeCell ref="I301:I302"/>
    <mergeCell ref="H303:H304"/>
    <mergeCell ref="I303:I304"/>
    <mergeCell ref="H305:H306"/>
    <mergeCell ref="I305:I306"/>
    <mergeCell ref="H295:H296"/>
    <mergeCell ref="I295:I296"/>
    <mergeCell ref="H297:H298"/>
    <mergeCell ref="I297:I298"/>
    <mergeCell ref="H299:H300"/>
    <mergeCell ref="I299:I300"/>
    <mergeCell ref="H289:H290"/>
    <mergeCell ref="I289:I290"/>
    <mergeCell ref="H291:H292"/>
    <mergeCell ref="I291:I292"/>
    <mergeCell ref="H293:H294"/>
    <mergeCell ref="I293:I294"/>
    <mergeCell ref="H283:H284"/>
    <mergeCell ref="I283:I284"/>
    <mergeCell ref="H285:H286"/>
    <mergeCell ref="I285:I286"/>
    <mergeCell ref="H287:H288"/>
    <mergeCell ref="I287:I288"/>
    <mergeCell ref="H277:H278"/>
    <mergeCell ref="I277:I278"/>
    <mergeCell ref="H279:H280"/>
    <mergeCell ref="I279:I280"/>
    <mergeCell ref="H281:H282"/>
    <mergeCell ref="I281:I282"/>
    <mergeCell ref="H271:H272"/>
    <mergeCell ref="I271:I272"/>
    <mergeCell ref="H273:H274"/>
    <mergeCell ref="I273:I274"/>
    <mergeCell ref="H275:H276"/>
    <mergeCell ref="I275:I276"/>
    <mergeCell ref="H265:H266"/>
    <mergeCell ref="I265:I266"/>
    <mergeCell ref="H267:H268"/>
    <mergeCell ref="I267:I268"/>
    <mergeCell ref="H269:H270"/>
    <mergeCell ref="I269:I270"/>
    <mergeCell ref="H259:H260"/>
    <mergeCell ref="I259:I260"/>
    <mergeCell ref="H261:H262"/>
    <mergeCell ref="I261:I262"/>
    <mergeCell ref="H263:H264"/>
    <mergeCell ref="I263:I264"/>
    <mergeCell ref="H253:H254"/>
    <mergeCell ref="I253:I254"/>
    <mergeCell ref="H255:H256"/>
    <mergeCell ref="I255:I256"/>
    <mergeCell ref="H257:H258"/>
    <mergeCell ref="I257:I258"/>
    <mergeCell ref="H247:H248"/>
    <mergeCell ref="I247:I248"/>
    <mergeCell ref="H249:H250"/>
    <mergeCell ref="I249:I250"/>
    <mergeCell ref="H251:H252"/>
    <mergeCell ref="I251:I252"/>
    <mergeCell ref="H241:H242"/>
    <mergeCell ref="I241:I242"/>
    <mergeCell ref="H243:H244"/>
    <mergeCell ref="I243:I244"/>
    <mergeCell ref="H245:H246"/>
    <mergeCell ref="I245:I246"/>
    <mergeCell ref="H235:H236"/>
    <mergeCell ref="I235:I236"/>
    <mergeCell ref="H237:H238"/>
    <mergeCell ref="I237:I238"/>
    <mergeCell ref="H239:H240"/>
    <mergeCell ref="I239:I240"/>
    <mergeCell ref="H229:H230"/>
    <mergeCell ref="I229:I230"/>
    <mergeCell ref="H231:H232"/>
    <mergeCell ref="I231:I232"/>
    <mergeCell ref="H233:H234"/>
    <mergeCell ref="I233:I234"/>
    <mergeCell ref="H223:H224"/>
    <mergeCell ref="I223:I224"/>
    <mergeCell ref="H225:H226"/>
    <mergeCell ref="I225:I226"/>
    <mergeCell ref="H227:H228"/>
    <mergeCell ref="I227:I228"/>
    <mergeCell ref="H217:H218"/>
    <mergeCell ref="I217:I218"/>
    <mergeCell ref="H219:H220"/>
    <mergeCell ref="I219:I220"/>
    <mergeCell ref="H221:H222"/>
    <mergeCell ref="I221:I222"/>
    <mergeCell ref="H211:H212"/>
    <mergeCell ref="I211:I212"/>
    <mergeCell ref="H213:H214"/>
    <mergeCell ref="I213:I214"/>
    <mergeCell ref="H215:H216"/>
    <mergeCell ref="I215:I216"/>
    <mergeCell ref="H205:H206"/>
    <mergeCell ref="I205:I206"/>
    <mergeCell ref="H207:H208"/>
    <mergeCell ref="I207:I208"/>
    <mergeCell ref="H209:H210"/>
    <mergeCell ref="I209:I210"/>
    <mergeCell ref="H199:H200"/>
    <mergeCell ref="I199:I200"/>
    <mergeCell ref="H201:H202"/>
    <mergeCell ref="I201:I202"/>
    <mergeCell ref="H203:H204"/>
    <mergeCell ref="I203:I204"/>
    <mergeCell ref="H193:H194"/>
    <mergeCell ref="I193:I194"/>
    <mergeCell ref="H195:H196"/>
    <mergeCell ref="I195:I196"/>
    <mergeCell ref="H197:H198"/>
    <mergeCell ref="I197:I198"/>
    <mergeCell ref="H187:H188"/>
    <mergeCell ref="I187:I188"/>
    <mergeCell ref="H189:H190"/>
    <mergeCell ref="I189:I190"/>
    <mergeCell ref="H191:H192"/>
    <mergeCell ref="I191:I192"/>
    <mergeCell ref="H181:H182"/>
    <mergeCell ref="I181:I182"/>
    <mergeCell ref="H183:H184"/>
    <mergeCell ref="I183:I184"/>
    <mergeCell ref="H185:H186"/>
    <mergeCell ref="I185:I186"/>
    <mergeCell ref="H175:H176"/>
    <mergeCell ref="I175:I176"/>
    <mergeCell ref="H177:H178"/>
    <mergeCell ref="I177:I178"/>
    <mergeCell ref="H179:H180"/>
    <mergeCell ref="I179:I180"/>
    <mergeCell ref="H169:H170"/>
    <mergeCell ref="I169:I170"/>
    <mergeCell ref="H171:H172"/>
    <mergeCell ref="I171:I172"/>
    <mergeCell ref="H173:H174"/>
    <mergeCell ref="I173:I174"/>
    <mergeCell ref="H163:H164"/>
    <mergeCell ref="I163:I164"/>
    <mergeCell ref="H165:H166"/>
    <mergeCell ref="I165:I166"/>
    <mergeCell ref="H167:H168"/>
    <mergeCell ref="I167:I168"/>
    <mergeCell ref="H157:H158"/>
    <mergeCell ref="I157:I158"/>
    <mergeCell ref="H159:H160"/>
    <mergeCell ref="I159:I160"/>
    <mergeCell ref="H161:H162"/>
    <mergeCell ref="I161:I162"/>
    <mergeCell ref="H151:H152"/>
    <mergeCell ref="I151:I152"/>
    <mergeCell ref="H153:H154"/>
    <mergeCell ref="I153:I154"/>
    <mergeCell ref="H155:H156"/>
    <mergeCell ref="I155:I156"/>
    <mergeCell ref="H145:H146"/>
    <mergeCell ref="I145:I146"/>
    <mergeCell ref="H147:H148"/>
    <mergeCell ref="I147:I148"/>
    <mergeCell ref="H149:H150"/>
    <mergeCell ref="I149:I150"/>
    <mergeCell ref="H139:H140"/>
    <mergeCell ref="I139:I140"/>
    <mergeCell ref="H141:H142"/>
    <mergeCell ref="I141:I142"/>
    <mergeCell ref="H143:H144"/>
    <mergeCell ref="I143:I144"/>
    <mergeCell ref="H133:H134"/>
    <mergeCell ref="I133:I134"/>
    <mergeCell ref="H135:H136"/>
    <mergeCell ref="I135:I136"/>
    <mergeCell ref="H137:H138"/>
    <mergeCell ref="I137:I138"/>
    <mergeCell ref="H127:H128"/>
    <mergeCell ref="I127:I128"/>
    <mergeCell ref="H129:H130"/>
    <mergeCell ref="I129:I130"/>
    <mergeCell ref="H131:H132"/>
    <mergeCell ref="I131:I132"/>
    <mergeCell ref="H121:H122"/>
    <mergeCell ref="I121:I122"/>
    <mergeCell ref="H123:H124"/>
    <mergeCell ref="I123:I124"/>
    <mergeCell ref="H125:H126"/>
    <mergeCell ref="I125:I126"/>
    <mergeCell ref="H115:H116"/>
    <mergeCell ref="I115:I116"/>
    <mergeCell ref="H117:H118"/>
    <mergeCell ref="I117:I118"/>
    <mergeCell ref="H119:H120"/>
    <mergeCell ref="I119:I120"/>
    <mergeCell ref="H109:H110"/>
    <mergeCell ref="I109:I110"/>
    <mergeCell ref="H111:H112"/>
    <mergeCell ref="I111:I112"/>
    <mergeCell ref="H113:H114"/>
    <mergeCell ref="I113:I114"/>
    <mergeCell ref="H103:H104"/>
    <mergeCell ref="I103:I104"/>
    <mergeCell ref="H105:H106"/>
    <mergeCell ref="I105:I106"/>
    <mergeCell ref="H107:H108"/>
    <mergeCell ref="I107:I108"/>
    <mergeCell ref="H97:H98"/>
    <mergeCell ref="I97:I98"/>
    <mergeCell ref="H99:H100"/>
    <mergeCell ref="I99:I100"/>
    <mergeCell ref="H101:H102"/>
    <mergeCell ref="I101:I102"/>
    <mergeCell ref="H91:H92"/>
    <mergeCell ref="I91:I92"/>
    <mergeCell ref="H93:H94"/>
    <mergeCell ref="I93:I94"/>
    <mergeCell ref="H95:H96"/>
    <mergeCell ref="I95:I96"/>
    <mergeCell ref="H85:H86"/>
    <mergeCell ref="I85:I86"/>
    <mergeCell ref="H87:H88"/>
    <mergeCell ref="I87:I88"/>
    <mergeCell ref="H89:H90"/>
    <mergeCell ref="I89:I90"/>
    <mergeCell ref="H79:H80"/>
    <mergeCell ref="I79:I80"/>
    <mergeCell ref="H81:H82"/>
    <mergeCell ref="I81:I82"/>
    <mergeCell ref="H83:H84"/>
    <mergeCell ref="I83:I84"/>
    <mergeCell ref="H73:H74"/>
    <mergeCell ref="I73:I74"/>
    <mergeCell ref="H75:H76"/>
    <mergeCell ref="I75:I76"/>
    <mergeCell ref="H77:H78"/>
    <mergeCell ref="I77:I78"/>
    <mergeCell ref="H67:H68"/>
    <mergeCell ref="I67:I68"/>
    <mergeCell ref="H69:H70"/>
    <mergeCell ref="I69:I70"/>
    <mergeCell ref="H71:H72"/>
    <mergeCell ref="I71:I72"/>
    <mergeCell ref="H61:H62"/>
    <mergeCell ref="I61:I62"/>
    <mergeCell ref="H63:H64"/>
    <mergeCell ref="I63:I64"/>
    <mergeCell ref="H65:H66"/>
    <mergeCell ref="I65:I66"/>
    <mergeCell ref="H55:H56"/>
    <mergeCell ref="I55:I56"/>
    <mergeCell ref="H57:H58"/>
    <mergeCell ref="I57:I58"/>
    <mergeCell ref="H59:H60"/>
    <mergeCell ref="I59:I60"/>
    <mergeCell ref="H49:H50"/>
    <mergeCell ref="I49:I50"/>
    <mergeCell ref="H51:H52"/>
    <mergeCell ref="I51:I52"/>
    <mergeCell ref="H53:H54"/>
    <mergeCell ref="I53:I54"/>
    <mergeCell ref="H43:H44"/>
    <mergeCell ref="I43:I44"/>
    <mergeCell ref="H45:H46"/>
    <mergeCell ref="I45:I46"/>
    <mergeCell ref="H47:H48"/>
    <mergeCell ref="I47:I48"/>
    <mergeCell ref="H37:H38"/>
    <mergeCell ref="I37:I38"/>
    <mergeCell ref="H39:H40"/>
    <mergeCell ref="I39:I40"/>
    <mergeCell ref="H41:H42"/>
    <mergeCell ref="I41:I42"/>
    <mergeCell ref="H31:H32"/>
    <mergeCell ref="I31:I32"/>
    <mergeCell ref="H33:H34"/>
    <mergeCell ref="I33:I34"/>
    <mergeCell ref="H35:H36"/>
    <mergeCell ref="I35:I36"/>
    <mergeCell ref="H27:H28"/>
    <mergeCell ref="I27:I28"/>
    <mergeCell ref="H29:H30"/>
    <mergeCell ref="I29:I30"/>
    <mergeCell ref="H19:H20"/>
    <mergeCell ref="I19:I20"/>
    <mergeCell ref="H21:H22"/>
    <mergeCell ref="I21:I22"/>
    <mergeCell ref="H23:H24"/>
    <mergeCell ref="I23:I24"/>
    <mergeCell ref="H17:H18"/>
    <mergeCell ref="I17:I18"/>
    <mergeCell ref="H7:H8"/>
    <mergeCell ref="I7:I8"/>
    <mergeCell ref="H9:H10"/>
    <mergeCell ref="I9:I10"/>
    <mergeCell ref="H11:H12"/>
    <mergeCell ref="I11:I12"/>
    <mergeCell ref="H25:H26"/>
    <mergeCell ref="I25:I26"/>
    <mergeCell ref="H1:H2"/>
    <mergeCell ref="I1:I2"/>
    <mergeCell ref="H3:H4"/>
    <mergeCell ref="I3:I4"/>
    <mergeCell ref="H5:H6"/>
    <mergeCell ref="I5:I6"/>
    <mergeCell ref="H13:H14"/>
    <mergeCell ref="I13:I14"/>
    <mergeCell ref="H15:H16"/>
    <mergeCell ref="I15:I16"/>
  </mergeCells>
  <phoneticPr fontId="4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190"/>
  <sheetViews>
    <sheetView workbookViewId="0">
      <selection activeCell="G14" sqref="G14"/>
    </sheetView>
  </sheetViews>
  <sheetFormatPr defaultColWidth="8.1640625" defaultRowHeight="18" x14ac:dyDescent="0.55000000000000004"/>
  <cols>
    <col min="1" max="1" width="10.6640625" bestFit="1" customWidth="1"/>
    <col min="2" max="2" width="8.83203125" bestFit="1" customWidth="1"/>
    <col min="3" max="3" width="9.08203125" bestFit="1" customWidth="1"/>
    <col min="4" max="4" width="20.1640625" bestFit="1" customWidth="1"/>
    <col min="5" max="5" width="8.1640625" style="36" bestFit="1"/>
    <col min="6" max="6" width="9.08203125" bestFit="1" customWidth="1"/>
    <col min="7" max="7" width="12.83203125" bestFit="1" customWidth="1"/>
  </cols>
  <sheetData>
    <row r="1" spans="1:8" x14ac:dyDescent="0.2">
      <c r="A1" s="30" t="s">
        <v>253</v>
      </c>
      <c r="B1" s="30" t="s">
        <v>254</v>
      </c>
      <c r="C1" s="30" t="s">
        <v>219</v>
      </c>
      <c r="D1" s="30" t="s">
        <v>2</v>
      </c>
      <c r="E1" s="30" t="s">
        <v>220</v>
      </c>
      <c r="F1" s="30" t="s">
        <v>255</v>
      </c>
      <c r="G1" s="30" t="s">
        <v>256</v>
      </c>
    </row>
    <row r="2" spans="1:8" x14ac:dyDescent="0.2">
      <c r="A2" s="37" t="s">
        <v>257</v>
      </c>
      <c r="B2" s="37" t="s">
        <v>258</v>
      </c>
      <c r="C2" s="37" t="s">
        <v>259</v>
      </c>
      <c r="D2" s="37" t="s">
        <v>230</v>
      </c>
      <c r="E2" s="38">
        <v>1272.5</v>
      </c>
      <c r="F2" s="37" t="s">
        <v>260</v>
      </c>
      <c r="G2" s="37" t="s">
        <v>261</v>
      </c>
      <c r="H2" t="s">
        <v>262</v>
      </c>
    </row>
    <row r="3" spans="1:8" x14ac:dyDescent="0.2">
      <c r="A3" s="37" t="s">
        <v>257</v>
      </c>
      <c r="B3" s="37" t="s">
        <v>258</v>
      </c>
      <c r="C3" s="37" t="s">
        <v>263</v>
      </c>
      <c r="D3" s="37" t="s">
        <v>120</v>
      </c>
      <c r="E3" s="38">
        <v>425.6</v>
      </c>
      <c r="F3" s="37" t="s">
        <v>260</v>
      </c>
      <c r="G3" s="37" t="s">
        <v>261</v>
      </c>
      <c r="H3" t="s">
        <v>262</v>
      </c>
    </row>
    <row r="4" spans="1:8" x14ac:dyDescent="0.2">
      <c r="A4" s="37" t="s">
        <v>264</v>
      </c>
      <c r="B4" s="37" t="s">
        <v>265</v>
      </c>
      <c r="C4" s="37" t="s">
        <v>266</v>
      </c>
      <c r="D4" s="37" t="s">
        <v>17</v>
      </c>
      <c r="E4" s="38">
        <v>47</v>
      </c>
      <c r="F4" s="37" t="s">
        <v>267</v>
      </c>
      <c r="G4" s="37" t="s">
        <v>268</v>
      </c>
      <c r="H4" t="s">
        <v>262</v>
      </c>
    </row>
    <row r="5" spans="1:8" x14ac:dyDescent="0.2">
      <c r="A5" s="37" t="s">
        <v>269</v>
      </c>
      <c r="B5" s="37" t="s">
        <v>270</v>
      </c>
      <c r="C5" s="37" t="s">
        <v>266</v>
      </c>
      <c r="D5" s="37" t="s">
        <v>17</v>
      </c>
      <c r="E5" s="38">
        <v>1897.54</v>
      </c>
      <c r="F5" s="37" t="s">
        <v>267</v>
      </c>
      <c r="G5" s="37" t="s">
        <v>268</v>
      </c>
      <c r="H5" t="s">
        <v>262</v>
      </c>
    </row>
    <row r="6" spans="1:8" x14ac:dyDescent="0.2">
      <c r="A6" s="37" t="s">
        <v>271</v>
      </c>
      <c r="B6" s="37" t="s">
        <v>272</v>
      </c>
      <c r="C6" s="37" t="s">
        <v>273</v>
      </c>
      <c r="D6" s="37" t="s">
        <v>26</v>
      </c>
      <c r="E6" s="38">
        <v>0.24</v>
      </c>
      <c r="F6" s="37" t="s">
        <v>260</v>
      </c>
      <c r="G6" s="37" t="s">
        <v>261</v>
      </c>
      <c r="H6" t="s">
        <v>262</v>
      </c>
    </row>
    <row r="7" spans="1:8" x14ac:dyDescent="0.2">
      <c r="A7" s="37" t="s">
        <v>271</v>
      </c>
      <c r="B7" s="37" t="s">
        <v>272</v>
      </c>
      <c r="C7" s="37" t="s">
        <v>274</v>
      </c>
      <c r="D7" s="37" t="s">
        <v>226</v>
      </c>
      <c r="E7" s="38">
        <v>40.799999999999997</v>
      </c>
      <c r="F7" s="37" t="s">
        <v>260</v>
      </c>
      <c r="G7" s="37" t="s">
        <v>261</v>
      </c>
      <c r="H7" t="s">
        <v>262</v>
      </c>
    </row>
    <row r="8" spans="1:8" x14ac:dyDescent="0.2">
      <c r="A8" s="37" t="s">
        <v>271</v>
      </c>
      <c r="B8" s="37" t="s">
        <v>272</v>
      </c>
      <c r="C8" s="37" t="s">
        <v>275</v>
      </c>
      <c r="D8" s="37" t="s">
        <v>45</v>
      </c>
      <c r="E8" s="38">
        <v>6</v>
      </c>
      <c r="F8" s="37" t="s">
        <v>260</v>
      </c>
      <c r="G8" s="37" t="s">
        <v>261</v>
      </c>
      <c r="H8" t="s">
        <v>262</v>
      </c>
    </row>
    <row r="9" spans="1:8" x14ac:dyDescent="0.2">
      <c r="A9" s="37" t="s">
        <v>271</v>
      </c>
      <c r="B9" s="37" t="s">
        <v>272</v>
      </c>
      <c r="C9" s="37" t="s">
        <v>276</v>
      </c>
      <c r="D9" s="37" t="s">
        <v>48</v>
      </c>
      <c r="E9" s="38">
        <v>949.2</v>
      </c>
      <c r="F9" s="37" t="s">
        <v>260</v>
      </c>
      <c r="G9" s="37" t="s">
        <v>261</v>
      </c>
      <c r="H9" t="s">
        <v>262</v>
      </c>
    </row>
    <row r="10" spans="1:8" x14ac:dyDescent="0.2">
      <c r="A10" s="37" t="s">
        <v>271</v>
      </c>
      <c r="B10" s="37" t="s">
        <v>272</v>
      </c>
      <c r="C10" s="37" t="s">
        <v>277</v>
      </c>
      <c r="D10" s="37" t="s">
        <v>57</v>
      </c>
      <c r="E10" s="38">
        <v>1562</v>
      </c>
      <c r="F10" s="37" t="s">
        <v>260</v>
      </c>
      <c r="G10" s="37" t="s">
        <v>261</v>
      </c>
      <c r="H10" t="s">
        <v>262</v>
      </c>
    </row>
    <row r="11" spans="1:8" x14ac:dyDescent="0.2">
      <c r="A11" s="37" t="s">
        <v>271</v>
      </c>
      <c r="B11" s="37" t="s">
        <v>272</v>
      </c>
      <c r="C11" s="37" t="s">
        <v>278</v>
      </c>
      <c r="D11" s="37" t="s">
        <v>58</v>
      </c>
      <c r="E11" s="38">
        <v>1562</v>
      </c>
      <c r="F11" s="37" t="s">
        <v>260</v>
      </c>
      <c r="G11" s="37" t="s">
        <v>261</v>
      </c>
      <c r="H11" t="s">
        <v>262</v>
      </c>
    </row>
    <row r="12" spans="1:8" x14ac:dyDescent="0.2">
      <c r="A12" s="37" t="s">
        <v>271</v>
      </c>
      <c r="B12" s="37" t="s">
        <v>272</v>
      </c>
      <c r="C12" s="37" t="s">
        <v>279</v>
      </c>
      <c r="D12" s="37" t="s">
        <v>64</v>
      </c>
      <c r="E12" s="38">
        <v>31.24</v>
      </c>
      <c r="F12" s="37" t="s">
        <v>260</v>
      </c>
      <c r="G12" s="37" t="s">
        <v>261</v>
      </c>
      <c r="H12" t="s">
        <v>262</v>
      </c>
    </row>
    <row r="13" spans="1:8" x14ac:dyDescent="0.2">
      <c r="A13" s="37" t="s">
        <v>271</v>
      </c>
      <c r="B13" s="37" t="s">
        <v>272</v>
      </c>
      <c r="C13" s="37" t="s">
        <v>280</v>
      </c>
      <c r="D13" s="37" t="s">
        <v>65</v>
      </c>
      <c r="E13" s="38">
        <v>3.1239999999999997</v>
      </c>
      <c r="F13" s="37" t="s">
        <v>260</v>
      </c>
      <c r="G13" s="37" t="s">
        <v>261</v>
      </c>
      <c r="H13" t="s">
        <v>262</v>
      </c>
    </row>
    <row r="14" spans="1:8" x14ac:dyDescent="0.2">
      <c r="A14" s="37" t="s">
        <v>271</v>
      </c>
      <c r="B14" s="37" t="s">
        <v>272</v>
      </c>
      <c r="C14" s="37" t="s">
        <v>281</v>
      </c>
      <c r="D14" s="37" t="s">
        <v>66</v>
      </c>
      <c r="E14" s="38">
        <v>31.24</v>
      </c>
      <c r="F14" s="37" t="s">
        <v>260</v>
      </c>
      <c r="G14" s="37" t="s">
        <v>261</v>
      </c>
      <c r="H14" t="s">
        <v>262</v>
      </c>
    </row>
    <row r="15" spans="1:8" x14ac:dyDescent="0.2">
      <c r="A15" s="37" t="s">
        <v>271</v>
      </c>
      <c r="B15" s="37" t="s">
        <v>272</v>
      </c>
      <c r="C15" s="37" t="s">
        <v>282</v>
      </c>
      <c r="D15" s="37" t="s">
        <v>70</v>
      </c>
      <c r="E15" s="38">
        <v>96</v>
      </c>
      <c r="F15" s="37" t="s">
        <v>260</v>
      </c>
      <c r="G15" s="37" t="s">
        <v>261</v>
      </c>
      <c r="H15" t="s">
        <v>262</v>
      </c>
    </row>
    <row r="16" spans="1:8" x14ac:dyDescent="0.2">
      <c r="A16" s="37" t="s">
        <v>271</v>
      </c>
      <c r="B16" s="37" t="s">
        <v>272</v>
      </c>
      <c r="C16" s="37" t="s">
        <v>283</v>
      </c>
      <c r="D16" s="37" t="s">
        <v>232</v>
      </c>
      <c r="E16" s="38">
        <v>312.39999999999998</v>
      </c>
      <c r="F16" s="37" t="s">
        <v>260</v>
      </c>
      <c r="G16" s="37" t="s">
        <v>261</v>
      </c>
      <c r="H16" t="s">
        <v>262</v>
      </c>
    </row>
    <row r="17" spans="1:8" x14ac:dyDescent="0.2">
      <c r="A17" s="37" t="s">
        <v>271</v>
      </c>
      <c r="B17" s="37" t="s">
        <v>272</v>
      </c>
      <c r="C17" s="37" t="s">
        <v>284</v>
      </c>
      <c r="D17" s="37" t="s">
        <v>233</v>
      </c>
      <c r="E17" s="38">
        <v>144</v>
      </c>
      <c r="F17" s="37" t="s">
        <v>260</v>
      </c>
      <c r="G17" s="37" t="s">
        <v>261</v>
      </c>
      <c r="H17" t="s">
        <v>262</v>
      </c>
    </row>
    <row r="18" spans="1:8" x14ac:dyDescent="0.2">
      <c r="A18" s="37" t="s">
        <v>271</v>
      </c>
      <c r="B18" s="37" t="s">
        <v>272</v>
      </c>
      <c r="C18" s="37" t="s">
        <v>263</v>
      </c>
      <c r="D18" s="37" t="s">
        <v>120</v>
      </c>
      <c r="E18" s="38">
        <v>3952.6</v>
      </c>
      <c r="F18" s="37" t="s">
        <v>260</v>
      </c>
      <c r="G18" s="37" t="s">
        <v>261</v>
      </c>
      <c r="H18" t="s">
        <v>262</v>
      </c>
    </row>
    <row r="19" spans="1:8" x14ac:dyDescent="0.2">
      <c r="A19" s="37" t="s">
        <v>271</v>
      </c>
      <c r="B19" s="37" t="s">
        <v>272</v>
      </c>
      <c r="C19" s="37" t="s">
        <v>285</v>
      </c>
      <c r="D19" s="37" t="s">
        <v>121</v>
      </c>
      <c r="E19" s="38">
        <v>6050.7999999999993</v>
      </c>
      <c r="F19" s="37" t="s">
        <v>260</v>
      </c>
      <c r="G19" s="37" t="s">
        <v>261</v>
      </c>
      <c r="H19" t="s">
        <v>262</v>
      </c>
    </row>
    <row r="20" spans="1:8" x14ac:dyDescent="0.2">
      <c r="A20" s="37" t="s">
        <v>271</v>
      </c>
      <c r="B20" s="37" t="s">
        <v>272</v>
      </c>
      <c r="C20" s="37" t="s">
        <v>286</v>
      </c>
      <c r="D20" s="37" t="s">
        <v>122</v>
      </c>
      <c r="E20" s="38">
        <v>6050.8</v>
      </c>
      <c r="F20" s="37" t="s">
        <v>260</v>
      </c>
      <c r="G20" s="37" t="s">
        <v>261</v>
      </c>
      <c r="H20" t="s">
        <v>262</v>
      </c>
    </row>
    <row r="21" spans="1:8" x14ac:dyDescent="0.2">
      <c r="A21" s="37" t="s">
        <v>271</v>
      </c>
      <c r="B21" s="37" t="s">
        <v>272</v>
      </c>
      <c r="C21" s="37" t="s">
        <v>287</v>
      </c>
      <c r="D21" s="37" t="s">
        <v>123</v>
      </c>
      <c r="E21" s="38">
        <v>1151.04</v>
      </c>
      <c r="F21" s="37" t="s">
        <v>260</v>
      </c>
      <c r="G21" s="37" t="s">
        <v>261</v>
      </c>
      <c r="H21" t="s">
        <v>262</v>
      </c>
    </row>
    <row r="22" spans="1:8" x14ac:dyDescent="0.2">
      <c r="A22" s="37" t="s">
        <v>271</v>
      </c>
      <c r="B22" s="37" t="s">
        <v>272</v>
      </c>
      <c r="C22" s="37" t="s">
        <v>288</v>
      </c>
      <c r="D22" s="37" t="s">
        <v>247</v>
      </c>
      <c r="E22" s="38">
        <v>10.8</v>
      </c>
      <c r="F22" s="37" t="s">
        <v>260</v>
      </c>
      <c r="G22" s="37" t="s">
        <v>261</v>
      </c>
      <c r="H22" t="s">
        <v>262</v>
      </c>
    </row>
    <row r="23" spans="1:8" x14ac:dyDescent="0.2">
      <c r="A23" s="37" t="s">
        <v>271</v>
      </c>
      <c r="B23" s="37" t="s">
        <v>272</v>
      </c>
      <c r="C23" s="37" t="s">
        <v>289</v>
      </c>
      <c r="D23" s="37" t="s">
        <v>290</v>
      </c>
      <c r="E23" s="38">
        <v>3.6</v>
      </c>
      <c r="F23" s="37" t="s">
        <v>260</v>
      </c>
      <c r="G23" s="37" t="s">
        <v>261</v>
      </c>
      <c r="H23" t="s">
        <v>262</v>
      </c>
    </row>
    <row r="24" spans="1:8" x14ac:dyDescent="0.2">
      <c r="A24" s="37" t="s">
        <v>271</v>
      </c>
      <c r="B24" s="37" t="s">
        <v>272</v>
      </c>
      <c r="C24" s="37" t="s">
        <v>291</v>
      </c>
      <c r="D24" s="37" t="s">
        <v>207</v>
      </c>
      <c r="E24" s="38">
        <v>10.8</v>
      </c>
      <c r="F24" s="37" t="s">
        <v>260</v>
      </c>
      <c r="G24" s="37" t="s">
        <v>261</v>
      </c>
      <c r="H24" t="s">
        <v>262</v>
      </c>
    </row>
    <row r="25" spans="1:8" x14ac:dyDescent="0.2">
      <c r="A25" s="37" t="s">
        <v>271</v>
      </c>
      <c r="B25" s="37" t="s">
        <v>272</v>
      </c>
      <c r="C25" s="37" t="s">
        <v>292</v>
      </c>
      <c r="D25" s="37" t="s">
        <v>208</v>
      </c>
      <c r="E25" s="38">
        <v>1.8</v>
      </c>
      <c r="F25" s="37" t="s">
        <v>260</v>
      </c>
      <c r="G25" s="37" t="s">
        <v>261</v>
      </c>
      <c r="H25" t="s">
        <v>262</v>
      </c>
    </row>
    <row r="26" spans="1:8" x14ac:dyDescent="0.2">
      <c r="A26" s="37" t="s">
        <v>271</v>
      </c>
      <c r="B26" s="37" t="s">
        <v>272</v>
      </c>
      <c r="C26" s="37" t="s">
        <v>293</v>
      </c>
      <c r="D26" s="37" t="s">
        <v>209</v>
      </c>
      <c r="E26" s="38">
        <v>1.8</v>
      </c>
      <c r="F26" s="37" t="s">
        <v>260</v>
      </c>
      <c r="G26" s="37" t="s">
        <v>261</v>
      </c>
      <c r="H26" t="s">
        <v>262</v>
      </c>
    </row>
    <row r="27" spans="1:8" x14ac:dyDescent="0.2">
      <c r="A27" s="37" t="s">
        <v>294</v>
      </c>
      <c r="B27" s="37" t="s">
        <v>295</v>
      </c>
      <c r="C27" s="37" t="s">
        <v>260</v>
      </c>
      <c r="D27" s="37" t="s">
        <v>20</v>
      </c>
      <c r="E27" s="38">
        <v>210</v>
      </c>
      <c r="F27" s="37" t="s">
        <v>260</v>
      </c>
      <c r="G27" s="37" t="s">
        <v>261</v>
      </c>
      <c r="H27" t="s">
        <v>262</v>
      </c>
    </row>
    <row r="28" spans="1:8" x14ac:dyDescent="0.2">
      <c r="A28" s="37" t="s">
        <v>294</v>
      </c>
      <c r="B28" s="37" t="s">
        <v>295</v>
      </c>
      <c r="C28" s="37" t="s">
        <v>296</v>
      </c>
      <c r="D28" s="37" t="s">
        <v>23</v>
      </c>
      <c r="E28" s="38">
        <v>210</v>
      </c>
      <c r="F28" s="37" t="s">
        <v>260</v>
      </c>
      <c r="G28" s="37" t="s">
        <v>261</v>
      </c>
      <c r="H28" t="s">
        <v>262</v>
      </c>
    </row>
    <row r="29" spans="1:8" x14ac:dyDescent="0.2">
      <c r="A29" s="37" t="s">
        <v>294</v>
      </c>
      <c r="B29" s="37" t="s">
        <v>295</v>
      </c>
      <c r="C29" s="37" t="s">
        <v>267</v>
      </c>
      <c r="D29" s="37" t="s">
        <v>24</v>
      </c>
      <c r="E29" s="38">
        <v>230</v>
      </c>
      <c r="F29" s="37" t="s">
        <v>260</v>
      </c>
      <c r="G29" s="37" t="s">
        <v>261</v>
      </c>
      <c r="H29" t="s">
        <v>262</v>
      </c>
    </row>
    <row r="30" spans="1:8" x14ac:dyDescent="0.2">
      <c r="A30" s="37" t="s">
        <v>294</v>
      </c>
      <c r="B30" s="37" t="s">
        <v>295</v>
      </c>
      <c r="C30" s="37" t="s">
        <v>297</v>
      </c>
      <c r="D30" s="37" t="s">
        <v>25</v>
      </c>
      <c r="E30" s="38">
        <v>210</v>
      </c>
      <c r="F30" s="37" t="s">
        <v>260</v>
      </c>
      <c r="G30" s="37" t="s">
        <v>261</v>
      </c>
      <c r="H30" t="s">
        <v>262</v>
      </c>
    </row>
    <row r="31" spans="1:8" x14ac:dyDescent="0.2">
      <c r="A31" s="37" t="s">
        <v>294</v>
      </c>
      <c r="B31" s="37" t="s">
        <v>295</v>
      </c>
      <c r="C31" s="37" t="s">
        <v>273</v>
      </c>
      <c r="D31" s="37" t="s">
        <v>26</v>
      </c>
      <c r="E31" s="38">
        <v>20.979999999999997</v>
      </c>
      <c r="F31" s="37" t="s">
        <v>260</v>
      </c>
      <c r="G31" s="37" t="s">
        <v>261</v>
      </c>
      <c r="H31" t="s">
        <v>262</v>
      </c>
    </row>
    <row r="32" spans="1:8" x14ac:dyDescent="0.2">
      <c r="A32" s="37" t="s">
        <v>294</v>
      </c>
      <c r="B32" s="37" t="s">
        <v>295</v>
      </c>
      <c r="C32" s="37" t="s">
        <v>298</v>
      </c>
      <c r="D32" s="37" t="s">
        <v>27</v>
      </c>
      <c r="E32" s="38">
        <v>210</v>
      </c>
      <c r="F32" s="37" t="s">
        <v>260</v>
      </c>
      <c r="G32" s="37" t="s">
        <v>261</v>
      </c>
      <c r="H32" t="s">
        <v>262</v>
      </c>
    </row>
    <row r="33" spans="1:8" x14ac:dyDescent="0.2">
      <c r="A33" s="37" t="s">
        <v>294</v>
      </c>
      <c r="B33" s="37" t="s">
        <v>295</v>
      </c>
      <c r="C33" s="37" t="s">
        <v>299</v>
      </c>
      <c r="D33" s="37" t="s">
        <v>28</v>
      </c>
      <c r="E33" s="38">
        <v>1050</v>
      </c>
      <c r="F33" s="37" t="s">
        <v>260</v>
      </c>
      <c r="G33" s="37" t="s">
        <v>261</v>
      </c>
      <c r="H33" t="s">
        <v>262</v>
      </c>
    </row>
    <row r="34" spans="1:8" x14ac:dyDescent="0.2">
      <c r="A34" s="37" t="s">
        <v>294</v>
      </c>
      <c r="B34" s="37" t="s">
        <v>295</v>
      </c>
      <c r="C34" s="37" t="s">
        <v>300</v>
      </c>
      <c r="D34" s="37" t="s">
        <v>29</v>
      </c>
      <c r="E34" s="38">
        <v>168</v>
      </c>
      <c r="F34" s="37" t="s">
        <v>260</v>
      </c>
      <c r="G34" s="37" t="s">
        <v>261</v>
      </c>
      <c r="H34" t="s">
        <v>262</v>
      </c>
    </row>
    <row r="35" spans="1:8" x14ac:dyDescent="0.2">
      <c r="A35" s="37" t="s">
        <v>294</v>
      </c>
      <c r="B35" s="37" t="s">
        <v>295</v>
      </c>
      <c r="C35" s="37" t="s">
        <v>301</v>
      </c>
      <c r="D35" s="37" t="s">
        <v>30</v>
      </c>
      <c r="E35" s="38">
        <v>6.3</v>
      </c>
      <c r="F35" s="37" t="s">
        <v>260</v>
      </c>
      <c r="G35" s="37" t="s">
        <v>261</v>
      </c>
      <c r="H35" t="s">
        <v>262</v>
      </c>
    </row>
    <row r="36" spans="1:8" x14ac:dyDescent="0.2">
      <c r="A36" s="37" t="s">
        <v>294</v>
      </c>
      <c r="B36" s="37" t="s">
        <v>295</v>
      </c>
      <c r="C36" s="37" t="s">
        <v>302</v>
      </c>
      <c r="D36" s="37" t="s">
        <v>42</v>
      </c>
      <c r="E36" s="38">
        <v>21.000000000000004</v>
      </c>
      <c r="F36" s="37" t="s">
        <v>260</v>
      </c>
      <c r="G36" s="37" t="s">
        <v>261</v>
      </c>
      <c r="H36" t="s">
        <v>262</v>
      </c>
    </row>
    <row r="37" spans="1:8" x14ac:dyDescent="0.2">
      <c r="A37" s="37" t="s">
        <v>294</v>
      </c>
      <c r="B37" s="37" t="s">
        <v>295</v>
      </c>
      <c r="C37" s="37" t="s">
        <v>303</v>
      </c>
      <c r="D37" s="37" t="s">
        <v>227</v>
      </c>
      <c r="E37" s="38">
        <v>735</v>
      </c>
      <c r="F37" s="37" t="s">
        <v>260</v>
      </c>
      <c r="G37" s="37" t="s">
        <v>261</v>
      </c>
      <c r="H37" t="s">
        <v>262</v>
      </c>
    </row>
    <row r="38" spans="1:8" x14ac:dyDescent="0.2">
      <c r="A38" s="37" t="s">
        <v>294</v>
      </c>
      <c r="B38" s="37" t="s">
        <v>295</v>
      </c>
      <c r="C38" s="37" t="s">
        <v>275</v>
      </c>
      <c r="D38" s="37" t="s">
        <v>45</v>
      </c>
      <c r="E38" s="38">
        <v>525.005</v>
      </c>
      <c r="F38" s="37" t="s">
        <v>260</v>
      </c>
      <c r="G38" s="37" t="s">
        <v>261</v>
      </c>
      <c r="H38" t="s">
        <v>262</v>
      </c>
    </row>
    <row r="39" spans="1:8" x14ac:dyDescent="0.2">
      <c r="A39" s="37" t="s">
        <v>294</v>
      </c>
      <c r="B39" s="37" t="s">
        <v>295</v>
      </c>
      <c r="C39" s="37" t="s">
        <v>304</v>
      </c>
      <c r="D39" s="37" t="s">
        <v>46</v>
      </c>
      <c r="E39" s="38">
        <v>21.000000000000004</v>
      </c>
      <c r="F39" s="37" t="s">
        <v>260</v>
      </c>
      <c r="G39" s="37" t="s">
        <v>261</v>
      </c>
      <c r="H39" t="s">
        <v>262</v>
      </c>
    </row>
    <row r="40" spans="1:8" x14ac:dyDescent="0.2">
      <c r="A40" s="37" t="s">
        <v>294</v>
      </c>
      <c r="B40" s="37" t="s">
        <v>295</v>
      </c>
      <c r="C40" s="37" t="s">
        <v>305</v>
      </c>
      <c r="D40" s="37" t="s">
        <v>47</v>
      </c>
      <c r="E40" s="38">
        <v>21</v>
      </c>
      <c r="F40" s="37" t="s">
        <v>260</v>
      </c>
      <c r="G40" s="37" t="s">
        <v>261</v>
      </c>
      <c r="H40" t="s">
        <v>262</v>
      </c>
    </row>
    <row r="41" spans="1:8" x14ac:dyDescent="0.2">
      <c r="A41" s="37" t="s">
        <v>294</v>
      </c>
      <c r="B41" s="37" t="s">
        <v>295</v>
      </c>
      <c r="C41" s="37" t="s">
        <v>276</v>
      </c>
      <c r="D41" s="37" t="s">
        <v>48</v>
      </c>
      <c r="E41" s="38">
        <v>1470</v>
      </c>
      <c r="F41" s="37" t="s">
        <v>260</v>
      </c>
      <c r="G41" s="37" t="s">
        <v>261</v>
      </c>
      <c r="H41" t="s">
        <v>262</v>
      </c>
    </row>
    <row r="42" spans="1:8" x14ac:dyDescent="0.2">
      <c r="A42" s="37" t="s">
        <v>294</v>
      </c>
      <c r="B42" s="37" t="s">
        <v>295</v>
      </c>
      <c r="C42" s="37" t="s">
        <v>306</v>
      </c>
      <c r="D42" s="37" t="s">
        <v>50</v>
      </c>
      <c r="E42" s="38">
        <v>1575</v>
      </c>
      <c r="F42" s="37" t="s">
        <v>260</v>
      </c>
      <c r="G42" s="37" t="s">
        <v>261</v>
      </c>
      <c r="H42" t="s">
        <v>262</v>
      </c>
    </row>
    <row r="43" spans="1:8" x14ac:dyDescent="0.2">
      <c r="A43" s="37" t="s">
        <v>294</v>
      </c>
      <c r="B43" s="37" t="s">
        <v>295</v>
      </c>
      <c r="C43" s="37" t="s">
        <v>307</v>
      </c>
      <c r="D43" s="37" t="s">
        <v>51</v>
      </c>
      <c r="E43" s="38">
        <v>21</v>
      </c>
      <c r="F43" s="37" t="s">
        <v>260</v>
      </c>
      <c r="G43" s="37" t="s">
        <v>261</v>
      </c>
      <c r="H43" t="s">
        <v>262</v>
      </c>
    </row>
    <row r="44" spans="1:8" x14ac:dyDescent="0.2">
      <c r="A44" s="37" t="s">
        <v>294</v>
      </c>
      <c r="B44" s="37" t="s">
        <v>295</v>
      </c>
      <c r="C44" s="37" t="s">
        <v>308</v>
      </c>
      <c r="D44" s="37" t="s">
        <v>52</v>
      </c>
      <c r="E44" s="38">
        <v>21</v>
      </c>
      <c r="F44" s="37" t="s">
        <v>260</v>
      </c>
      <c r="G44" s="37" t="s">
        <v>261</v>
      </c>
      <c r="H44" t="s">
        <v>262</v>
      </c>
    </row>
    <row r="45" spans="1:8" x14ac:dyDescent="0.2">
      <c r="A45" s="37" t="s">
        <v>294</v>
      </c>
      <c r="B45" s="37" t="s">
        <v>295</v>
      </c>
      <c r="C45" s="37" t="s">
        <v>309</v>
      </c>
      <c r="D45" s="37" t="s">
        <v>53</v>
      </c>
      <c r="E45" s="38">
        <v>21</v>
      </c>
      <c r="F45" s="37" t="s">
        <v>260</v>
      </c>
      <c r="G45" s="37" t="s">
        <v>261</v>
      </c>
      <c r="H45" t="s">
        <v>262</v>
      </c>
    </row>
    <row r="46" spans="1:8" x14ac:dyDescent="0.2">
      <c r="A46" s="37" t="s">
        <v>294</v>
      </c>
      <c r="B46" s="37" t="s">
        <v>295</v>
      </c>
      <c r="C46" s="37" t="s">
        <v>310</v>
      </c>
      <c r="D46" s="37" t="s">
        <v>54</v>
      </c>
      <c r="E46" s="38">
        <v>21</v>
      </c>
      <c r="F46" s="37" t="s">
        <v>260</v>
      </c>
      <c r="G46" s="37" t="s">
        <v>261</v>
      </c>
      <c r="H46" t="s">
        <v>262</v>
      </c>
    </row>
    <row r="47" spans="1:8" x14ac:dyDescent="0.2">
      <c r="A47" s="37" t="s">
        <v>294</v>
      </c>
      <c r="B47" s="37" t="s">
        <v>295</v>
      </c>
      <c r="C47" s="37" t="s">
        <v>311</v>
      </c>
      <c r="D47" s="37" t="s">
        <v>55</v>
      </c>
      <c r="E47" s="38">
        <v>629.47</v>
      </c>
      <c r="F47" s="37" t="s">
        <v>260</v>
      </c>
      <c r="G47" s="37" t="s">
        <v>261</v>
      </c>
      <c r="H47" t="s">
        <v>262</v>
      </c>
    </row>
    <row r="48" spans="1:8" x14ac:dyDescent="0.2">
      <c r="A48" s="37" t="s">
        <v>294</v>
      </c>
      <c r="B48" s="37" t="s">
        <v>295</v>
      </c>
      <c r="C48" s="37" t="s">
        <v>312</v>
      </c>
      <c r="D48" s="37" t="s">
        <v>56</v>
      </c>
      <c r="E48" s="38">
        <v>944.21999999999991</v>
      </c>
      <c r="F48" s="37" t="s">
        <v>260</v>
      </c>
      <c r="G48" s="37" t="s">
        <v>261</v>
      </c>
      <c r="H48" t="s">
        <v>262</v>
      </c>
    </row>
    <row r="49" spans="1:8" x14ac:dyDescent="0.2">
      <c r="A49" s="37" t="s">
        <v>294</v>
      </c>
      <c r="B49" s="37" t="s">
        <v>295</v>
      </c>
      <c r="C49" s="37" t="s">
        <v>313</v>
      </c>
      <c r="D49" s="37" t="s">
        <v>59</v>
      </c>
      <c r="E49" s="38">
        <v>10.502000000000001</v>
      </c>
      <c r="F49" s="37" t="s">
        <v>260</v>
      </c>
      <c r="G49" s="37" t="s">
        <v>261</v>
      </c>
      <c r="H49" t="s">
        <v>262</v>
      </c>
    </row>
    <row r="50" spans="1:8" x14ac:dyDescent="0.2">
      <c r="A50" s="37" t="s">
        <v>294</v>
      </c>
      <c r="B50" s="37" t="s">
        <v>295</v>
      </c>
      <c r="C50" s="37" t="s">
        <v>314</v>
      </c>
      <c r="D50" s="37" t="s">
        <v>60</v>
      </c>
      <c r="E50" s="38">
        <v>105.00200000000001</v>
      </c>
      <c r="F50" s="37" t="s">
        <v>260</v>
      </c>
      <c r="G50" s="37" t="s">
        <v>261</v>
      </c>
      <c r="H50" t="s">
        <v>262</v>
      </c>
    </row>
    <row r="51" spans="1:8" x14ac:dyDescent="0.2">
      <c r="A51" s="37" t="s">
        <v>294</v>
      </c>
      <c r="B51" s="37" t="s">
        <v>295</v>
      </c>
      <c r="C51" s="37" t="s">
        <v>315</v>
      </c>
      <c r="D51" s="37" t="s">
        <v>61</v>
      </c>
      <c r="E51" s="38">
        <v>1260.01</v>
      </c>
      <c r="F51" s="37" t="s">
        <v>260</v>
      </c>
      <c r="G51" s="37" t="s">
        <v>261</v>
      </c>
      <c r="H51" t="s">
        <v>262</v>
      </c>
    </row>
    <row r="52" spans="1:8" x14ac:dyDescent="0.2">
      <c r="A52" s="37" t="s">
        <v>294</v>
      </c>
      <c r="B52" s="37" t="s">
        <v>295</v>
      </c>
      <c r="C52" s="37" t="s">
        <v>316</v>
      </c>
      <c r="D52" s="37" t="s">
        <v>228</v>
      </c>
      <c r="E52" s="38">
        <v>21.004000000000001</v>
      </c>
      <c r="F52" s="37" t="s">
        <v>260</v>
      </c>
      <c r="G52" s="37" t="s">
        <v>261</v>
      </c>
      <c r="H52" t="s">
        <v>262</v>
      </c>
    </row>
    <row r="53" spans="1:8" x14ac:dyDescent="0.2">
      <c r="A53" s="37" t="s">
        <v>294</v>
      </c>
      <c r="B53" s="37" t="s">
        <v>295</v>
      </c>
      <c r="C53" s="37" t="s">
        <v>317</v>
      </c>
      <c r="D53" s="37" t="s">
        <v>63</v>
      </c>
      <c r="E53" s="38">
        <v>10.502000000000001</v>
      </c>
      <c r="F53" s="37" t="s">
        <v>260</v>
      </c>
      <c r="G53" s="37" t="s">
        <v>261</v>
      </c>
      <c r="H53" t="s">
        <v>262</v>
      </c>
    </row>
    <row r="54" spans="1:8" x14ac:dyDescent="0.2">
      <c r="A54" s="37" t="s">
        <v>294</v>
      </c>
      <c r="B54" s="37" t="s">
        <v>295</v>
      </c>
      <c r="C54" s="37" t="s">
        <v>282</v>
      </c>
      <c r="D54" s="37" t="s">
        <v>70</v>
      </c>
      <c r="E54" s="38">
        <v>4195.8</v>
      </c>
      <c r="F54" s="37" t="s">
        <v>260</v>
      </c>
      <c r="G54" s="37" t="s">
        <v>261</v>
      </c>
      <c r="H54" t="s">
        <v>262</v>
      </c>
    </row>
    <row r="55" spans="1:8" x14ac:dyDescent="0.2">
      <c r="A55" s="37" t="s">
        <v>294</v>
      </c>
      <c r="B55" s="37" t="s">
        <v>295</v>
      </c>
      <c r="C55" s="37" t="s">
        <v>318</v>
      </c>
      <c r="D55" s="37" t="s">
        <v>238</v>
      </c>
      <c r="E55" s="38">
        <v>13</v>
      </c>
      <c r="F55" s="37" t="s">
        <v>260</v>
      </c>
      <c r="G55" s="37" t="s">
        <v>261</v>
      </c>
      <c r="H55" t="s">
        <v>262</v>
      </c>
    </row>
    <row r="56" spans="1:8" x14ac:dyDescent="0.2">
      <c r="A56" s="37" t="s">
        <v>294</v>
      </c>
      <c r="B56" s="37" t="s">
        <v>295</v>
      </c>
      <c r="C56" s="37" t="s">
        <v>263</v>
      </c>
      <c r="D56" s="37" t="s">
        <v>120</v>
      </c>
      <c r="E56" s="38">
        <v>16518.45</v>
      </c>
      <c r="F56" s="37" t="s">
        <v>260</v>
      </c>
      <c r="G56" s="37" t="s">
        <v>261</v>
      </c>
      <c r="H56" t="s">
        <v>262</v>
      </c>
    </row>
    <row r="57" spans="1:8" x14ac:dyDescent="0.2">
      <c r="A57" s="37" t="s">
        <v>294</v>
      </c>
      <c r="B57" s="37" t="s">
        <v>295</v>
      </c>
      <c r="C57" s="37" t="s">
        <v>319</v>
      </c>
      <c r="D57" s="37" t="s">
        <v>124</v>
      </c>
      <c r="E57" s="38">
        <v>21</v>
      </c>
      <c r="F57" s="37" t="s">
        <v>260</v>
      </c>
      <c r="G57" s="37" t="s">
        <v>261</v>
      </c>
      <c r="H57" t="s">
        <v>262</v>
      </c>
    </row>
    <row r="58" spans="1:8" x14ac:dyDescent="0.2">
      <c r="A58" s="37" t="s">
        <v>294</v>
      </c>
      <c r="B58" s="37" t="s">
        <v>295</v>
      </c>
      <c r="C58" s="37" t="s">
        <v>320</v>
      </c>
      <c r="D58" s="37" t="s">
        <v>125</v>
      </c>
      <c r="E58" s="38">
        <v>1785</v>
      </c>
      <c r="F58" s="37" t="s">
        <v>260</v>
      </c>
      <c r="G58" s="37" t="s">
        <v>261</v>
      </c>
      <c r="H58" t="s">
        <v>262</v>
      </c>
    </row>
    <row r="59" spans="1:8" x14ac:dyDescent="0.2">
      <c r="A59" s="37" t="s">
        <v>294</v>
      </c>
      <c r="B59" s="37" t="s">
        <v>295</v>
      </c>
      <c r="C59" s="37" t="s">
        <v>321</v>
      </c>
      <c r="D59" s="37" t="s">
        <v>126</v>
      </c>
      <c r="E59" s="38">
        <v>1.4007000000000001</v>
      </c>
      <c r="F59" s="37" t="s">
        <v>260</v>
      </c>
      <c r="G59" s="37" t="s">
        <v>261</v>
      </c>
      <c r="H59" t="s">
        <v>262</v>
      </c>
    </row>
    <row r="60" spans="1:8" x14ac:dyDescent="0.2">
      <c r="A60" s="37" t="s">
        <v>294</v>
      </c>
      <c r="B60" s="37" t="s">
        <v>295</v>
      </c>
      <c r="C60" s="37" t="s">
        <v>322</v>
      </c>
      <c r="D60" s="37" t="s">
        <v>248</v>
      </c>
      <c r="E60" s="38">
        <v>0.26</v>
      </c>
      <c r="F60" s="37" t="s">
        <v>260</v>
      </c>
      <c r="G60" s="37" t="s">
        <v>261</v>
      </c>
      <c r="H60" t="s">
        <v>262</v>
      </c>
    </row>
    <row r="61" spans="1:8" x14ac:dyDescent="0.2">
      <c r="A61" s="37" t="s">
        <v>294</v>
      </c>
      <c r="B61" s="37" t="s">
        <v>295</v>
      </c>
      <c r="C61" s="37" t="s">
        <v>323</v>
      </c>
      <c r="D61" s="37" t="s">
        <v>249</v>
      </c>
      <c r="E61" s="38">
        <v>0.26</v>
      </c>
      <c r="F61" s="37" t="s">
        <v>260</v>
      </c>
      <c r="G61" s="37" t="s">
        <v>261</v>
      </c>
      <c r="H61" t="s">
        <v>262</v>
      </c>
    </row>
    <row r="62" spans="1:8" x14ac:dyDescent="0.2">
      <c r="A62" s="37" t="s">
        <v>294</v>
      </c>
      <c r="B62" s="37" t="s">
        <v>295</v>
      </c>
      <c r="C62" s="37" t="s">
        <v>324</v>
      </c>
      <c r="D62" s="37" t="s">
        <v>250</v>
      </c>
      <c r="E62" s="38">
        <v>0.26</v>
      </c>
      <c r="F62" s="37" t="s">
        <v>260</v>
      </c>
      <c r="G62" s="37" t="s">
        <v>261</v>
      </c>
      <c r="H62" t="s">
        <v>262</v>
      </c>
    </row>
    <row r="63" spans="1:8" x14ac:dyDescent="0.2">
      <c r="A63" s="37" t="s">
        <v>294</v>
      </c>
      <c r="B63" s="37" t="s">
        <v>295</v>
      </c>
      <c r="C63" s="37" t="s">
        <v>325</v>
      </c>
      <c r="D63" s="37" t="s">
        <v>251</v>
      </c>
      <c r="E63" s="38">
        <v>0.26</v>
      </c>
      <c r="F63" s="37" t="s">
        <v>260</v>
      </c>
      <c r="G63" s="37" t="s">
        <v>261</v>
      </c>
      <c r="H63" t="s">
        <v>262</v>
      </c>
    </row>
    <row r="64" spans="1:8" x14ac:dyDescent="0.2">
      <c r="A64" s="37" t="s">
        <v>294</v>
      </c>
      <c r="B64" s="37" t="s">
        <v>295</v>
      </c>
      <c r="C64" s="37" t="s">
        <v>326</v>
      </c>
      <c r="D64" s="37" t="s">
        <v>252</v>
      </c>
      <c r="E64" s="38">
        <v>0.26</v>
      </c>
      <c r="F64" s="37" t="s">
        <v>260</v>
      </c>
      <c r="G64" s="37" t="s">
        <v>261</v>
      </c>
      <c r="H64" t="s">
        <v>262</v>
      </c>
    </row>
    <row r="65" spans="1:8" x14ac:dyDescent="0.2">
      <c r="A65" s="37" t="s">
        <v>327</v>
      </c>
      <c r="B65" s="37" t="s">
        <v>328</v>
      </c>
      <c r="C65" s="37" t="s">
        <v>266</v>
      </c>
      <c r="D65" s="37" t="s">
        <v>17</v>
      </c>
      <c r="E65" s="38">
        <v>6000</v>
      </c>
      <c r="F65" s="37" t="s">
        <v>260</v>
      </c>
      <c r="G65" s="37" t="s">
        <v>261</v>
      </c>
      <c r="H65" t="s">
        <v>262</v>
      </c>
    </row>
    <row r="66" spans="1:8" x14ac:dyDescent="0.2">
      <c r="A66" s="37" t="s">
        <v>327</v>
      </c>
      <c r="B66" s="37" t="s">
        <v>328</v>
      </c>
      <c r="C66" s="37" t="s">
        <v>329</v>
      </c>
      <c r="D66" s="37" t="s">
        <v>21</v>
      </c>
      <c r="E66" s="38">
        <v>3000</v>
      </c>
      <c r="F66" s="37" t="s">
        <v>260</v>
      </c>
      <c r="G66" s="37" t="s">
        <v>261</v>
      </c>
      <c r="H66" t="s">
        <v>262</v>
      </c>
    </row>
    <row r="67" spans="1:8" x14ac:dyDescent="0.2">
      <c r="A67" s="37" t="s">
        <v>327</v>
      </c>
      <c r="B67" s="37" t="s">
        <v>328</v>
      </c>
      <c r="C67" s="37" t="s">
        <v>330</v>
      </c>
      <c r="D67" s="37" t="s">
        <v>22</v>
      </c>
      <c r="E67" s="38">
        <v>3024</v>
      </c>
      <c r="F67" s="37" t="s">
        <v>260</v>
      </c>
      <c r="G67" s="37" t="s">
        <v>261</v>
      </c>
      <c r="H67" t="s">
        <v>262</v>
      </c>
    </row>
    <row r="68" spans="1:8" x14ac:dyDescent="0.2">
      <c r="A68" s="37" t="s">
        <v>327</v>
      </c>
      <c r="B68" s="37" t="s">
        <v>328</v>
      </c>
      <c r="C68" s="37" t="s">
        <v>331</v>
      </c>
      <c r="D68" s="37" t="s">
        <v>31</v>
      </c>
      <c r="E68" s="38">
        <v>600</v>
      </c>
      <c r="F68" s="37" t="s">
        <v>260</v>
      </c>
      <c r="G68" s="37" t="s">
        <v>261</v>
      </c>
      <c r="H68" t="s">
        <v>262</v>
      </c>
    </row>
    <row r="69" spans="1:8" x14ac:dyDescent="0.2">
      <c r="A69" s="37" t="s">
        <v>327</v>
      </c>
      <c r="B69" s="37" t="s">
        <v>328</v>
      </c>
      <c r="C69" s="37" t="s">
        <v>332</v>
      </c>
      <c r="D69" s="37" t="s">
        <v>32</v>
      </c>
      <c r="E69" s="38">
        <v>1411.1999999999998</v>
      </c>
      <c r="F69" s="37" t="s">
        <v>260</v>
      </c>
      <c r="G69" s="37" t="s">
        <v>261</v>
      </c>
      <c r="H69" t="s">
        <v>262</v>
      </c>
    </row>
    <row r="70" spans="1:8" x14ac:dyDescent="0.2">
      <c r="A70" s="37" t="s">
        <v>327</v>
      </c>
      <c r="B70" s="37" t="s">
        <v>328</v>
      </c>
      <c r="C70" s="37" t="s">
        <v>333</v>
      </c>
      <c r="D70" s="37" t="s">
        <v>225</v>
      </c>
      <c r="E70" s="38">
        <v>3835.2000000000007</v>
      </c>
      <c r="F70" s="37" t="s">
        <v>260</v>
      </c>
      <c r="G70" s="37" t="s">
        <v>261</v>
      </c>
      <c r="H70" t="s">
        <v>262</v>
      </c>
    </row>
    <row r="71" spans="1:8" x14ac:dyDescent="0.2">
      <c r="A71" s="37" t="s">
        <v>327</v>
      </c>
      <c r="B71" s="37" t="s">
        <v>328</v>
      </c>
      <c r="C71" s="37" t="s">
        <v>334</v>
      </c>
      <c r="D71" s="37" t="s">
        <v>34</v>
      </c>
      <c r="E71" s="38">
        <v>100.80000000000001</v>
      </c>
      <c r="F71" s="37" t="s">
        <v>260</v>
      </c>
      <c r="G71" s="37" t="s">
        <v>261</v>
      </c>
      <c r="H71" t="s">
        <v>262</v>
      </c>
    </row>
    <row r="72" spans="1:8" x14ac:dyDescent="0.2">
      <c r="A72" s="37" t="s">
        <v>327</v>
      </c>
      <c r="B72" s="37" t="s">
        <v>328</v>
      </c>
      <c r="C72" s="37" t="s">
        <v>335</v>
      </c>
      <c r="D72" s="37" t="s">
        <v>35</v>
      </c>
      <c r="E72" s="38">
        <v>201.60000000000002</v>
      </c>
      <c r="F72" s="37" t="s">
        <v>260</v>
      </c>
      <c r="G72" s="37" t="s">
        <v>261</v>
      </c>
      <c r="H72" t="s">
        <v>262</v>
      </c>
    </row>
    <row r="73" spans="1:8" x14ac:dyDescent="0.2">
      <c r="A73" s="37" t="s">
        <v>327</v>
      </c>
      <c r="B73" s="37" t="s">
        <v>328</v>
      </c>
      <c r="C73" s="37" t="s">
        <v>336</v>
      </c>
      <c r="D73" s="37" t="s">
        <v>36</v>
      </c>
      <c r="E73" s="38">
        <v>20.159999999999997</v>
      </c>
      <c r="F73" s="37" t="s">
        <v>260</v>
      </c>
      <c r="G73" s="37" t="s">
        <v>261</v>
      </c>
      <c r="H73" t="s">
        <v>262</v>
      </c>
    </row>
    <row r="74" spans="1:8" x14ac:dyDescent="0.2">
      <c r="A74" s="37" t="s">
        <v>327</v>
      </c>
      <c r="B74" s="37" t="s">
        <v>328</v>
      </c>
      <c r="C74" s="37" t="s">
        <v>337</v>
      </c>
      <c r="D74" s="37" t="s">
        <v>37</v>
      </c>
      <c r="E74" s="38">
        <v>20.159999999999997</v>
      </c>
      <c r="F74" s="37" t="s">
        <v>260</v>
      </c>
      <c r="G74" s="37" t="s">
        <v>261</v>
      </c>
      <c r="H74" t="s">
        <v>262</v>
      </c>
    </row>
    <row r="75" spans="1:8" x14ac:dyDescent="0.2">
      <c r="A75" s="37" t="s">
        <v>327</v>
      </c>
      <c r="B75" s="37" t="s">
        <v>328</v>
      </c>
      <c r="C75" s="37" t="s">
        <v>338</v>
      </c>
      <c r="D75" s="37" t="s">
        <v>38</v>
      </c>
      <c r="E75" s="38">
        <v>20.159999999999997</v>
      </c>
      <c r="F75" s="37" t="s">
        <v>260</v>
      </c>
      <c r="G75" s="37" t="s">
        <v>261</v>
      </c>
      <c r="H75" t="s">
        <v>262</v>
      </c>
    </row>
    <row r="76" spans="1:8" x14ac:dyDescent="0.2">
      <c r="A76" s="37" t="s">
        <v>327</v>
      </c>
      <c r="B76" s="37" t="s">
        <v>328</v>
      </c>
      <c r="C76" s="37" t="s">
        <v>339</v>
      </c>
      <c r="D76" s="37" t="s">
        <v>39</v>
      </c>
      <c r="E76" s="38">
        <v>20.159999999999997</v>
      </c>
      <c r="F76" s="37" t="s">
        <v>260</v>
      </c>
      <c r="G76" s="37" t="s">
        <v>261</v>
      </c>
      <c r="H76" t="s">
        <v>262</v>
      </c>
    </row>
    <row r="77" spans="1:8" x14ac:dyDescent="0.2">
      <c r="A77" s="37" t="s">
        <v>327</v>
      </c>
      <c r="B77" s="37" t="s">
        <v>328</v>
      </c>
      <c r="C77" s="37" t="s">
        <v>340</v>
      </c>
      <c r="D77" s="37" t="s">
        <v>40</v>
      </c>
      <c r="E77" s="38">
        <v>20.159999999999997</v>
      </c>
      <c r="F77" s="37" t="s">
        <v>260</v>
      </c>
      <c r="G77" s="37" t="s">
        <v>261</v>
      </c>
      <c r="H77" t="s">
        <v>262</v>
      </c>
    </row>
    <row r="78" spans="1:8" x14ac:dyDescent="0.2">
      <c r="A78" s="37" t="s">
        <v>327</v>
      </c>
      <c r="B78" s="37" t="s">
        <v>328</v>
      </c>
      <c r="C78" s="37" t="s">
        <v>341</v>
      </c>
      <c r="D78" s="37" t="s">
        <v>41</v>
      </c>
      <c r="E78" s="38">
        <v>201.60000000000002</v>
      </c>
      <c r="F78" s="37" t="s">
        <v>260</v>
      </c>
      <c r="G78" s="37" t="s">
        <v>261</v>
      </c>
      <c r="H78" t="s">
        <v>262</v>
      </c>
    </row>
    <row r="79" spans="1:8" x14ac:dyDescent="0.2">
      <c r="A79" s="37" t="s">
        <v>327</v>
      </c>
      <c r="B79" s="37" t="s">
        <v>328</v>
      </c>
      <c r="C79" s="37" t="s">
        <v>342</v>
      </c>
      <c r="D79" s="37" t="s">
        <v>49</v>
      </c>
      <c r="E79" s="38">
        <v>1519.5</v>
      </c>
      <c r="F79" s="37" t="s">
        <v>260</v>
      </c>
      <c r="G79" s="37" t="s">
        <v>261</v>
      </c>
      <c r="H79" t="s">
        <v>262</v>
      </c>
    </row>
    <row r="80" spans="1:8" x14ac:dyDescent="0.2">
      <c r="A80" s="37" t="s">
        <v>327</v>
      </c>
      <c r="B80" s="37" t="s">
        <v>328</v>
      </c>
      <c r="C80" s="37" t="s">
        <v>306</v>
      </c>
      <c r="D80" s="37" t="s">
        <v>50</v>
      </c>
      <c r="E80" s="38">
        <v>1519.5</v>
      </c>
      <c r="F80" s="37" t="s">
        <v>260</v>
      </c>
      <c r="G80" s="37" t="s">
        <v>261</v>
      </c>
      <c r="H80" t="s">
        <v>262</v>
      </c>
    </row>
    <row r="81" spans="1:8" x14ac:dyDescent="0.2">
      <c r="A81" s="37" t="s">
        <v>327</v>
      </c>
      <c r="B81" s="37" t="s">
        <v>328</v>
      </c>
      <c r="C81" s="37" t="s">
        <v>343</v>
      </c>
      <c r="D81" s="37" t="s">
        <v>234</v>
      </c>
      <c r="E81" s="38">
        <v>24</v>
      </c>
      <c r="F81" s="37" t="s">
        <v>260</v>
      </c>
      <c r="G81" s="37" t="s">
        <v>261</v>
      </c>
      <c r="H81" t="s">
        <v>262</v>
      </c>
    </row>
    <row r="82" spans="1:8" x14ac:dyDescent="0.2">
      <c r="A82" s="37" t="s">
        <v>327</v>
      </c>
      <c r="B82" s="37" t="s">
        <v>328</v>
      </c>
      <c r="C82" s="37" t="s">
        <v>344</v>
      </c>
      <c r="D82" s="37" t="s">
        <v>235</v>
      </c>
      <c r="E82" s="38">
        <v>24</v>
      </c>
      <c r="F82" s="37" t="s">
        <v>260</v>
      </c>
      <c r="G82" s="37" t="s">
        <v>261</v>
      </c>
      <c r="H82" t="s">
        <v>262</v>
      </c>
    </row>
    <row r="83" spans="1:8" x14ac:dyDescent="0.2">
      <c r="A83" s="37" t="s">
        <v>327</v>
      </c>
      <c r="B83" s="37" t="s">
        <v>328</v>
      </c>
      <c r="C83" s="37" t="s">
        <v>345</v>
      </c>
      <c r="D83" s="37" t="s">
        <v>236</v>
      </c>
      <c r="E83" s="38">
        <v>12</v>
      </c>
      <c r="F83" s="37" t="s">
        <v>260</v>
      </c>
      <c r="G83" s="37" t="s">
        <v>261</v>
      </c>
      <c r="H83" t="s">
        <v>262</v>
      </c>
    </row>
    <row r="84" spans="1:8" x14ac:dyDescent="0.2">
      <c r="A84" s="37" t="s">
        <v>327</v>
      </c>
      <c r="B84" s="37" t="s">
        <v>328</v>
      </c>
      <c r="C84" s="37" t="s">
        <v>346</v>
      </c>
      <c r="D84" s="37" t="s">
        <v>237</v>
      </c>
      <c r="E84" s="38">
        <v>12</v>
      </c>
      <c r="F84" s="37" t="s">
        <v>260</v>
      </c>
      <c r="G84" s="37" t="s">
        <v>261</v>
      </c>
      <c r="H84" t="s">
        <v>262</v>
      </c>
    </row>
    <row r="85" spans="1:8" x14ac:dyDescent="0.2">
      <c r="A85" s="37" t="s">
        <v>327</v>
      </c>
      <c r="B85" s="37" t="s">
        <v>328</v>
      </c>
      <c r="C85" s="37" t="s">
        <v>263</v>
      </c>
      <c r="D85" s="37" t="s">
        <v>120</v>
      </c>
      <c r="E85" s="38">
        <v>30240</v>
      </c>
      <c r="F85" s="37" t="s">
        <v>260</v>
      </c>
      <c r="G85" s="37" t="s">
        <v>261</v>
      </c>
      <c r="H85" t="s">
        <v>262</v>
      </c>
    </row>
    <row r="86" spans="1:8" x14ac:dyDescent="0.2">
      <c r="A86" s="37" t="s">
        <v>327</v>
      </c>
      <c r="B86" s="37" t="s">
        <v>328</v>
      </c>
      <c r="C86" s="37" t="s">
        <v>321</v>
      </c>
      <c r="D86" s="37" t="s">
        <v>126</v>
      </c>
      <c r="E86" s="38">
        <v>1.3512999999999999</v>
      </c>
      <c r="F86" s="37" t="s">
        <v>260</v>
      </c>
      <c r="G86" s="37" t="s">
        <v>261</v>
      </c>
      <c r="H86" t="s">
        <v>262</v>
      </c>
    </row>
    <row r="87" spans="1:8" x14ac:dyDescent="0.2">
      <c r="A87" s="37" t="s">
        <v>347</v>
      </c>
      <c r="B87" s="37" t="s">
        <v>14</v>
      </c>
      <c r="C87" s="37" t="s">
        <v>348</v>
      </c>
      <c r="D87" s="37" t="s">
        <v>242</v>
      </c>
      <c r="E87" s="38">
        <v>21.6</v>
      </c>
      <c r="F87" s="37" t="s">
        <v>267</v>
      </c>
      <c r="G87" s="37" t="s">
        <v>268</v>
      </c>
      <c r="H87" t="s">
        <v>262</v>
      </c>
    </row>
    <row r="88" spans="1:8" x14ac:dyDescent="0.2">
      <c r="A88" s="37" t="s">
        <v>349</v>
      </c>
      <c r="B88" s="37" t="s">
        <v>350</v>
      </c>
      <c r="C88" s="37" t="s">
        <v>348</v>
      </c>
      <c r="D88" s="37" t="s">
        <v>242</v>
      </c>
      <c r="E88" s="38">
        <v>3.4000000000000004</v>
      </c>
      <c r="F88" s="37" t="s">
        <v>267</v>
      </c>
      <c r="G88" s="37" t="s">
        <v>268</v>
      </c>
      <c r="H88" t="s">
        <v>262</v>
      </c>
    </row>
    <row r="89" spans="1:8" x14ac:dyDescent="0.2">
      <c r="A89" s="37" t="s">
        <v>351</v>
      </c>
      <c r="B89" s="37" t="s">
        <v>13</v>
      </c>
      <c r="C89" s="37" t="s">
        <v>352</v>
      </c>
      <c r="D89" s="37" t="s">
        <v>185</v>
      </c>
      <c r="E89" s="38">
        <v>684</v>
      </c>
      <c r="F89" s="37" t="s">
        <v>267</v>
      </c>
      <c r="G89" s="37" t="s">
        <v>268</v>
      </c>
      <c r="H89" t="s">
        <v>262</v>
      </c>
    </row>
    <row r="90" spans="1:8" x14ac:dyDescent="0.2">
      <c r="A90" s="37" t="s">
        <v>353</v>
      </c>
      <c r="B90" s="37" t="s">
        <v>354</v>
      </c>
      <c r="C90" s="37" t="s">
        <v>355</v>
      </c>
      <c r="D90" s="37" t="s">
        <v>133</v>
      </c>
      <c r="E90" s="38">
        <v>6.8</v>
      </c>
      <c r="F90" s="37" t="s">
        <v>267</v>
      </c>
      <c r="G90" s="37" t="s">
        <v>268</v>
      </c>
      <c r="H90" t="s">
        <v>262</v>
      </c>
    </row>
    <row r="91" spans="1:8" x14ac:dyDescent="0.2">
      <c r="A91" s="37" t="s">
        <v>353</v>
      </c>
      <c r="B91" s="37" t="s">
        <v>354</v>
      </c>
      <c r="C91" s="37" t="s">
        <v>356</v>
      </c>
      <c r="D91" s="37" t="s">
        <v>241</v>
      </c>
      <c r="E91" s="38">
        <v>7.9</v>
      </c>
      <c r="F91" s="37" t="s">
        <v>267</v>
      </c>
      <c r="G91" s="37" t="s">
        <v>268</v>
      </c>
      <c r="H91" t="s">
        <v>262</v>
      </c>
    </row>
    <row r="92" spans="1:8" x14ac:dyDescent="0.2">
      <c r="A92" s="37" t="s">
        <v>353</v>
      </c>
      <c r="B92" s="37" t="s">
        <v>354</v>
      </c>
      <c r="C92" s="37" t="s">
        <v>357</v>
      </c>
      <c r="D92" s="37" t="s">
        <v>246</v>
      </c>
      <c r="E92" s="38">
        <v>9</v>
      </c>
      <c r="F92" s="37" t="s">
        <v>267</v>
      </c>
      <c r="G92" s="37" t="s">
        <v>268</v>
      </c>
      <c r="H92" t="s">
        <v>262</v>
      </c>
    </row>
    <row r="93" spans="1:8" x14ac:dyDescent="0.2">
      <c r="A93" s="37" t="s">
        <v>358</v>
      </c>
      <c r="B93" s="37" t="s">
        <v>359</v>
      </c>
      <c r="C93" s="37" t="s">
        <v>360</v>
      </c>
      <c r="D93" s="37" t="s">
        <v>132</v>
      </c>
      <c r="E93" s="38">
        <v>25</v>
      </c>
      <c r="F93" s="37" t="s">
        <v>267</v>
      </c>
      <c r="G93" s="37" t="s">
        <v>268</v>
      </c>
      <c r="H93" t="s">
        <v>262</v>
      </c>
    </row>
    <row r="94" spans="1:8" x14ac:dyDescent="0.2">
      <c r="A94" s="37" t="s">
        <v>358</v>
      </c>
      <c r="B94" s="37" t="s">
        <v>359</v>
      </c>
      <c r="C94" s="37" t="s">
        <v>361</v>
      </c>
      <c r="D94" s="37" t="s">
        <v>144</v>
      </c>
      <c r="E94" s="38">
        <v>25</v>
      </c>
      <c r="F94" s="37" t="s">
        <v>267</v>
      </c>
      <c r="G94" s="37" t="s">
        <v>268</v>
      </c>
      <c r="H94" t="s">
        <v>262</v>
      </c>
    </row>
    <row r="95" spans="1:8" x14ac:dyDescent="0.2">
      <c r="A95" s="37" t="s">
        <v>358</v>
      </c>
      <c r="B95" s="37" t="s">
        <v>359</v>
      </c>
      <c r="C95" s="37" t="s">
        <v>362</v>
      </c>
      <c r="D95" s="37" t="s">
        <v>149</v>
      </c>
      <c r="E95" s="38">
        <v>2.5</v>
      </c>
      <c r="F95" s="37" t="s">
        <v>267</v>
      </c>
      <c r="G95" s="37" t="s">
        <v>268</v>
      </c>
      <c r="H95" t="s">
        <v>262</v>
      </c>
    </row>
    <row r="96" spans="1:8" x14ac:dyDescent="0.2">
      <c r="A96" s="37" t="s">
        <v>363</v>
      </c>
      <c r="B96" s="37" t="s">
        <v>364</v>
      </c>
      <c r="C96" s="37" t="s">
        <v>360</v>
      </c>
      <c r="D96" s="37" t="s">
        <v>132</v>
      </c>
      <c r="E96" s="38">
        <v>6</v>
      </c>
      <c r="F96" s="37" t="s">
        <v>267</v>
      </c>
      <c r="G96" s="37" t="s">
        <v>268</v>
      </c>
      <c r="H96" t="s">
        <v>262</v>
      </c>
    </row>
    <row r="97" spans="1:8" x14ac:dyDescent="0.2">
      <c r="A97" s="37" t="s">
        <v>365</v>
      </c>
      <c r="B97" s="37" t="s">
        <v>366</v>
      </c>
      <c r="C97" s="37" t="s">
        <v>348</v>
      </c>
      <c r="D97" s="37" t="s">
        <v>242</v>
      </c>
      <c r="E97" s="38">
        <v>2.6</v>
      </c>
      <c r="F97" s="37" t="s">
        <v>267</v>
      </c>
      <c r="G97" s="37" t="s">
        <v>268</v>
      </c>
      <c r="H97" t="s">
        <v>262</v>
      </c>
    </row>
    <row r="98" spans="1:8" x14ac:dyDescent="0.2">
      <c r="A98" s="37" t="s">
        <v>367</v>
      </c>
      <c r="B98" s="37" t="s">
        <v>368</v>
      </c>
      <c r="C98" s="37" t="s">
        <v>348</v>
      </c>
      <c r="D98" s="37" t="s">
        <v>242</v>
      </c>
      <c r="E98" s="38">
        <v>42.899999999999991</v>
      </c>
      <c r="F98" s="37" t="s">
        <v>267</v>
      </c>
      <c r="G98" s="37" t="s">
        <v>268</v>
      </c>
      <c r="H98" t="s">
        <v>262</v>
      </c>
    </row>
    <row r="99" spans="1:8" x14ac:dyDescent="0.2">
      <c r="A99" s="37" t="s">
        <v>369</v>
      </c>
      <c r="B99" s="37" t="s">
        <v>370</v>
      </c>
      <c r="C99" s="37" t="s">
        <v>371</v>
      </c>
      <c r="D99" s="37" t="s">
        <v>243</v>
      </c>
      <c r="E99" s="38">
        <v>20</v>
      </c>
      <c r="F99" s="37" t="s">
        <v>267</v>
      </c>
      <c r="G99" s="37" t="s">
        <v>268</v>
      </c>
      <c r="H99" t="s">
        <v>262</v>
      </c>
    </row>
    <row r="100" spans="1:8" x14ac:dyDescent="0.2">
      <c r="A100" s="37" t="s">
        <v>372</v>
      </c>
      <c r="B100" s="37" t="s">
        <v>373</v>
      </c>
      <c r="C100" s="37" t="s">
        <v>374</v>
      </c>
      <c r="D100" s="37" t="s">
        <v>375</v>
      </c>
      <c r="E100" s="38">
        <v>50.400000000000013</v>
      </c>
      <c r="F100" s="37" t="s">
        <v>267</v>
      </c>
      <c r="G100" s="37" t="s">
        <v>268</v>
      </c>
      <c r="H100" t="s">
        <v>262</v>
      </c>
    </row>
    <row r="101" spans="1:8" x14ac:dyDescent="0.2">
      <c r="A101" s="37" t="s">
        <v>372</v>
      </c>
      <c r="B101" s="37" t="s">
        <v>373</v>
      </c>
      <c r="C101" s="37" t="s">
        <v>376</v>
      </c>
      <c r="D101" s="37" t="s">
        <v>244</v>
      </c>
      <c r="E101" s="38">
        <v>1120</v>
      </c>
      <c r="F101" s="37" t="s">
        <v>267</v>
      </c>
      <c r="G101" s="37" t="s">
        <v>268</v>
      </c>
      <c r="H101" t="s">
        <v>262</v>
      </c>
    </row>
    <row r="102" spans="1:8" x14ac:dyDescent="0.2">
      <c r="A102" s="37" t="s">
        <v>372</v>
      </c>
      <c r="B102" s="37" t="s">
        <v>373</v>
      </c>
      <c r="C102" s="37" t="s">
        <v>377</v>
      </c>
      <c r="D102" s="37" t="s">
        <v>245</v>
      </c>
      <c r="E102" s="38">
        <v>140</v>
      </c>
      <c r="F102" s="37" t="s">
        <v>267</v>
      </c>
      <c r="G102" s="37" t="s">
        <v>268</v>
      </c>
      <c r="H102" t="s">
        <v>262</v>
      </c>
    </row>
    <row r="103" spans="1:8" x14ac:dyDescent="0.2">
      <c r="A103" s="37" t="s">
        <v>378</v>
      </c>
      <c r="B103" s="37" t="s">
        <v>379</v>
      </c>
      <c r="C103" s="37" t="s">
        <v>348</v>
      </c>
      <c r="D103" s="37" t="s">
        <v>242</v>
      </c>
      <c r="E103" s="38">
        <v>32</v>
      </c>
      <c r="F103" s="37" t="s">
        <v>267</v>
      </c>
      <c r="G103" s="37" t="s">
        <v>268</v>
      </c>
      <c r="H103" t="s">
        <v>262</v>
      </c>
    </row>
    <row r="104" spans="1:8" x14ac:dyDescent="0.2">
      <c r="A104" s="37" t="s">
        <v>380</v>
      </c>
      <c r="B104" s="37" t="s">
        <v>381</v>
      </c>
      <c r="C104" s="37" t="s">
        <v>352</v>
      </c>
      <c r="D104" s="37" t="s">
        <v>185</v>
      </c>
      <c r="E104" s="38">
        <v>180</v>
      </c>
      <c r="F104" s="37" t="s">
        <v>267</v>
      </c>
      <c r="G104" s="37" t="s">
        <v>268</v>
      </c>
      <c r="H104" t="s">
        <v>262</v>
      </c>
    </row>
    <row r="105" spans="1:8" x14ac:dyDescent="0.2">
      <c r="A105" s="37" t="s">
        <v>382</v>
      </c>
      <c r="B105" s="37" t="s">
        <v>15</v>
      </c>
      <c r="C105" s="37" t="s">
        <v>348</v>
      </c>
      <c r="D105" s="37" t="s">
        <v>242</v>
      </c>
      <c r="E105" s="38">
        <v>10.8</v>
      </c>
      <c r="F105" s="37" t="s">
        <v>267</v>
      </c>
      <c r="G105" s="37" t="s">
        <v>268</v>
      </c>
      <c r="H105" t="s">
        <v>262</v>
      </c>
    </row>
    <row r="106" spans="1:8" x14ac:dyDescent="0.2">
      <c r="A106" s="37" t="s">
        <v>383</v>
      </c>
      <c r="B106" s="37" t="s">
        <v>384</v>
      </c>
      <c r="C106" s="37" t="s">
        <v>360</v>
      </c>
      <c r="D106" s="37" t="s">
        <v>132</v>
      </c>
      <c r="E106" s="38">
        <v>16</v>
      </c>
      <c r="F106" s="37" t="s">
        <v>267</v>
      </c>
      <c r="G106" s="37" t="s">
        <v>268</v>
      </c>
      <c r="H106" t="s">
        <v>262</v>
      </c>
    </row>
    <row r="107" spans="1:8" x14ac:dyDescent="0.2">
      <c r="A107" s="37" t="s">
        <v>383</v>
      </c>
      <c r="B107" s="37" t="s">
        <v>384</v>
      </c>
      <c r="C107" s="37" t="s">
        <v>385</v>
      </c>
      <c r="D107" s="37" t="s">
        <v>150</v>
      </c>
      <c r="E107" s="38">
        <v>16</v>
      </c>
      <c r="F107" s="37" t="s">
        <v>267</v>
      </c>
      <c r="G107" s="37" t="s">
        <v>268</v>
      </c>
      <c r="H107" t="s">
        <v>262</v>
      </c>
    </row>
    <row r="108" spans="1:8" x14ac:dyDescent="0.2">
      <c r="A108" s="37" t="s">
        <v>386</v>
      </c>
      <c r="B108" s="37" t="s">
        <v>16</v>
      </c>
      <c r="C108" s="37" t="s">
        <v>387</v>
      </c>
      <c r="D108" s="37" t="s">
        <v>240</v>
      </c>
      <c r="E108" s="38">
        <v>73</v>
      </c>
      <c r="F108" s="37" t="s">
        <v>267</v>
      </c>
      <c r="G108" s="37" t="s">
        <v>268</v>
      </c>
      <c r="H108" t="s">
        <v>262</v>
      </c>
    </row>
    <row r="109" spans="1:8" x14ac:dyDescent="0.2">
      <c r="A109" s="37" t="s">
        <v>388</v>
      </c>
      <c r="B109" s="37" t="s">
        <v>389</v>
      </c>
      <c r="C109" s="37" t="s">
        <v>390</v>
      </c>
      <c r="D109" s="37" t="s">
        <v>231</v>
      </c>
      <c r="E109" s="38">
        <v>919.29</v>
      </c>
      <c r="F109" s="37" t="s">
        <v>260</v>
      </c>
      <c r="G109" s="37" t="s">
        <v>261</v>
      </c>
      <c r="H109" t="s">
        <v>262</v>
      </c>
    </row>
    <row r="110" spans="1:8" x14ac:dyDescent="0.2">
      <c r="A110" s="37" t="s">
        <v>391</v>
      </c>
      <c r="B110" s="37" t="s">
        <v>392</v>
      </c>
      <c r="C110" s="37" t="s">
        <v>274</v>
      </c>
      <c r="D110" s="37" t="s">
        <v>226</v>
      </c>
      <c r="E110" s="38">
        <v>1070</v>
      </c>
      <c r="F110" s="37" t="s">
        <v>260</v>
      </c>
      <c r="G110" s="37" t="s">
        <v>261</v>
      </c>
      <c r="H110" t="s">
        <v>262</v>
      </c>
    </row>
    <row r="111" spans="1:8" x14ac:dyDescent="0.2">
      <c r="A111" s="37" t="s">
        <v>391</v>
      </c>
      <c r="B111" s="37" t="s">
        <v>392</v>
      </c>
      <c r="C111" s="37" t="s">
        <v>263</v>
      </c>
      <c r="D111" s="37" t="s">
        <v>120</v>
      </c>
      <c r="E111" s="38">
        <v>267.5</v>
      </c>
      <c r="F111" s="37" t="s">
        <v>260</v>
      </c>
      <c r="G111" s="37" t="s">
        <v>261</v>
      </c>
      <c r="H111" t="s">
        <v>262</v>
      </c>
    </row>
    <row r="112" spans="1:8" x14ac:dyDescent="0.55000000000000004">
      <c r="E112"/>
    </row>
    <row r="113" customFormat="1" x14ac:dyDescent="0.55000000000000004"/>
    <row r="114" customFormat="1" x14ac:dyDescent="0.55000000000000004"/>
    <row r="115" customFormat="1" x14ac:dyDescent="0.55000000000000004"/>
    <row r="116" customFormat="1" x14ac:dyDescent="0.55000000000000004"/>
    <row r="117" customFormat="1" x14ac:dyDescent="0.55000000000000004"/>
    <row r="118" customFormat="1" x14ac:dyDescent="0.55000000000000004"/>
    <row r="119" customFormat="1" x14ac:dyDescent="0.55000000000000004"/>
    <row r="120" customFormat="1" x14ac:dyDescent="0.55000000000000004"/>
    <row r="121" customFormat="1" x14ac:dyDescent="0.55000000000000004"/>
    <row r="122" customFormat="1" x14ac:dyDescent="0.55000000000000004"/>
    <row r="123" customFormat="1" x14ac:dyDescent="0.55000000000000004"/>
    <row r="124" customFormat="1" x14ac:dyDescent="0.55000000000000004"/>
    <row r="125" customFormat="1" x14ac:dyDescent="0.55000000000000004"/>
    <row r="126" customFormat="1" x14ac:dyDescent="0.55000000000000004"/>
    <row r="127" customFormat="1" x14ac:dyDescent="0.55000000000000004"/>
    <row r="128" customFormat="1" x14ac:dyDescent="0.55000000000000004"/>
    <row r="129" customFormat="1" x14ac:dyDescent="0.55000000000000004"/>
    <row r="130" customFormat="1" x14ac:dyDescent="0.55000000000000004"/>
    <row r="131" customFormat="1" x14ac:dyDescent="0.55000000000000004"/>
    <row r="132" customFormat="1" x14ac:dyDescent="0.55000000000000004"/>
    <row r="133" customFormat="1" x14ac:dyDescent="0.55000000000000004"/>
    <row r="134" customFormat="1" x14ac:dyDescent="0.55000000000000004"/>
    <row r="135" customFormat="1" x14ac:dyDescent="0.55000000000000004"/>
    <row r="136" customFormat="1" x14ac:dyDescent="0.55000000000000004"/>
    <row r="137" customFormat="1" x14ac:dyDescent="0.55000000000000004"/>
    <row r="138" customFormat="1" x14ac:dyDescent="0.55000000000000004"/>
    <row r="139" customFormat="1" x14ac:dyDescent="0.55000000000000004"/>
    <row r="140" customFormat="1" x14ac:dyDescent="0.55000000000000004"/>
    <row r="141" customFormat="1" x14ac:dyDescent="0.55000000000000004"/>
    <row r="142" customFormat="1" x14ac:dyDescent="0.55000000000000004"/>
    <row r="143" customFormat="1" x14ac:dyDescent="0.55000000000000004"/>
    <row r="144" customFormat="1" x14ac:dyDescent="0.55000000000000004"/>
    <row r="145" customFormat="1" x14ac:dyDescent="0.55000000000000004"/>
    <row r="146" customFormat="1" x14ac:dyDescent="0.55000000000000004"/>
    <row r="147" customFormat="1" x14ac:dyDescent="0.55000000000000004"/>
    <row r="148" customFormat="1" x14ac:dyDescent="0.55000000000000004"/>
    <row r="149" customFormat="1" x14ac:dyDescent="0.55000000000000004"/>
    <row r="150" customFormat="1" x14ac:dyDescent="0.55000000000000004"/>
    <row r="151" customFormat="1" x14ac:dyDescent="0.55000000000000004"/>
    <row r="152" customFormat="1" x14ac:dyDescent="0.55000000000000004"/>
    <row r="153" customFormat="1" x14ac:dyDescent="0.55000000000000004"/>
    <row r="154" customFormat="1" x14ac:dyDescent="0.55000000000000004"/>
    <row r="155" customFormat="1" x14ac:dyDescent="0.55000000000000004"/>
    <row r="156" customFormat="1" x14ac:dyDescent="0.55000000000000004"/>
    <row r="157" customFormat="1" x14ac:dyDescent="0.55000000000000004"/>
    <row r="158" customFormat="1" x14ac:dyDescent="0.55000000000000004"/>
    <row r="159" customFormat="1" x14ac:dyDescent="0.55000000000000004"/>
    <row r="160" customFormat="1" x14ac:dyDescent="0.55000000000000004"/>
    <row r="161" customFormat="1" x14ac:dyDescent="0.55000000000000004"/>
    <row r="162" customFormat="1" x14ac:dyDescent="0.55000000000000004"/>
    <row r="163" customFormat="1" x14ac:dyDescent="0.55000000000000004"/>
    <row r="164" customFormat="1" x14ac:dyDescent="0.55000000000000004"/>
    <row r="165" customFormat="1" x14ac:dyDescent="0.55000000000000004"/>
    <row r="166" customFormat="1" x14ac:dyDescent="0.55000000000000004"/>
    <row r="167" customFormat="1" x14ac:dyDescent="0.55000000000000004"/>
    <row r="168" customFormat="1" x14ac:dyDescent="0.55000000000000004"/>
    <row r="169" customFormat="1" x14ac:dyDescent="0.55000000000000004"/>
    <row r="170" customFormat="1" x14ac:dyDescent="0.55000000000000004"/>
    <row r="171" customFormat="1" x14ac:dyDescent="0.55000000000000004"/>
    <row r="172" customFormat="1" x14ac:dyDescent="0.55000000000000004"/>
    <row r="173" customFormat="1" x14ac:dyDescent="0.55000000000000004"/>
    <row r="174" customFormat="1" x14ac:dyDescent="0.55000000000000004"/>
    <row r="175" customFormat="1" x14ac:dyDescent="0.55000000000000004"/>
    <row r="176" customFormat="1" x14ac:dyDescent="0.55000000000000004"/>
    <row r="177" customFormat="1" x14ac:dyDescent="0.55000000000000004"/>
    <row r="178" customFormat="1" x14ac:dyDescent="0.55000000000000004"/>
    <row r="179" customFormat="1" x14ac:dyDescent="0.55000000000000004"/>
    <row r="180" customFormat="1" x14ac:dyDescent="0.55000000000000004"/>
    <row r="181" customFormat="1" x14ac:dyDescent="0.55000000000000004"/>
    <row r="182" customFormat="1" x14ac:dyDescent="0.55000000000000004"/>
    <row r="183" customFormat="1" x14ac:dyDescent="0.55000000000000004"/>
    <row r="184" customFormat="1" x14ac:dyDescent="0.55000000000000004"/>
    <row r="185" customFormat="1" x14ac:dyDescent="0.55000000000000004"/>
    <row r="186" customFormat="1" x14ac:dyDescent="0.55000000000000004"/>
    <row r="187" customFormat="1" x14ac:dyDescent="0.55000000000000004"/>
    <row r="188" customFormat="1" x14ac:dyDescent="0.55000000000000004"/>
    <row r="189" customFormat="1" x14ac:dyDescent="0.55000000000000004"/>
    <row r="190" customFormat="1" x14ac:dyDescent="0.55000000000000004"/>
  </sheetData>
  <phoneticPr fontId="4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H317"/>
  <sheetViews>
    <sheetView topLeftCell="A97" workbookViewId="0">
      <selection activeCell="G14" sqref="G14"/>
    </sheetView>
  </sheetViews>
  <sheetFormatPr defaultColWidth="8.1640625" defaultRowHeight="18" x14ac:dyDescent="0.55000000000000004"/>
  <cols>
    <col min="1" max="1" width="10.6640625" bestFit="1" customWidth="1"/>
    <col min="2" max="2" width="8.83203125" bestFit="1" customWidth="1"/>
    <col min="3" max="3" width="9.08203125" bestFit="1" customWidth="1"/>
    <col min="4" max="4" width="20.1640625" bestFit="1" customWidth="1"/>
    <col min="5" max="5" width="8.1640625" style="40" bestFit="1"/>
    <col min="6" max="6" width="9.08203125" bestFit="1" customWidth="1"/>
    <col min="7" max="7" width="12.83203125" bestFit="1" customWidth="1"/>
    <col min="8" max="8" width="17.5" customWidth="1"/>
  </cols>
  <sheetData>
    <row r="1" spans="1:8" x14ac:dyDescent="0.2">
      <c r="A1" s="30" t="s">
        <v>253</v>
      </c>
      <c r="B1" s="30" t="s">
        <v>254</v>
      </c>
      <c r="C1" s="30" t="s">
        <v>219</v>
      </c>
      <c r="D1" s="30" t="s">
        <v>2</v>
      </c>
      <c r="E1" s="30" t="s">
        <v>220</v>
      </c>
      <c r="F1" s="30" t="s">
        <v>255</v>
      </c>
      <c r="G1" s="30" t="s">
        <v>256</v>
      </c>
    </row>
    <row r="2" spans="1:8" x14ac:dyDescent="0.2">
      <c r="A2" s="37" t="s">
        <v>68</v>
      </c>
      <c r="B2" s="37" t="s">
        <v>68</v>
      </c>
      <c r="C2" s="37" t="s">
        <v>266</v>
      </c>
      <c r="D2" s="37" t="s">
        <v>17</v>
      </c>
      <c r="E2" s="38">
        <v>15.58</v>
      </c>
      <c r="F2" s="37" t="s">
        <v>344</v>
      </c>
      <c r="G2" s="37" t="s">
        <v>393</v>
      </c>
      <c r="H2" t="s">
        <v>394</v>
      </c>
    </row>
    <row r="3" spans="1:8" x14ac:dyDescent="0.2">
      <c r="A3" s="37" t="s">
        <v>68</v>
      </c>
      <c r="B3" s="37" t="s">
        <v>68</v>
      </c>
      <c r="C3" s="37" t="s">
        <v>260</v>
      </c>
      <c r="D3" s="37" t="s">
        <v>20</v>
      </c>
      <c r="E3" s="38">
        <v>1</v>
      </c>
      <c r="F3" s="37" t="s">
        <v>343</v>
      </c>
      <c r="G3" s="37" t="s">
        <v>395</v>
      </c>
      <c r="H3" t="s">
        <v>394</v>
      </c>
    </row>
    <row r="4" spans="1:8" x14ac:dyDescent="0.2">
      <c r="A4" s="37" t="s">
        <v>68</v>
      </c>
      <c r="B4" s="37" t="s">
        <v>68</v>
      </c>
      <c r="C4" s="37" t="s">
        <v>260</v>
      </c>
      <c r="D4" s="37" t="s">
        <v>20</v>
      </c>
      <c r="E4" s="38">
        <v>3.49</v>
      </c>
      <c r="F4" s="37" t="s">
        <v>344</v>
      </c>
      <c r="G4" s="37" t="s">
        <v>393</v>
      </c>
      <c r="H4" t="s">
        <v>394</v>
      </c>
    </row>
    <row r="5" spans="1:8" x14ac:dyDescent="0.2">
      <c r="A5" s="37" t="s">
        <v>68</v>
      </c>
      <c r="B5" s="37" t="s">
        <v>68</v>
      </c>
      <c r="C5" s="37" t="s">
        <v>296</v>
      </c>
      <c r="D5" s="37" t="s">
        <v>23</v>
      </c>
      <c r="E5" s="38">
        <v>1.5</v>
      </c>
      <c r="F5" s="37" t="s">
        <v>344</v>
      </c>
      <c r="G5" s="37" t="s">
        <v>393</v>
      </c>
      <c r="H5" t="s">
        <v>394</v>
      </c>
    </row>
    <row r="6" spans="1:8" x14ac:dyDescent="0.2">
      <c r="A6" s="37" t="s">
        <v>68</v>
      </c>
      <c r="B6" s="37" t="s">
        <v>68</v>
      </c>
      <c r="C6" s="37" t="s">
        <v>267</v>
      </c>
      <c r="D6" s="37" t="s">
        <v>24</v>
      </c>
      <c r="E6" s="38">
        <v>0.16</v>
      </c>
      <c r="F6" s="37" t="s">
        <v>344</v>
      </c>
      <c r="G6" s="37" t="s">
        <v>393</v>
      </c>
      <c r="H6" t="s">
        <v>394</v>
      </c>
    </row>
    <row r="7" spans="1:8" x14ac:dyDescent="0.2">
      <c r="A7" s="37" t="s">
        <v>68</v>
      </c>
      <c r="B7" s="37" t="s">
        <v>68</v>
      </c>
      <c r="C7" s="37" t="s">
        <v>297</v>
      </c>
      <c r="D7" s="37" t="s">
        <v>25</v>
      </c>
      <c r="E7" s="38">
        <v>1.9</v>
      </c>
      <c r="F7" s="37" t="s">
        <v>344</v>
      </c>
      <c r="G7" s="37" t="s">
        <v>393</v>
      </c>
      <c r="H7" t="s">
        <v>394</v>
      </c>
    </row>
    <row r="8" spans="1:8" x14ac:dyDescent="0.2">
      <c r="A8" s="37" t="s">
        <v>68</v>
      </c>
      <c r="B8" s="37" t="s">
        <v>68</v>
      </c>
      <c r="C8" s="37" t="s">
        <v>273</v>
      </c>
      <c r="D8" s="37" t="s">
        <v>26</v>
      </c>
      <c r="E8" s="38">
        <v>0.83500000000000008</v>
      </c>
      <c r="F8" s="37" t="s">
        <v>344</v>
      </c>
      <c r="G8" s="37" t="s">
        <v>393</v>
      </c>
      <c r="H8" t="s">
        <v>394</v>
      </c>
    </row>
    <row r="9" spans="1:8" x14ac:dyDescent="0.2">
      <c r="A9" s="37" t="s">
        <v>68</v>
      </c>
      <c r="B9" s="37" t="s">
        <v>68</v>
      </c>
      <c r="C9" s="37" t="s">
        <v>298</v>
      </c>
      <c r="D9" s="37" t="s">
        <v>27</v>
      </c>
      <c r="E9" s="38">
        <v>5.4</v>
      </c>
      <c r="F9" s="37" t="s">
        <v>343</v>
      </c>
      <c r="G9" s="37" t="s">
        <v>395</v>
      </c>
      <c r="H9" t="s">
        <v>394</v>
      </c>
    </row>
    <row r="10" spans="1:8" x14ac:dyDescent="0.2">
      <c r="A10" s="37" t="s">
        <v>68</v>
      </c>
      <c r="B10" s="37" t="s">
        <v>68</v>
      </c>
      <c r="C10" s="37" t="s">
        <v>298</v>
      </c>
      <c r="D10" s="37" t="s">
        <v>27</v>
      </c>
      <c r="E10" s="38">
        <v>2.4</v>
      </c>
      <c r="F10" s="37" t="s">
        <v>344</v>
      </c>
      <c r="G10" s="37" t="s">
        <v>393</v>
      </c>
      <c r="H10" t="s">
        <v>394</v>
      </c>
    </row>
    <row r="11" spans="1:8" x14ac:dyDescent="0.2">
      <c r="A11" s="37" t="s">
        <v>68</v>
      </c>
      <c r="B11" s="37" t="s">
        <v>68</v>
      </c>
      <c r="C11" s="37" t="s">
        <v>299</v>
      </c>
      <c r="D11" s="37" t="s">
        <v>28</v>
      </c>
      <c r="E11" s="38">
        <v>6.34</v>
      </c>
      <c r="F11" s="37" t="s">
        <v>344</v>
      </c>
      <c r="G11" s="37" t="s">
        <v>393</v>
      </c>
      <c r="H11" t="s">
        <v>394</v>
      </c>
    </row>
    <row r="12" spans="1:8" x14ac:dyDescent="0.2">
      <c r="A12" s="37" t="s">
        <v>68</v>
      </c>
      <c r="B12" s="37" t="s">
        <v>68</v>
      </c>
      <c r="C12" s="37" t="s">
        <v>300</v>
      </c>
      <c r="D12" s="37" t="s">
        <v>29</v>
      </c>
      <c r="E12" s="38">
        <v>4.37</v>
      </c>
      <c r="F12" s="37" t="s">
        <v>343</v>
      </c>
      <c r="G12" s="37" t="s">
        <v>395</v>
      </c>
      <c r="H12" t="s">
        <v>394</v>
      </c>
    </row>
    <row r="13" spans="1:8" x14ac:dyDescent="0.2">
      <c r="A13" s="37" t="s">
        <v>68</v>
      </c>
      <c r="B13" s="37" t="s">
        <v>68</v>
      </c>
      <c r="C13" s="37" t="s">
        <v>300</v>
      </c>
      <c r="D13" s="37" t="s">
        <v>29</v>
      </c>
      <c r="E13" s="38">
        <v>5.43</v>
      </c>
      <c r="F13" s="37" t="s">
        <v>344</v>
      </c>
      <c r="G13" s="37" t="s">
        <v>393</v>
      </c>
      <c r="H13" t="s">
        <v>394</v>
      </c>
    </row>
    <row r="14" spans="1:8" x14ac:dyDescent="0.2">
      <c r="A14" s="37" t="s">
        <v>68</v>
      </c>
      <c r="B14" s="37" t="s">
        <v>68</v>
      </c>
      <c r="C14" s="37" t="s">
        <v>301</v>
      </c>
      <c r="D14" s="37" t="s">
        <v>30</v>
      </c>
      <c r="E14" s="38">
        <v>5.28</v>
      </c>
      <c r="F14" s="37" t="s">
        <v>344</v>
      </c>
      <c r="G14" s="37" t="s">
        <v>393</v>
      </c>
      <c r="H14" t="s">
        <v>394</v>
      </c>
    </row>
    <row r="15" spans="1:8" x14ac:dyDescent="0.2">
      <c r="A15" s="37" t="s">
        <v>68</v>
      </c>
      <c r="B15" s="37" t="s">
        <v>68</v>
      </c>
      <c r="C15" s="37" t="s">
        <v>302</v>
      </c>
      <c r="D15" s="37" t="s">
        <v>42</v>
      </c>
      <c r="E15" s="38">
        <v>1.02</v>
      </c>
      <c r="F15" s="37" t="s">
        <v>343</v>
      </c>
      <c r="G15" s="37" t="s">
        <v>395</v>
      </c>
      <c r="H15" t="s">
        <v>394</v>
      </c>
    </row>
    <row r="16" spans="1:8" x14ac:dyDescent="0.2">
      <c r="A16" s="37" t="s">
        <v>68</v>
      </c>
      <c r="B16" s="37" t="s">
        <v>68</v>
      </c>
      <c r="C16" s="37" t="s">
        <v>302</v>
      </c>
      <c r="D16" s="37" t="s">
        <v>42</v>
      </c>
      <c r="E16" s="38">
        <v>2.23</v>
      </c>
      <c r="F16" s="37" t="s">
        <v>344</v>
      </c>
      <c r="G16" s="37" t="s">
        <v>393</v>
      </c>
      <c r="H16" t="s">
        <v>394</v>
      </c>
    </row>
    <row r="17" spans="1:8" x14ac:dyDescent="0.2">
      <c r="A17" s="37" t="s">
        <v>68</v>
      </c>
      <c r="B17" s="37" t="s">
        <v>68</v>
      </c>
      <c r="C17" s="37" t="s">
        <v>274</v>
      </c>
      <c r="D17" s="37" t="s">
        <v>226</v>
      </c>
      <c r="E17" s="38">
        <v>19.329999999999998</v>
      </c>
      <c r="F17" s="37" t="s">
        <v>343</v>
      </c>
      <c r="G17" s="37" t="s">
        <v>395</v>
      </c>
      <c r="H17" t="s">
        <v>394</v>
      </c>
    </row>
    <row r="18" spans="1:8" x14ac:dyDescent="0.2">
      <c r="A18" s="37" t="s">
        <v>68</v>
      </c>
      <c r="B18" s="37" t="s">
        <v>68</v>
      </c>
      <c r="C18" s="37" t="s">
        <v>274</v>
      </c>
      <c r="D18" s="37" t="s">
        <v>226</v>
      </c>
      <c r="E18" s="38">
        <v>3.42</v>
      </c>
      <c r="F18" s="37" t="s">
        <v>344</v>
      </c>
      <c r="G18" s="37" t="s">
        <v>393</v>
      </c>
      <c r="H18" t="s">
        <v>394</v>
      </c>
    </row>
    <row r="19" spans="1:8" x14ac:dyDescent="0.2">
      <c r="A19" s="37" t="s">
        <v>68</v>
      </c>
      <c r="B19" s="37" t="s">
        <v>68</v>
      </c>
      <c r="C19" s="37" t="s">
        <v>303</v>
      </c>
      <c r="D19" s="37" t="s">
        <v>227</v>
      </c>
      <c r="E19" s="38">
        <v>14.21</v>
      </c>
      <c r="F19" s="37" t="s">
        <v>343</v>
      </c>
      <c r="G19" s="37" t="s">
        <v>395</v>
      </c>
      <c r="H19" t="s">
        <v>394</v>
      </c>
    </row>
    <row r="20" spans="1:8" x14ac:dyDescent="0.2">
      <c r="A20" s="37" t="s">
        <v>68</v>
      </c>
      <c r="B20" s="37" t="s">
        <v>68</v>
      </c>
      <c r="C20" s="37" t="s">
        <v>303</v>
      </c>
      <c r="D20" s="37" t="s">
        <v>227</v>
      </c>
      <c r="E20" s="38">
        <v>89</v>
      </c>
      <c r="F20" s="37" t="s">
        <v>344</v>
      </c>
      <c r="G20" s="37" t="s">
        <v>393</v>
      </c>
      <c r="H20" t="s">
        <v>394</v>
      </c>
    </row>
    <row r="21" spans="1:8" x14ac:dyDescent="0.2">
      <c r="A21" s="37" t="s">
        <v>68</v>
      </c>
      <c r="B21" s="37" t="s">
        <v>68</v>
      </c>
      <c r="C21" s="37" t="s">
        <v>275</v>
      </c>
      <c r="D21" s="37" t="s">
        <v>45</v>
      </c>
      <c r="E21" s="38">
        <v>4.78</v>
      </c>
      <c r="F21" s="37" t="s">
        <v>344</v>
      </c>
      <c r="G21" s="37" t="s">
        <v>393</v>
      </c>
      <c r="H21" t="s">
        <v>394</v>
      </c>
    </row>
    <row r="22" spans="1:8" x14ac:dyDescent="0.2">
      <c r="A22" s="37" t="s">
        <v>68</v>
      </c>
      <c r="B22" s="37" t="s">
        <v>68</v>
      </c>
      <c r="C22" s="37" t="s">
        <v>304</v>
      </c>
      <c r="D22" s="37" t="s">
        <v>46</v>
      </c>
      <c r="E22" s="38">
        <v>1.06</v>
      </c>
      <c r="F22" s="37" t="s">
        <v>343</v>
      </c>
      <c r="G22" s="37" t="s">
        <v>395</v>
      </c>
      <c r="H22" t="s">
        <v>394</v>
      </c>
    </row>
    <row r="23" spans="1:8" x14ac:dyDescent="0.2">
      <c r="A23" s="37" t="s">
        <v>68</v>
      </c>
      <c r="B23" s="37" t="s">
        <v>68</v>
      </c>
      <c r="C23" s="37" t="s">
        <v>304</v>
      </c>
      <c r="D23" s="37" t="s">
        <v>46</v>
      </c>
      <c r="E23" s="38">
        <v>2.08</v>
      </c>
      <c r="F23" s="37" t="s">
        <v>344</v>
      </c>
      <c r="G23" s="37" t="s">
        <v>393</v>
      </c>
      <c r="H23" t="s">
        <v>394</v>
      </c>
    </row>
    <row r="24" spans="1:8" x14ac:dyDescent="0.2">
      <c r="A24" s="37" t="s">
        <v>68</v>
      </c>
      <c r="B24" s="37" t="s">
        <v>68</v>
      </c>
      <c r="C24" s="37" t="s">
        <v>305</v>
      </c>
      <c r="D24" s="37" t="s">
        <v>47</v>
      </c>
      <c r="E24" s="38">
        <v>0.7</v>
      </c>
      <c r="F24" s="37" t="s">
        <v>343</v>
      </c>
      <c r="G24" s="37" t="s">
        <v>395</v>
      </c>
      <c r="H24" t="s">
        <v>394</v>
      </c>
    </row>
    <row r="25" spans="1:8" x14ac:dyDescent="0.2">
      <c r="A25" s="37" t="s">
        <v>68</v>
      </c>
      <c r="B25" s="37" t="s">
        <v>68</v>
      </c>
      <c r="C25" s="37" t="s">
        <v>305</v>
      </c>
      <c r="D25" s="37" t="s">
        <v>47</v>
      </c>
      <c r="E25" s="38">
        <v>2.1500000000000004</v>
      </c>
      <c r="F25" s="37" t="s">
        <v>344</v>
      </c>
      <c r="G25" s="37" t="s">
        <v>393</v>
      </c>
      <c r="H25" t="s">
        <v>394</v>
      </c>
    </row>
    <row r="26" spans="1:8" x14ac:dyDescent="0.2">
      <c r="A26" s="37" t="s">
        <v>68</v>
      </c>
      <c r="B26" s="37" t="s">
        <v>68</v>
      </c>
      <c r="C26" s="37" t="s">
        <v>308</v>
      </c>
      <c r="D26" s="37" t="s">
        <v>52</v>
      </c>
      <c r="E26" s="38">
        <v>0.03</v>
      </c>
      <c r="F26" s="37" t="s">
        <v>343</v>
      </c>
      <c r="G26" s="37" t="s">
        <v>395</v>
      </c>
      <c r="H26" t="s">
        <v>394</v>
      </c>
    </row>
    <row r="27" spans="1:8" x14ac:dyDescent="0.2">
      <c r="A27" s="37" t="s">
        <v>68</v>
      </c>
      <c r="B27" s="37" t="s">
        <v>68</v>
      </c>
      <c r="C27" s="37" t="s">
        <v>308</v>
      </c>
      <c r="D27" s="37" t="s">
        <v>52</v>
      </c>
      <c r="E27" s="38">
        <v>2.17</v>
      </c>
      <c r="F27" s="37" t="s">
        <v>344</v>
      </c>
      <c r="G27" s="37" t="s">
        <v>393</v>
      </c>
      <c r="H27" t="s">
        <v>394</v>
      </c>
    </row>
    <row r="28" spans="1:8" x14ac:dyDescent="0.2">
      <c r="A28" s="37" t="s">
        <v>68</v>
      </c>
      <c r="B28" s="37" t="s">
        <v>68</v>
      </c>
      <c r="C28" s="37" t="s">
        <v>279</v>
      </c>
      <c r="D28" s="37" t="s">
        <v>64</v>
      </c>
      <c r="E28" s="38">
        <v>0.94</v>
      </c>
      <c r="F28" s="37" t="s">
        <v>343</v>
      </c>
      <c r="G28" s="37" t="s">
        <v>395</v>
      </c>
      <c r="H28" t="s">
        <v>394</v>
      </c>
    </row>
    <row r="29" spans="1:8" x14ac:dyDescent="0.2">
      <c r="A29" s="37" t="s">
        <v>68</v>
      </c>
      <c r="B29" s="37" t="s">
        <v>68</v>
      </c>
      <c r="C29" s="37" t="s">
        <v>279</v>
      </c>
      <c r="D29" s="37" t="s">
        <v>64</v>
      </c>
      <c r="E29" s="38">
        <v>1.72</v>
      </c>
      <c r="F29" s="37" t="s">
        <v>344</v>
      </c>
      <c r="G29" s="37" t="s">
        <v>393</v>
      </c>
      <c r="H29" t="s">
        <v>394</v>
      </c>
    </row>
    <row r="30" spans="1:8" x14ac:dyDescent="0.2">
      <c r="A30" s="37" t="s">
        <v>68</v>
      </c>
      <c r="B30" s="37" t="s">
        <v>68</v>
      </c>
      <c r="C30" s="37" t="s">
        <v>280</v>
      </c>
      <c r="D30" s="37" t="s">
        <v>65</v>
      </c>
      <c r="E30" s="38">
        <v>1.4219999999999999</v>
      </c>
      <c r="F30" s="37" t="s">
        <v>343</v>
      </c>
      <c r="G30" s="37" t="s">
        <v>395</v>
      </c>
      <c r="H30" t="s">
        <v>394</v>
      </c>
    </row>
    <row r="31" spans="1:8" x14ac:dyDescent="0.2">
      <c r="A31" s="37" t="s">
        <v>68</v>
      </c>
      <c r="B31" s="37" t="s">
        <v>68</v>
      </c>
      <c r="C31" s="37" t="s">
        <v>280</v>
      </c>
      <c r="D31" s="37" t="s">
        <v>65</v>
      </c>
      <c r="E31" s="38">
        <v>0.254</v>
      </c>
      <c r="F31" s="37" t="s">
        <v>344</v>
      </c>
      <c r="G31" s="37" t="s">
        <v>393</v>
      </c>
      <c r="H31" t="s">
        <v>394</v>
      </c>
    </row>
    <row r="32" spans="1:8" x14ac:dyDescent="0.2">
      <c r="A32" s="37" t="s">
        <v>68</v>
      </c>
      <c r="B32" s="37" t="s">
        <v>68</v>
      </c>
      <c r="C32" s="37" t="s">
        <v>281</v>
      </c>
      <c r="D32" s="37" t="s">
        <v>66</v>
      </c>
      <c r="E32" s="38">
        <v>2.23</v>
      </c>
      <c r="F32" s="37" t="s">
        <v>343</v>
      </c>
      <c r="G32" s="37" t="s">
        <v>395</v>
      </c>
      <c r="H32" t="s">
        <v>394</v>
      </c>
    </row>
    <row r="33" spans="1:8" x14ac:dyDescent="0.2">
      <c r="A33" s="37" t="s">
        <v>68</v>
      </c>
      <c r="B33" s="37" t="s">
        <v>68</v>
      </c>
      <c r="C33" s="37" t="s">
        <v>281</v>
      </c>
      <c r="D33" s="37" t="s">
        <v>66</v>
      </c>
      <c r="E33" s="38">
        <v>3.43</v>
      </c>
      <c r="F33" s="37" t="s">
        <v>344</v>
      </c>
      <c r="G33" s="37" t="s">
        <v>393</v>
      </c>
      <c r="H33" t="s">
        <v>394</v>
      </c>
    </row>
    <row r="34" spans="1:8" x14ac:dyDescent="0.2">
      <c r="A34" s="37" t="s">
        <v>68</v>
      </c>
      <c r="B34" s="37" t="s">
        <v>68</v>
      </c>
      <c r="C34" s="37" t="s">
        <v>282</v>
      </c>
      <c r="D34" s="37" t="s">
        <v>70</v>
      </c>
      <c r="E34" s="38">
        <v>7.46</v>
      </c>
      <c r="F34" s="37" t="s">
        <v>344</v>
      </c>
      <c r="G34" s="37" t="s">
        <v>393</v>
      </c>
      <c r="H34" t="s">
        <v>394</v>
      </c>
    </row>
    <row r="35" spans="1:8" x14ac:dyDescent="0.2">
      <c r="A35" s="37" t="s">
        <v>68</v>
      </c>
      <c r="B35" s="37" t="s">
        <v>68</v>
      </c>
      <c r="C35" s="37" t="s">
        <v>259</v>
      </c>
      <c r="D35" s="37" t="s">
        <v>230</v>
      </c>
      <c r="E35" s="38">
        <v>10.4</v>
      </c>
      <c r="F35" s="37" t="s">
        <v>343</v>
      </c>
      <c r="G35" s="37" t="s">
        <v>395</v>
      </c>
      <c r="H35" t="s">
        <v>394</v>
      </c>
    </row>
    <row r="36" spans="1:8" x14ac:dyDescent="0.2">
      <c r="A36" s="37" t="s">
        <v>68</v>
      </c>
      <c r="B36" s="37" t="s">
        <v>68</v>
      </c>
      <c r="C36" s="37" t="s">
        <v>390</v>
      </c>
      <c r="D36" s="37" t="s">
        <v>231</v>
      </c>
      <c r="E36" s="38">
        <v>0.9</v>
      </c>
      <c r="F36" s="37" t="s">
        <v>344</v>
      </c>
      <c r="G36" s="37" t="s">
        <v>393</v>
      </c>
      <c r="H36" t="s">
        <v>394</v>
      </c>
    </row>
    <row r="37" spans="1:8" x14ac:dyDescent="0.2">
      <c r="A37" s="37" t="s">
        <v>68</v>
      </c>
      <c r="B37" s="37" t="s">
        <v>68</v>
      </c>
      <c r="C37" s="37" t="s">
        <v>283</v>
      </c>
      <c r="D37" s="37" t="s">
        <v>232</v>
      </c>
      <c r="E37" s="38">
        <v>0.22</v>
      </c>
      <c r="F37" s="37" t="s">
        <v>344</v>
      </c>
      <c r="G37" s="37" t="s">
        <v>393</v>
      </c>
      <c r="H37" t="s">
        <v>394</v>
      </c>
    </row>
    <row r="38" spans="1:8" x14ac:dyDescent="0.2">
      <c r="A38" s="37" t="s">
        <v>68</v>
      </c>
      <c r="B38" s="37" t="s">
        <v>68</v>
      </c>
      <c r="C38" s="37" t="s">
        <v>266</v>
      </c>
      <c r="D38" s="37" t="s">
        <v>17</v>
      </c>
      <c r="E38" s="38">
        <v>6</v>
      </c>
      <c r="F38" s="37" t="s">
        <v>282</v>
      </c>
      <c r="G38" s="37" t="s">
        <v>396</v>
      </c>
      <c r="H38" t="s">
        <v>397</v>
      </c>
    </row>
    <row r="39" spans="1:8" x14ac:dyDescent="0.2">
      <c r="A39" s="37" t="s">
        <v>68</v>
      </c>
      <c r="B39" s="37" t="s">
        <v>68</v>
      </c>
      <c r="C39" s="37" t="s">
        <v>260</v>
      </c>
      <c r="D39" s="37" t="s">
        <v>20</v>
      </c>
      <c r="E39" s="38">
        <v>2.2000000000000002</v>
      </c>
      <c r="F39" s="37" t="s">
        <v>282</v>
      </c>
      <c r="G39" s="37" t="s">
        <v>396</v>
      </c>
      <c r="H39" t="s">
        <v>397</v>
      </c>
    </row>
    <row r="40" spans="1:8" x14ac:dyDescent="0.2">
      <c r="A40" s="37" t="s">
        <v>68</v>
      </c>
      <c r="B40" s="37" t="s">
        <v>68</v>
      </c>
      <c r="C40" s="37" t="s">
        <v>329</v>
      </c>
      <c r="D40" s="37" t="s">
        <v>21</v>
      </c>
      <c r="E40" s="38">
        <v>4</v>
      </c>
      <c r="F40" s="37" t="s">
        <v>282</v>
      </c>
      <c r="G40" s="37" t="s">
        <v>396</v>
      </c>
      <c r="H40" t="s">
        <v>397</v>
      </c>
    </row>
    <row r="41" spans="1:8" x14ac:dyDescent="0.2">
      <c r="A41" s="37" t="s">
        <v>68</v>
      </c>
      <c r="B41" s="37" t="s">
        <v>68</v>
      </c>
      <c r="C41" s="37" t="s">
        <v>330</v>
      </c>
      <c r="D41" s="37" t="s">
        <v>22</v>
      </c>
      <c r="E41" s="38">
        <v>4</v>
      </c>
      <c r="F41" s="37" t="s">
        <v>282</v>
      </c>
      <c r="G41" s="37" t="s">
        <v>396</v>
      </c>
      <c r="H41" t="s">
        <v>397</v>
      </c>
    </row>
    <row r="42" spans="1:8" x14ac:dyDescent="0.2">
      <c r="A42" s="37" t="s">
        <v>68</v>
      </c>
      <c r="B42" s="37" t="s">
        <v>68</v>
      </c>
      <c r="C42" s="37" t="s">
        <v>296</v>
      </c>
      <c r="D42" s="37" t="s">
        <v>23</v>
      </c>
      <c r="E42" s="38">
        <v>2.4000000000000004</v>
      </c>
      <c r="F42" s="37" t="s">
        <v>282</v>
      </c>
      <c r="G42" s="37" t="s">
        <v>396</v>
      </c>
      <c r="H42" t="s">
        <v>397</v>
      </c>
    </row>
    <row r="43" spans="1:8" x14ac:dyDescent="0.2">
      <c r="A43" s="37" t="s">
        <v>68</v>
      </c>
      <c r="B43" s="37" t="s">
        <v>68</v>
      </c>
      <c r="C43" s="37" t="s">
        <v>297</v>
      </c>
      <c r="D43" s="37" t="s">
        <v>25</v>
      </c>
      <c r="E43" s="38">
        <v>2.2000000000000002</v>
      </c>
      <c r="F43" s="37" t="s">
        <v>282</v>
      </c>
      <c r="G43" s="37" t="s">
        <v>396</v>
      </c>
      <c r="H43" t="s">
        <v>397</v>
      </c>
    </row>
    <row r="44" spans="1:8" x14ac:dyDescent="0.2">
      <c r="A44" s="37" t="s">
        <v>68</v>
      </c>
      <c r="B44" s="37" t="s">
        <v>68</v>
      </c>
      <c r="C44" s="37" t="s">
        <v>273</v>
      </c>
      <c r="D44" s="37" t="s">
        <v>26</v>
      </c>
      <c r="E44" s="38">
        <v>2.5</v>
      </c>
      <c r="F44" s="37" t="s">
        <v>282</v>
      </c>
      <c r="G44" s="37" t="s">
        <v>396</v>
      </c>
      <c r="H44" t="s">
        <v>397</v>
      </c>
    </row>
    <row r="45" spans="1:8" x14ac:dyDescent="0.2">
      <c r="A45" s="37" t="s">
        <v>68</v>
      </c>
      <c r="B45" s="37" t="s">
        <v>68</v>
      </c>
      <c r="C45" s="37" t="s">
        <v>298</v>
      </c>
      <c r="D45" s="37" t="s">
        <v>27</v>
      </c>
      <c r="E45" s="38">
        <v>4</v>
      </c>
      <c r="F45" s="37" t="s">
        <v>282</v>
      </c>
      <c r="G45" s="37" t="s">
        <v>396</v>
      </c>
      <c r="H45" t="s">
        <v>397</v>
      </c>
    </row>
    <row r="46" spans="1:8" x14ac:dyDescent="0.2">
      <c r="A46" s="37" t="s">
        <v>68</v>
      </c>
      <c r="B46" s="37" t="s">
        <v>68</v>
      </c>
      <c r="C46" s="37" t="s">
        <v>299</v>
      </c>
      <c r="D46" s="37" t="s">
        <v>28</v>
      </c>
      <c r="E46" s="38">
        <v>3</v>
      </c>
      <c r="F46" s="37" t="s">
        <v>282</v>
      </c>
      <c r="G46" s="37" t="s">
        <v>396</v>
      </c>
      <c r="H46" t="s">
        <v>397</v>
      </c>
    </row>
    <row r="47" spans="1:8" x14ac:dyDescent="0.2">
      <c r="A47" s="37" t="s">
        <v>68</v>
      </c>
      <c r="B47" s="37" t="s">
        <v>68</v>
      </c>
      <c r="C47" s="37" t="s">
        <v>300</v>
      </c>
      <c r="D47" s="37" t="s">
        <v>29</v>
      </c>
      <c r="E47" s="38">
        <v>2.1</v>
      </c>
      <c r="F47" s="37" t="s">
        <v>282</v>
      </c>
      <c r="G47" s="37" t="s">
        <v>396</v>
      </c>
      <c r="H47" t="s">
        <v>397</v>
      </c>
    </row>
    <row r="48" spans="1:8" x14ac:dyDescent="0.2">
      <c r="A48" s="37" t="s">
        <v>68</v>
      </c>
      <c r="B48" s="37" t="s">
        <v>68</v>
      </c>
      <c r="C48" s="37" t="s">
        <v>301</v>
      </c>
      <c r="D48" s="37" t="s">
        <v>30</v>
      </c>
      <c r="E48" s="38">
        <v>2.1</v>
      </c>
      <c r="F48" s="37" t="s">
        <v>282</v>
      </c>
      <c r="G48" s="37" t="s">
        <v>396</v>
      </c>
      <c r="H48" t="s">
        <v>397</v>
      </c>
    </row>
    <row r="49" spans="1:8" x14ac:dyDescent="0.2">
      <c r="A49" s="37" t="s">
        <v>68</v>
      </c>
      <c r="B49" s="37" t="s">
        <v>68</v>
      </c>
      <c r="C49" s="37" t="s">
        <v>331</v>
      </c>
      <c r="D49" s="37" t="s">
        <v>31</v>
      </c>
      <c r="E49" s="38">
        <v>4</v>
      </c>
      <c r="F49" s="37" t="s">
        <v>282</v>
      </c>
      <c r="G49" s="37" t="s">
        <v>396</v>
      </c>
      <c r="H49" t="s">
        <v>397</v>
      </c>
    </row>
    <row r="50" spans="1:8" x14ac:dyDescent="0.2">
      <c r="A50" s="37" t="s">
        <v>68</v>
      </c>
      <c r="B50" s="37" t="s">
        <v>68</v>
      </c>
      <c r="C50" s="37" t="s">
        <v>332</v>
      </c>
      <c r="D50" s="37" t="s">
        <v>32</v>
      </c>
      <c r="E50" s="38">
        <v>4</v>
      </c>
      <c r="F50" s="37" t="s">
        <v>282</v>
      </c>
      <c r="G50" s="37" t="s">
        <v>396</v>
      </c>
      <c r="H50" t="s">
        <v>397</v>
      </c>
    </row>
    <row r="51" spans="1:8" x14ac:dyDescent="0.2">
      <c r="A51" s="37" t="s">
        <v>68</v>
      </c>
      <c r="B51" s="37" t="s">
        <v>68</v>
      </c>
      <c r="C51" s="37" t="s">
        <v>333</v>
      </c>
      <c r="D51" s="37" t="s">
        <v>225</v>
      </c>
      <c r="E51" s="38">
        <v>4</v>
      </c>
      <c r="F51" s="37" t="s">
        <v>282</v>
      </c>
      <c r="G51" s="37" t="s">
        <v>396</v>
      </c>
      <c r="H51" t="s">
        <v>397</v>
      </c>
    </row>
    <row r="52" spans="1:8" x14ac:dyDescent="0.2">
      <c r="A52" s="37" t="s">
        <v>68</v>
      </c>
      <c r="B52" s="37" t="s">
        <v>68</v>
      </c>
      <c r="C52" s="37" t="s">
        <v>334</v>
      </c>
      <c r="D52" s="37" t="s">
        <v>34</v>
      </c>
      <c r="E52" s="38">
        <v>4</v>
      </c>
      <c r="F52" s="37" t="s">
        <v>282</v>
      </c>
      <c r="G52" s="37" t="s">
        <v>396</v>
      </c>
      <c r="H52" t="s">
        <v>397</v>
      </c>
    </row>
    <row r="53" spans="1:8" x14ac:dyDescent="0.2">
      <c r="A53" s="37" t="s">
        <v>68</v>
      </c>
      <c r="B53" s="37" t="s">
        <v>68</v>
      </c>
      <c r="C53" s="37" t="s">
        <v>335</v>
      </c>
      <c r="D53" s="37" t="s">
        <v>35</v>
      </c>
      <c r="E53" s="38">
        <v>2</v>
      </c>
      <c r="F53" s="37" t="s">
        <v>282</v>
      </c>
      <c r="G53" s="37" t="s">
        <v>396</v>
      </c>
      <c r="H53" t="s">
        <v>397</v>
      </c>
    </row>
    <row r="54" spans="1:8" x14ac:dyDescent="0.2">
      <c r="A54" s="37" t="s">
        <v>68</v>
      </c>
      <c r="B54" s="37" t="s">
        <v>68</v>
      </c>
      <c r="C54" s="37" t="s">
        <v>336</v>
      </c>
      <c r="D54" s="37" t="s">
        <v>36</v>
      </c>
      <c r="E54" s="38">
        <v>2</v>
      </c>
      <c r="F54" s="37" t="s">
        <v>282</v>
      </c>
      <c r="G54" s="37" t="s">
        <v>396</v>
      </c>
      <c r="H54" t="s">
        <v>397</v>
      </c>
    </row>
    <row r="55" spans="1:8" x14ac:dyDescent="0.2">
      <c r="A55" s="37" t="s">
        <v>68</v>
      </c>
      <c r="B55" s="37" t="s">
        <v>68</v>
      </c>
      <c r="C55" s="37" t="s">
        <v>337</v>
      </c>
      <c r="D55" s="37" t="s">
        <v>37</v>
      </c>
      <c r="E55" s="38">
        <v>2</v>
      </c>
      <c r="F55" s="37" t="s">
        <v>282</v>
      </c>
      <c r="G55" s="37" t="s">
        <v>396</v>
      </c>
      <c r="H55" t="s">
        <v>397</v>
      </c>
    </row>
    <row r="56" spans="1:8" x14ac:dyDescent="0.2">
      <c r="A56" s="37" t="s">
        <v>68</v>
      </c>
      <c r="B56" s="37" t="s">
        <v>68</v>
      </c>
      <c r="C56" s="37" t="s">
        <v>338</v>
      </c>
      <c r="D56" s="37" t="s">
        <v>38</v>
      </c>
      <c r="E56" s="38">
        <v>2</v>
      </c>
      <c r="F56" s="37" t="s">
        <v>282</v>
      </c>
      <c r="G56" s="37" t="s">
        <v>396</v>
      </c>
      <c r="H56" t="s">
        <v>397</v>
      </c>
    </row>
    <row r="57" spans="1:8" x14ac:dyDescent="0.2">
      <c r="A57" s="37" t="s">
        <v>68</v>
      </c>
      <c r="B57" s="37" t="s">
        <v>68</v>
      </c>
      <c r="C57" s="37" t="s">
        <v>339</v>
      </c>
      <c r="D57" s="37" t="s">
        <v>39</v>
      </c>
      <c r="E57" s="38">
        <v>2</v>
      </c>
      <c r="F57" s="37" t="s">
        <v>282</v>
      </c>
      <c r="G57" s="37" t="s">
        <v>396</v>
      </c>
      <c r="H57" t="s">
        <v>397</v>
      </c>
    </row>
    <row r="58" spans="1:8" x14ac:dyDescent="0.2">
      <c r="A58" s="37" t="s">
        <v>68</v>
      </c>
      <c r="B58" s="37" t="s">
        <v>68</v>
      </c>
      <c r="C58" s="37" t="s">
        <v>340</v>
      </c>
      <c r="D58" s="37" t="s">
        <v>40</v>
      </c>
      <c r="E58" s="38">
        <v>2</v>
      </c>
      <c r="F58" s="37" t="s">
        <v>282</v>
      </c>
      <c r="G58" s="37" t="s">
        <v>396</v>
      </c>
      <c r="H58" t="s">
        <v>397</v>
      </c>
    </row>
    <row r="59" spans="1:8" x14ac:dyDescent="0.2">
      <c r="A59" s="37" t="s">
        <v>68</v>
      </c>
      <c r="B59" s="37" t="s">
        <v>68</v>
      </c>
      <c r="C59" s="37" t="s">
        <v>341</v>
      </c>
      <c r="D59" s="37" t="s">
        <v>41</v>
      </c>
      <c r="E59" s="38">
        <v>2</v>
      </c>
      <c r="F59" s="37" t="s">
        <v>282</v>
      </c>
      <c r="G59" s="37" t="s">
        <v>396</v>
      </c>
      <c r="H59" t="s">
        <v>397</v>
      </c>
    </row>
    <row r="60" spans="1:8" x14ac:dyDescent="0.2">
      <c r="A60" s="37" t="s">
        <v>68</v>
      </c>
      <c r="B60" s="37" t="s">
        <v>68</v>
      </c>
      <c r="C60" s="37" t="s">
        <v>302</v>
      </c>
      <c r="D60" s="37" t="s">
        <v>42</v>
      </c>
      <c r="E60" s="38">
        <v>2</v>
      </c>
      <c r="F60" s="37" t="s">
        <v>282</v>
      </c>
      <c r="G60" s="37" t="s">
        <v>396</v>
      </c>
      <c r="H60" t="s">
        <v>397</v>
      </c>
    </row>
    <row r="61" spans="1:8" x14ac:dyDescent="0.2">
      <c r="A61" s="37" t="s">
        <v>68</v>
      </c>
      <c r="B61" s="37" t="s">
        <v>68</v>
      </c>
      <c r="C61" s="37" t="s">
        <v>274</v>
      </c>
      <c r="D61" s="37" t="s">
        <v>226</v>
      </c>
      <c r="E61" s="38">
        <v>2</v>
      </c>
      <c r="F61" s="37" t="s">
        <v>282</v>
      </c>
      <c r="G61" s="37" t="s">
        <v>396</v>
      </c>
      <c r="H61" t="s">
        <v>397</v>
      </c>
    </row>
    <row r="62" spans="1:8" x14ac:dyDescent="0.2">
      <c r="A62" s="37" t="s">
        <v>68</v>
      </c>
      <c r="B62" s="37" t="s">
        <v>68</v>
      </c>
      <c r="C62" s="37" t="s">
        <v>303</v>
      </c>
      <c r="D62" s="37" t="s">
        <v>227</v>
      </c>
      <c r="E62" s="38">
        <v>2</v>
      </c>
      <c r="F62" s="37" t="s">
        <v>282</v>
      </c>
      <c r="G62" s="37" t="s">
        <v>396</v>
      </c>
      <c r="H62" t="s">
        <v>397</v>
      </c>
    </row>
    <row r="63" spans="1:8" x14ac:dyDescent="0.2">
      <c r="A63" s="37" t="s">
        <v>68</v>
      </c>
      <c r="B63" s="37" t="s">
        <v>68</v>
      </c>
      <c r="C63" s="37" t="s">
        <v>275</v>
      </c>
      <c r="D63" s="37" t="s">
        <v>45</v>
      </c>
      <c r="E63" s="38">
        <v>4.0999999999999996</v>
      </c>
      <c r="F63" s="37" t="s">
        <v>282</v>
      </c>
      <c r="G63" s="37" t="s">
        <v>396</v>
      </c>
      <c r="H63" t="s">
        <v>397</v>
      </c>
    </row>
    <row r="64" spans="1:8" x14ac:dyDescent="0.2">
      <c r="A64" s="37" t="s">
        <v>68</v>
      </c>
      <c r="B64" s="37" t="s">
        <v>68</v>
      </c>
      <c r="C64" s="37" t="s">
        <v>304</v>
      </c>
      <c r="D64" s="37" t="s">
        <v>46</v>
      </c>
      <c r="E64" s="38">
        <v>2</v>
      </c>
      <c r="F64" s="37" t="s">
        <v>282</v>
      </c>
      <c r="G64" s="37" t="s">
        <v>396</v>
      </c>
      <c r="H64" t="s">
        <v>397</v>
      </c>
    </row>
    <row r="65" spans="1:8" x14ac:dyDescent="0.2">
      <c r="A65" s="37" t="s">
        <v>68</v>
      </c>
      <c r="B65" s="37" t="s">
        <v>68</v>
      </c>
      <c r="C65" s="37" t="s">
        <v>305</v>
      </c>
      <c r="D65" s="37" t="s">
        <v>47</v>
      </c>
      <c r="E65" s="38">
        <v>2</v>
      </c>
      <c r="F65" s="37" t="s">
        <v>282</v>
      </c>
      <c r="G65" s="37" t="s">
        <v>396</v>
      </c>
      <c r="H65" t="s">
        <v>397</v>
      </c>
    </row>
    <row r="66" spans="1:8" x14ac:dyDescent="0.2">
      <c r="A66" s="37" t="s">
        <v>68</v>
      </c>
      <c r="B66" s="37" t="s">
        <v>68</v>
      </c>
      <c r="C66" s="37" t="s">
        <v>276</v>
      </c>
      <c r="D66" s="37" t="s">
        <v>48</v>
      </c>
      <c r="E66" s="38">
        <v>2</v>
      </c>
      <c r="F66" s="37" t="s">
        <v>282</v>
      </c>
      <c r="G66" s="37" t="s">
        <v>396</v>
      </c>
      <c r="H66" t="s">
        <v>397</v>
      </c>
    </row>
    <row r="67" spans="1:8" x14ac:dyDescent="0.2">
      <c r="A67" s="37" t="s">
        <v>68</v>
      </c>
      <c r="B67" s="37" t="s">
        <v>68</v>
      </c>
      <c r="C67" s="37" t="s">
        <v>342</v>
      </c>
      <c r="D67" s="37" t="s">
        <v>49</v>
      </c>
      <c r="E67" s="38">
        <v>2</v>
      </c>
      <c r="F67" s="37" t="s">
        <v>282</v>
      </c>
      <c r="G67" s="37" t="s">
        <v>396</v>
      </c>
      <c r="H67" t="s">
        <v>397</v>
      </c>
    </row>
    <row r="68" spans="1:8" x14ac:dyDescent="0.2">
      <c r="A68" s="37" t="s">
        <v>68</v>
      </c>
      <c r="B68" s="37" t="s">
        <v>68</v>
      </c>
      <c r="C68" s="37" t="s">
        <v>306</v>
      </c>
      <c r="D68" s="37" t="s">
        <v>50</v>
      </c>
      <c r="E68" s="38">
        <v>2</v>
      </c>
      <c r="F68" s="37" t="s">
        <v>282</v>
      </c>
      <c r="G68" s="37" t="s">
        <v>396</v>
      </c>
      <c r="H68" t="s">
        <v>397</v>
      </c>
    </row>
    <row r="69" spans="1:8" x14ac:dyDescent="0.2">
      <c r="A69" s="37" t="s">
        <v>68</v>
      </c>
      <c r="B69" s="37" t="s">
        <v>68</v>
      </c>
      <c r="C69" s="37" t="s">
        <v>307</v>
      </c>
      <c r="D69" s="37" t="s">
        <v>51</v>
      </c>
      <c r="E69" s="38">
        <v>2</v>
      </c>
      <c r="F69" s="37" t="s">
        <v>282</v>
      </c>
      <c r="G69" s="37" t="s">
        <v>396</v>
      </c>
      <c r="H69" t="s">
        <v>397</v>
      </c>
    </row>
    <row r="70" spans="1:8" x14ac:dyDescent="0.2">
      <c r="A70" s="37" t="s">
        <v>68</v>
      </c>
      <c r="B70" s="37" t="s">
        <v>68</v>
      </c>
      <c r="C70" s="37" t="s">
        <v>308</v>
      </c>
      <c r="D70" s="37" t="s">
        <v>52</v>
      </c>
      <c r="E70" s="38">
        <v>2.6</v>
      </c>
      <c r="F70" s="37" t="s">
        <v>282</v>
      </c>
      <c r="G70" s="37" t="s">
        <v>396</v>
      </c>
      <c r="H70" t="s">
        <v>397</v>
      </c>
    </row>
    <row r="71" spans="1:8" x14ac:dyDescent="0.2">
      <c r="A71" s="37" t="s">
        <v>68</v>
      </c>
      <c r="B71" s="37" t="s">
        <v>68</v>
      </c>
      <c r="C71" s="37" t="s">
        <v>309</v>
      </c>
      <c r="D71" s="37" t="s">
        <v>53</v>
      </c>
      <c r="E71" s="38">
        <v>2</v>
      </c>
      <c r="F71" s="37" t="s">
        <v>282</v>
      </c>
      <c r="G71" s="37" t="s">
        <v>396</v>
      </c>
      <c r="H71" t="s">
        <v>397</v>
      </c>
    </row>
    <row r="72" spans="1:8" x14ac:dyDescent="0.2">
      <c r="A72" s="37" t="s">
        <v>68</v>
      </c>
      <c r="B72" s="37" t="s">
        <v>68</v>
      </c>
      <c r="C72" s="37" t="s">
        <v>310</v>
      </c>
      <c r="D72" s="37" t="s">
        <v>54</v>
      </c>
      <c r="E72" s="38">
        <v>2</v>
      </c>
      <c r="F72" s="37" t="s">
        <v>282</v>
      </c>
      <c r="G72" s="37" t="s">
        <v>396</v>
      </c>
      <c r="H72" t="s">
        <v>397</v>
      </c>
    </row>
    <row r="73" spans="1:8" x14ac:dyDescent="0.2">
      <c r="A73" s="37" t="s">
        <v>68</v>
      </c>
      <c r="B73" s="37" t="s">
        <v>68</v>
      </c>
      <c r="C73" s="37" t="s">
        <v>311</v>
      </c>
      <c r="D73" s="37" t="s">
        <v>55</v>
      </c>
      <c r="E73" s="38">
        <v>2</v>
      </c>
      <c r="F73" s="37" t="s">
        <v>282</v>
      </c>
      <c r="G73" s="37" t="s">
        <v>396</v>
      </c>
      <c r="H73" t="s">
        <v>397</v>
      </c>
    </row>
    <row r="74" spans="1:8" x14ac:dyDescent="0.2">
      <c r="A74" s="37" t="s">
        <v>68</v>
      </c>
      <c r="B74" s="37" t="s">
        <v>68</v>
      </c>
      <c r="C74" s="37" t="s">
        <v>312</v>
      </c>
      <c r="D74" s="37" t="s">
        <v>56</v>
      </c>
      <c r="E74" s="38">
        <v>2</v>
      </c>
      <c r="F74" s="37" t="s">
        <v>282</v>
      </c>
      <c r="G74" s="37" t="s">
        <v>396</v>
      </c>
      <c r="H74" t="s">
        <v>397</v>
      </c>
    </row>
    <row r="75" spans="1:8" x14ac:dyDescent="0.2">
      <c r="A75" s="37" t="s">
        <v>68</v>
      </c>
      <c r="B75" s="37" t="s">
        <v>68</v>
      </c>
      <c r="C75" s="37" t="s">
        <v>277</v>
      </c>
      <c r="D75" s="37" t="s">
        <v>57</v>
      </c>
      <c r="E75" s="38">
        <v>5</v>
      </c>
      <c r="F75" s="37" t="s">
        <v>282</v>
      </c>
      <c r="G75" s="37" t="s">
        <v>396</v>
      </c>
      <c r="H75" t="s">
        <v>397</v>
      </c>
    </row>
    <row r="76" spans="1:8" x14ac:dyDescent="0.2">
      <c r="A76" s="37" t="s">
        <v>68</v>
      </c>
      <c r="B76" s="37" t="s">
        <v>68</v>
      </c>
      <c r="C76" s="37" t="s">
        <v>278</v>
      </c>
      <c r="D76" s="37" t="s">
        <v>58</v>
      </c>
      <c r="E76" s="38">
        <v>5</v>
      </c>
      <c r="F76" s="37" t="s">
        <v>282</v>
      </c>
      <c r="G76" s="37" t="s">
        <v>396</v>
      </c>
      <c r="H76" t="s">
        <v>397</v>
      </c>
    </row>
    <row r="77" spans="1:8" x14ac:dyDescent="0.2">
      <c r="A77" s="37" t="s">
        <v>68</v>
      </c>
      <c r="B77" s="37" t="s">
        <v>68</v>
      </c>
      <c r="C77" s="37" t="s">
        <v>313</v>
      </c>
      <c r="D77" s="37" t="s">
        <v>59</v>
      </c>
      <c r="E77" s="38">
        <v>2</v>
      </c>
      <c r="F77" s="37" t="s">
        <v>282</v>
      </c>
      <c r="G77" s="37" t="s">
        <v>396</v>
      </c>
      <c r="H77" t="s">
        <v>397</v>
      </c>
    </row>
    <row r="78" spans="1:8" x14ac:dyDescent="0.2">
      <c r="A78" s="37" t="s">
        <v>68</v>
      </c>
      <c r="B78" s="37" t="s">
        <v>68</v>
      </c>
      <c r="C78" s="37" t="s">
        <v>314</v>
      </c>
      <c r="D78" s="37" t="s">
        <v>60</v>
      </c>
      <c r="E78" s="38">
        <v>2</v>
      </c>
      <c r="F78" s="37" t="s">
        <v>282</v>
      </c>
      <c r="G78" s="37" t="s">
        <v>396</v>
      </c>
      <c r="H78" t="s">
        <v>397</v>
      </c>
    </row>
    <row r="79" spans="1:8" x14ac:dyDescent="0.2">
      <c r="A79" s="37" t="s">
        <v>68</v>
      </c>
      <c r="B79" s="37" t="s">
        <v>68</v>
      </c>
      <c r="C79" s="37" t="s">
        <v>315</v>
      </c>
      <c r="D79" s="37" t="s">
        <v>61</v>
      </c>
      <c r="E79" s="38">
        <v>4</v>
      </c>
      <c r="F79" s="37" t="s">
        <v>282</v>
      </c>
      <c r="G79" s="37" t="s">
        <v>396</v>
      </c>
      <c r="H79" t="s">
        <v>397</v>
      </c>
    </row>
    <row r="80" spans="1:8" x14ac:dyDescent="0.2">
      <c r="A80" s="37" t="s">
        <v>68</v>
      </c>
      <c r="B80" s="37" t="s">
        <v>68</v>
      </c>
      <c r="C80" s="37" t="s">
        <v>316</v>
      </c>
      <c r="D80" s="37" t="s">
        <v>228</v>
      </c>
      <c r="E80" s="38">
        <v>0.5</v>
      </c>
      <c r="F80" s="37" t="s">
        <v>282</v>
      </c>
      <c r="G80" s="37" t="s">
        <v>396</v>
      </c>
      <c r="H80" t="s">
        <v>397</v>
      </c>
    </row>
    <row r="81" spans="1:8" x14ac:dyDescent="0.2">
      <c r="A81" s="37" t="s">
        <v>68</v>
      </c>
      <c r="B81" s="37" t="s">
        <v>68</v>
      </c>
      <c r="C81" s="37" t="s">
        <v>317</v>
      </c>
      <c r="D81" s="37" t="s">
        <v>63</v>
      </c>
      <c r="E81" s="38">
        <v>1.2</v>
      </c>
      <c r="F81" s="37" t="s">
        <v>282</v>
      </c>
      <c r="G81" s="37" t="s">
        <v>396</v>
      </c>
      <c r="H81" t="s">
        <v>397</v>
      </c>
    </row>
    <row r="82" spans="1:8" x14ac:dyDescent="0.2">
      <c r="A82" s="37" t="s">
        <v>68</v>
      </c>
      <c r="B82" s="37" t="s">
        <v>68</v>
      </c>
      <c r="C82" s="37" t="s">
        <v>279</v>
      </c>
      <c r="D82" s="37" t="s">
        <v>64</v>
      </c>
      <c r="E82" s="38">
        <v>2.1</v>
      </c>
      <c r="F82" s="37" t="s">
        <v>282</v>
      </c>
      <c r="G82" s="37" t="s">
        <v>396</v>
      </c>
      <c r="H82" t="s">
        <v>397</v>
      </c>
    </row>
    <row r="83" spans="1:8" x14ac:dyDescent="0.2">
      <c r="A83" s="37" t="s">
        <v>68</v>
      </c>
      <c r="B83" s="37" t="s">
        <v>68</v>
      </c>
      <c r="C83" s="37" t="s">
        <v>280</v>
      </c>
      <c r="D83" s="37" t="s">
        <v>65</v>
      </c>
      <c r="E83" s="38">
        <v>0.6</v>
      </c>
      <c r="F83" s="37" t="s">
        <v>282</v>
      </c>
      <c r="G83" s="37" t="s">
        <v>396</v>
      </c>
      <c r="H83" t="s">
        <v>397</v>
      </c>
    </row>
    <row r="84" spans="1:8" x14ac:dyDescent="0.2">
      <c r="A84" s="37" t="s">
        <v>68</v>
      </c>
      <c r="B84" s="37" t="s">
        <v>68</v>
      </c>
      <c r="C84" s="37" t="s">
        <v>281</v>
      </c>
      <c r="D84" s="37" t="s">
        <v>66</v>
      </c>
      <c r="E84" s="38">
        <v>2.3000000000000003</v>
      </c>
      <c r="F84" s="37" t="s">
        <v>282</v>
      </c>
      <c r="G84" s="37" t="s">
        <v>396</v>
      </c>
      <c r="H84" t="s">
        <v>397</v>
      </c>
    </row>
    <row r="85" spans="1:8" x14ac:dyDescent="0.2">
      <c r="A85" s="37" t="s">
        <v>68</v>
      </c>
      <c r="B85" s="37" t="s">
        <v>68</v>
      </c>
      <c r="C85" s="37" t="s">
        <v>282</v>
      </c>
      <c r="D85" s="37" t="s">
        <v>70</v>
      </c>
      <c r="E85" s="38">
        <v>6.3999999999999995</v>
      </c>
      <c r="F85" s="37" t="s">
        <v>282</v>
      </c>
      <c r="G85" s="37" t="s">
        <v>396</v>
      </c>
      <c r="H85" t="s">
        <v>397</v>
      </c>
    </row>
    <row r="86" spans="1:8" x14ac:dyDescent="0.2">
      <c r="A86" s="37" t="s">
        <v>68</v>
      </c>
      <c r="B86" s="37" t="s">
        <v>68</v>
      </c>
      <c r="C86" s="37" t="s">
        <v>398</v>
      </c>
      <c r="D86" s="37" t="s">
        <v>229</v>
      </c>
      <c r="E86" s="38">
        <v>1</v>
      </c>
      <c r="F86" s="37" t="s">
        <v>282</v>
      </c>
      <c r="G86" s="37" t="s">
        <v>396</v>
      </c>
      <c r="H86" t="s">
        <v>397</v>
      </c>
    </row>
    <row r="87" spans="1:8" x14ac:dyDescent="0.2">
      <c r="A87" s="37" t="s">
        <v>68</v>
      </c>
      <c r="B87" s="37" t="s">
        <v>68</v>
      </c>
      <c r="C87" s="37" t="s">
        <v>259</v>
      </c>
      <c r="D87" s="37" t="s">
        <v>230</v>
      </c>
      <c r="E87" s="38">
        <v>1</v>
      </c>
      <c r="F87" s="37" t="s">
        <v>282</v>
      </c>
      <c r="G87" s="37" t="s">
        <v>396</v>
      </c>
      <c r="H87" t="s">
        <v>397</v>
      </c>
    </row>
    <row r="88" spans="1:8" x14ac:dyDescent="0.2">
      <c r="A88" s="37" t="s">
        <v>68</v>
      </c>
      <c r="B88" s="37" t="s">
        <v>68</v>
      </c>
      <c r="C88" s="37" t="s">
        <v>390</v>
      </c>
      <c r="D88" s="37" t="s">
        <v>231</v>
      </c>
      <c r="E88" s="38">
        <v>1</v>
      </c>
      <c r="F88" s="37" t="s">
        <v>282</v>
      </c>
      <c r="G88" s="37" t="s">
        <v>396</v>
      </c>
      <c r="H88" t="s">
        <v>397</v>
      </c>
    </row>
    <row r="89" spans="1:8" x14ac:dyDescent="0.2">
      <c r="A89" s="37" t="s">
        <v>68</v>
      </c>
      <c r="B89" s="37" t="s">
        <v>68</v>
      </c>
      <c r="C89" s="37" t="s">
        <v>283</v>
      </c>
      <c r="D89" s="37" t="s">
        <v>232</v>
      </c>
      <c r="E89" s="38">
        <v>4.5999999999999996</v>
      </c>
      <c r="F89" s="37" t="s">
        <v>282</v>
      </c>
      <c r="G89" s="37" t="s">
        <v>396</v>
      </c>
      <c r="H89" t="s">
        <v>397</v>
      </c>
    </row>
    <row r="90" spans="1:8" x14ac:dyDescent="0.2">
      <c r="A90" s="37" t="s">
        <v>68</v>
      </c>
      <c r="B90" s="37" t="s">
        <v>68</v>
      </c>
      <c r="C90" s="37" t="s">
        <v>343</v>
      </c>
      <c r="D90" s="37" t="s">
        <v>234</v>
      </c>
      <c r="E90" s="38">
        <v>1</v>
      </c>
      <c r="F90" s="37" t="s">
        <v>282</v>
      </c>
      <c r="G90" s="37" t="s">
        <v>396</v>
      </c>
      <c r="H90" t="s">
        <v>397</v>
      </c>
    </row>
    <row r="91" spans="1:8" x14ac:dyDescent="0.2">
      <c r="A91" s="37" t="s">
        <v>68</v>
      </c>
      <c r="B91" s="37" t="s">
        <v>68</v>
      </c>
      <c r="C91" s="37" t="s">
        <v>344</v>
      </c>
      <c r="D91" s="37" t="s">
        <v>235</v>
      </c>
      <c r="E91" s="38">
        <v>1</v>
      </c>
      <c r="F91" s="37" t="s">
        <v>282</v>
      </c>
      <c r="G91" s="37" t="s">
        <v>396</v>
      </c>
      <c r="H91" t="s">
        <v>397</v>
      </c>
    </row>
    <row r="92" spans="1:8" x14ac:dyDescent="0.2">
      <c r="A92" s="37" t="s">
        <v>68</v>
      </c>
      <c r="B92" s="37" t="s">
        <v>68</v>
      </c>
      <c r="C92" s="37" t="s">
        <v>345</v>
      </c>
      <c r="D92" s="37" t="s">
        <v>236</v>
      </c>
      <c r="E92" s="38">
        <v>1</v>
      </c>
      <c r="F92" s="37" t="s">
        <v>282</v>
      </c>
      <c r="G92" s="37" t="s">
        <v>396</v>
      </c>
      <c r="H92" t="s">
        <v>397</v>
      </c>
    </row>
    <row r="93" spans="1:8" x14ac:dyDescent="0.2">
      <c r="A93" s="37" t="s">
        <v>68</v>
      </c>
      <c r="B93" s="37" t="s">
        <v>68</v>
      </c>
      <c r="C93" s="37" t="s">
        <v>346</v>
      </c>
      <c r="D93" s="37" t="s">
        <v>237</v>
      </c>
      <c r="E93" s="38">
        <v>1</v>
      </c>
      <c r="F93" s="37" t="s">
        <v>282</v>
      </c>
      <c r="G93" s="37" t="s">
        <v>396</v>
      </c>
      <c r="H93" t="s">
        <v>397</v>
      </c>
    </row>
    <row r="94" spans="1:8" x14ac:dyDescent="0.2">
      <c r="A94" s="37" t="s">
        <v>68</v>
      </c>
      <c r="B94" s="37" t="s">
        <v>68</v>
      </c>
      <c r="C94" s="37" t="s">
        <v>318</v>
      </c>
      <c r="D94" s="37" t="s">
        <v>238</v>
      </c>
      <c r="E94" s="38">
        <v>2</v>
      </c>
      <c r="F94" s="37" t="s">
        <v>282</v>
      </c>
      <c r="G94" s="37" t="s">
        <v>396</v>
      </c>
      <c r="H94" t="s">
        <v>397</v>
      </c>
    </row>
    <row r="95" spans="1:8" x14ac:dyDescent="0.2">
      <c r="A95" s="37" t="s">
        <v>68</v>
      </c>
      <c r="B95" s="37" t="s">
        <v>68</v>
      </c>
      <c r="C95" s="37" t="s">
        <v>263</v>
      </c>
      <c r="D95" s="37" t="s">
        <v>120</v>
      </c>
      <c r="E95" s="38">
        <v>10</v>
      </c>
      <c r="F95" s="37" t="s">
        <v>282</v>
      </c>
      <c r="G95" s="37" t="s">
        <v>396</v>
      </c>
      <c r="H95" t="s">
        <v>397</v>
      </c>
    </row>
    <row r="96" spans="1:8" x14ac:dyDescent="0.2">
      <c r="A96" s="37" t="s">
        <v>68</v>
      </c>
      <c r="B96" s="37" t="s">
        <v>68</v>
      </c>
      <c r="C96" s="37" t="s">
        <v>285</v>
      </c>
      <c r="D96" s="37" t="s">
        <v>121</v>
      </c>
      <c r="E96" s="38">
        <v>3</v>
      </c>
      <c r="F96" s="37" t="s">
        <v>282</v>
      </c>
      <c r="G96" s="37" t="s">
        <v>396</v>
      </c>
      <c r="H96" t="s">
        <v>397</v>
      </c>
    </row>
    <row r="97" spans="1:8" x14ac:dyDescent="0.2">
      <c r="A97" s="37" t="s">
        <v>68</v>
      </c>
      <c r="B97" s="37" t="s">
        <v>68</v>
      </c>
      <c r="C97" s="37" t="s">
        <v>286</v>
      </c>
      <c r="D97" s="37" t="s">
        <v>122</v>
      </c>
      <c r="E97" s="38">
        <v>3</v>
      </c>
      <c r="F97" s="37" t="s">
        <v>282</v>
      </c>
      <c r="G97" s="37" t="s">
        <v>396</v>
      </c>
      <c r="H97" t="s">
        <v>397</v>
      </c>
    </row>
    <row r="98" spans="1:8" x14ac:dyDescent="0.2">
      <c r="A98" s="37" t="s">
        <v>68</v>
      </c>
      <c r="B98" s="37" t="s">
        <v>68</v>
      </c>
      <c r="C98" s="37" t="s">
        <v>287</v>
      </c>
      <c r="D98" s="37" t="s">
        <v>123</v>
      </c>
      <c r="E98" s="38">
        <v>3.4000000000000004</v>
      </c>
      <c r="F98" s="37" t="s">
        <v>282</v>
      </c>
      <c r="G98" s="37" t="s">
        <v>396</v>
      </c>
      <c r="H98" t="s">
        <v>397</v>
      </c>
    </row>
    <row r="99" spans="1:8" x14ac:dyDescent="0.2">
      <c r="A99" s="37" t="s">
        <v>68</v>
      </c>
      <c r="B99" s="37" t="s">
        <v>68</v>
      </c>
      <c r="C99" s="37" t="s">
        <v>319</v>
      </c>
      <c r="D99" s="37" t="s">
        <v>124</v>
      </c>
      <c r="E99" s="38">
        <v>2</v>
      </c>
      <c r="F99" s="37" t="s">
        <v>282</v>
      </c>
      <c r="G99" s="37" t="s">
        <v>396</v>
      </c>
      <c r="H99" t="s">
        <v>397</v>
      </c>
    </row>
    <row r="100" spans="1:8" x14ac:dyDescent="0.2">
      <c r="A100" s="37" t="s">
        <v>68</v>
      </c>
      <c r="B100" s="37" t="s">
        <v>68</v>
      </c>
      <c r="C100" s="37" t="s">
        <v>320</v>
      </c>
      <c r="D100" s="37" t="s">
        <v>125</v>
      </c>
      <c r="E100" s="38">
        <v>4</v>
      </c>
      <c r="F100" s="37" t="s">
        <v>282</v>
      </c>
      <c r="G100" s="37" t="s">
        <v>396</v>
      </c>
      <c r="H100" t="s">
        <v>397</v>
      </c>
    </row>
    <row r="101" spans="1:8" x14ac:dyDescent="0.2">
      <c r="A101" s="37" t="s">
        <v>68</v>
      </c>
      <c r="B101" s="37" t="s">
        <v>68</v>
      </c>
      <c r="C101" s="37" t="s">
        <v>376</v>
      </c>
      <c r="D101" s="37" t="s">
        <v>244</v>
      </c>
      <c r="E101" s="38">
        <v>0.30000000000000004</v>
      </c>
      <c r="F101" s="37" t="s">
        <v>282</v>
      </c>
      <c r="G101" s="37" t="s">
        <v>396</v>
      </c>
      <c r="H101" t="s">
        <v>397</v>
      </c>
    </row>
    <row r="102" spans="1:8" x14ac:dyDescent="0.2">
      <c r="A102" s="37" t="s">
        <v>68</v>
      </c>
      <c r="B102" s="37" t="s">
        <v>68</v>
      </c>
      <c r="C102" s="37" t="s">
        <v>352</v>
      </c>
      <c r="D102" s="37" t="s">
        <v>185</v>
      </c>
      <c r="E102" s="38">
        <v>0.6</v>
      </c>
      <c r="F102" s="37" t="s">
        <v>282</v>
      </c>
      <c r="G102" s="37" t="s">
        <v>396</v>
      </c>
      <c r="H102" t="s">
        <v>397</v>
      </c>
    </row>
    <row r="103" spans="1:8" x14ac:dyDescent="0.2">
      <c r="A103" s="37" t="s">
        <v>68</v>
      </c>
      <c r="B103" s="37" t="s">
        <v>68</v>
      </c>
      <c r="C103" s="37" t="s">
        <v>288</v>
      </c>
      <c r="D103" s="37" t="s">
        <v>247</v>
      </c>
      <c r="E103" s="38">
        <v>1</v>
      </c>
      <c r="F103" s="37" t="s">
        <v>282</v>
      </c>
      <c r="G103" s="37" t="s">
        <v>396</v>
      </c>
      <c r="H103" t="s">
        <v>397</v>
      </c>
    </row>
    <row r="104" spans="1:8" x14ac:dyDescent="0.2">
      <c r="A104" s="37" t="s">
        <v>68</v>
      </c>
      <c r="B104" s="37" t="s">
        <v>68</v>
      </c>
      <c r="C104" s="37" t="s">
        <v>291</v>
      </c>
      <c r="D104" s="37" t="s">
        <v>207</v>
      </c>
      <c r="E104" s="38">
        <v>1.9</v>
      </c>
      <c r="F104" s="37" t="s">
        <v>282</v>
      </c>
      <c r="G104" s="37" t="s">
        <v>396</v>
      </c>
      <c r="H104" t="s">
        <v>397</v>
      </c>
    </row>
    <row r="105" spans="1:8" x14ac:dyDescent="0.2">
      <c r="A105" s="37" t="s">
        <v>68</v>
      </c>
      <c r="B105" s="37" t="s">
        <v>68</v>
      </c>
      <c r="C105" s="37" t="s">
        <v>292</v>
      </c>
      <c r="D105" s="37" t="s">
        <v>208</v>
      </c>
      <c r="E105" s="38">
        <v>1.1000000000000001</v>
      </c>
      <c r="F105" s="37" t="s">
        <v>282</v>
      </c>
      <c r="G105" s="37" t="s">
        <v>396</v>
      </c>
      <c r="H105" t="s">
        <v>397</v>
      </c>
    </row>
    <row r="106" spans="1:8" x14ac:dyDescent="0.2">
      <c r="A106" s="37" t="s">
        <v>68</v>
      </c>
      <c r="B106" s="37" t="s">
        <v>68</v>
      </c>
      <c r="C106" s="37" t="s">
        <v>293</v>
      </c>
      <c r="D106" s="37" t="s">
        <v>209</v>
      </c>
      <c r="E106" s="38">
        <v>1.1000000000000001</v>
      </c>
      <c r="F106" s="37" t="s">
        <v>282</v>
      </c>
      <c r="G106" s="37" t="s">
        <v>396</v>
      </c>
      <c r="H106" t="s">
        <v>397</v>
      </c>
    </row>
    <row r="107" spans="1:8" x14ac:dyDescent="0.2">
      <c r="A107" s="37" t="s">
        <v>68</v>
      </c>
      <c r="B107" s="37" t="s">
        <v>68</v>
      </c>
      <c r="C107" s="37" t="s">
        <v>266</v>
      </c>
      <c r="D107" s="37" t="s">
        <v>17</v>
      </c>
      <c r="E107" s="38">
        <v>1.7000000000000002</v>
      </c>
      <c r="F107" s="37" t="s">
        <v>398</v>
      </c>
      <c r="G107" s="37" t="s">
        <v>399</v>
      </c>
      <c r="H107" t="s">
        <v>400</v>
      </c>
    </row>
    <row r="108" spans="1:8" x14ac:dyDescent="0.2">
      <c r="A108" s="37" t="s">
        <v>68</v>
      </c>
      <c r="B108" s="37" t="s">
        <v>68</v>
      </c>
      <c r="C108" s="37" t="s">
        <v>266</v>
      </c>
      <c r="D108" s="37" t="s">
        <v>17</v>
      </c>
      <c r="E108" s="38">
        <v>245.49999999999997</v>
      </c>
      <c r="F108" s="37" t="s">
        <v>401</v>
      </c>
      <c r="G108" s="37" t="s">
        <v>400</v>
      </c>
      <c r="H108" t="s">
        <v>400</v>
      </c>
    </row>
    <row r="109" spans="1:8" x14ac:dyDescent="0.2">
      <c r="A109" s="37" t="s">
        <v>68</v>
      </c>
      <c r="B109" s="37" t="s">
        <v>68</v>
      </c>
      <c r="C109" s="37" t="s">
        <v>260</v>
      </c>
      <c r="D109" s="37" t="s">
        <v>20</v>
      </c>
      <c r="E109" s="38">
        <v>-7.0000000000000007E-2</v>
      </c>
      <c r="F109" s="37" t="s">
        <v>401</v>
      </c>
      <c r="G109" s="37" t="s">
        <v>400</v>
      </c>
      <c r="H109" t="s">
        <v>400</v>
      </c>
    </row>
    <row r="110" spans="1:8" x14ac:dyDescent="0.2">
      <c r="A110" s="37" t="s">
        <v>68</v>
      </c>
      <c r="B110" s="37" t="s">
        <v>68</v>
      </c>
      <c r="C110" s="37" t="s">
        <v>329</v>
      </c>
      <c r="D110" s="37" t="s">
        <v>21</v>
      </c>
      <c r="E110" s="38">
        <v>4.9000000000000004</v>
      </c>
      <c r="F110" s="37" t="s">
        <v>398</v>
      </c>
      <c r="G110" s="37" t="s">
        <v>399</v>
      </c>
      <c r="H110" t="s">
        <v>400</v>
      </c>
    </row>
    <row r="111" spans="1:8" x14ac:dyDescent="0.2">
      <c r="A111" s="37" t="s">
        <v>68</v>
      </c>
      <c r="B111" s="37" t="s">
        <v>68</v>
      </c>
      <c r="C111" s="37" t="s">
        <v>329</v>
      </c>
      <c r="D111" s="37" t="s">
        <v>21</v>
      </c>
      <c r="E111" s="38">
        <v>92.5</v>
      </c>
      <c r="F111" s="37" t="s">
        <v>401</v>
      </c>
      <c r="G111" s="37" t="s">
        <v>400</v>
      </c>
      <c r="H111" t="s">
        <v>400</v>
      </c>
    </row>
    <row r="112" spans="1:8" x14ac:dyDescent="0.2">
      <c r="A112" s="37" t="s">
        <v>68</v>
      </c>
      <c r="B112" s="37" t="s">
        <v>68</v>
      </c>
      <c r="C112" s="37" t="s">
        <v>330</v>
      </c>
      <c r="D112" s="37" t="s">
        <v>22</v>
      </c>
      <c r="E112" s="38">
        <v>5.3</v>
      </c>
      <c r="F112" s="37" t="s">
        <v>398</v>
      </c>
      <c r="G112" s="37" t="s">
        <v>399</v>
      </c>
      <c r="H112" t="s">
        <v>400</v>
      </c>
    </row>
    <row r="113" spans="1:8" x14ac:dyDescent="0.2">
      <c r="A113" s="37" t="s">
        <v>68</v>
      </c>
      <c r="B113" s="37" t="s">
        <v>68</v>
      </c>
      <c r="C113" s="37" t="s">
        <v>330</v>
      </c>
      <c r="D113" s="37" t="s">
        <v>22</v>
      </c>
      <c r="E113" s="38">
        <v>5.8500000000000014</v>
      </c>
      <c r="F113" s="37" t="s">
        <v>401</v>
      </c>
      <c r="G113" s="37" t="s">
        <v>400</v>
      </c>
      <c r="H113" t="s">
        <v>400</v>
      </c>
    </row>
    <row r="114" spans="1:8" x14ac:dyDescent="0.2">
      <c r="A114" s="37" t="s">
        <v>68</v>
      </c>
      <c r="B114" s="37" t="s">
        <v>68</v>
      </c>
      <c r="C114" s="37" t="s">
        <v>296</v>
      </c>
      <c r="D114" s="37" t="s">
        <v>23</v>
      </c>
      <c r="E114" s="38">
        <v>3.5</v>
      </c>
      <c r="F114" s="37" t="s">
        <v>401</v>
      </c>
      <c r="G114" s="37" t="s">
        <v>400</v>
      </c>
      <c r="H114" t="s">
        <v>400</v>
      </c>
    </row>
    <row r="115" spans="1:8" x14ac:dyDescent="0.2">
      <c r="A115" s="37" t="s">
        <v>68</v>
      </c>
      <c r="B115" s="37" t="s">
        <v>68</v>
      </c>
      <c r="C115" s="37" t="s">
        <v>267</v>
      </c>
      <c r="D115" s="37" t="s">
        <v>24</v>
      </c>
      <c r="E115" s="38">
        <v>3.7399999999999998</v>
      </c>
      <c r="F115" s="37" t="s">
        <v>401</v>
      </c>
      <c r="G115" s="37" t="s">
        <v>400</v>
      </c>
      <c r="H115" t="s">
        <v>400</v>
      </c>
    </row>
    <row r="116" spans="1:8" x14ac:dyDescent="0.2">
      <c r="A116" s="37" t="s">
        <v>68</v>
      </c>
      <c r="B116" s="37" t="s">
        <v>68</v>
      </c>
      <c r="C116" s="37" t="s">
        <v>297</v>
      </c>
      <c r="D116" s="37" t="s">
        <v>25</v>
      </c>
      <c r="E116" s="38">
        <v>1.5999999999999999</v>
      </c>
      <c r="F116" s="37" t="s">
        <v>401</v>
      </c>
      <c r="G116" s="37" t="s">
        <v>400</v>
      </c>
      <c r="H116" t="s">
        <v>400</v>
      </c>
    </row>
    <row r="117" spans="1:8" x14ac:dyDescent="0.2">
      <c r="A117" s="37" t="s">
        <v>68</v>
      </c>
      <c r="B117" s="37" t="s">
        <v>68</v>
      </c>
      <c r="C117" s="37" t="s">
        <v>273</v>
      </c>
      <c r="D117" s="37" t="s">
        <v>26</v>
      </c>
      <c r="E117" s="38">
        <v>1.05</v>
      </c>
      <c r="F117" s="37" t="s">
        <v>401</v>
      </c>
      <c r="G117" s="37" t="s">
        <v>400</v>
      </c>
      <c r="H117" t="s">
        <v>400</v>
      </c>
    </row>
    <row r="118" spans="1:8" x14ac:dyDescent="0.2">
      <c r="A118" s="37" t="s">
        <v>68</v>
      </c>
      <c r="B118" s="37" t="s">
        <v>68</v>
      </c>
      <c r="C118" s="37" t="s">
        <v>299</v>
      </c>
      <c r="D118" s="37" t="s">
        <v>28</v>
      </c>
      <c r="E118" s="38">
        <v>21.32</v>
      </c>
      <c r="F118" s="37" t="s">
        <v>401</v>
      </c>
      <c r="G118" s="37" t="s">
        <v>400</v>
      </c>
      <c r="H118" t="s">
        <v>400</v>
      </c>
    </row>
    <row r="119" spans="1:8" x14ac:dyDescent="0.2">
      <c r="A119" s="37" t="s">
        <v>68</v>
      </c>
      <c r="B119" s="37" t="s">
        <v>68</v>
      </c>
      <c r="C119" s="37" t="s">
        <v>300</v>
      </c>
      <c r="D119" s="37" t="s">
        <v>29</v>
      </c>
      <c r="E119" s="38">
        <v>2</v>
      </c>
      <c r="F119" s="37" t="s">
        <v>398</v>
      </c>
      <c r="G119" s="37" t="s">
        <v>399</v>
      </c>
      <c r="H119" t="s">
        <v>400</v>
      </c>
    </row>
    <row r="120" spans="1:8" x14ac:dyDescent="0.2">
      <c r="A120" s="37" t="s">
        <v>68</v>
      </c>
      <c r="B120" s="37" t="s">
        <v>68</v>
      </c>
      <c r="C120" s="37" t="s">
        <v>300</v>
      </c>
      <c r="D120" s="37" t="s">
        <v>29</v>
      </c>
      <c r="E120" s="38">
        <v>-2.59</v>
      </c>
      <c r="F120" s="37" t="s">
        <v>401</v>
      </c>
      <c r="G120" s="37" t="s">
        <v>400</v>
      </c>
      <c r="H120" t="s">
        <v>400</v>
      </c>
    </row>
    <row r="121" spans="1:8" x14ac:dyDescent="0.2">
      <c r="A121" s="37" t="s">
        <v>68</v>
      </c>
      <c r="B121" s="37" t="s">
        <v>68</v>
      </c>
      <c r="C121" s="37" t="s">
        <v>301</v>
      </c>
      <c r="D121" s="37" t="s">
        <v>30</v>
      </c>
      <c r="E121" s="38">
        <v>0.72</v>
      </c>
      <c r="F121" s="37" t="s">
        <v>401</v>
      </c>
      <c r="G121" s="37" t="s">
        <v>400</v>
      </c>
      <c r="H121" t="s">
        <v>400</v>
      </c>
    </row>
    <row r="122" spans="1:8" x14ac:dyDescent="0.2">
      <c r="A122" s="37" t="s">
        <v>68</v>
      </c>
      <c r="B122" s="37" t="s">
        <v>68</v>
      </c>
      <c r="C122" s="37" t="s">
        <v>402</v>
      </c>
      <c r="D122" s="37" t="s">
        <v>403</v>
      </c>
      <c r="E122" s="38">
        <v>0.06</v>
      </c>
      <c r="F122" s="37" t="s">
        <v>401</v>
      </c>
      <c r="G122" s="37" t="s">
        <v>400</v>
      </c>
      <c r="H122" t="s">
        <v>400</v>
      </c>
    </row>
    <row r="123" spans="1:8" x14ac:dyDescent="0.2">
      <c r="A123" s="37" t="s">
        <v>68</v>
      </c>
      <c r="B123" s="37" t="s">
        <v>68</v>
      </c>
      <c r="C123" s="37" t="s">
        <v>331</v>
      </c>
      <c r="D123" s="37" t="s">
        <v>31</v>
      </c>
      <c r="E123" s="38">
        <v>1.6</v>
      </c>
      <c r="F123" s="37" t="s">
        <v>398</v>
      </c>
      <c r="G123" s="37" t="s">
        <v>399</v>
      </c>
      <c r="H123" t="s">
        <v>400</v>
      </c>
    </row>
    <row r="124" spans="1:8" x14ac:dyDescent="0.2">
      <c r="A124" s="37" t="s">
        <v>68</v>
      </c>
      <c r="B124" s="37" t="s">
        <v>68</v>
      </c>
      <c r="C124" s="37" t="s">
        <v>331</v>
      </c>
      <c r="D124" s="37" t="s">
        <v>31</v>
      </c>
      <c r="E124" s="38">
        <v>36.300000000000004</v>
      </c>
      <c r="F124" s="37" t="s">
        <v>401</v>
      </c>
      <c r="G124" s="37" t="s">
        <v>400</v>
      </c>
      <c r="H124" t="s">
        <v>400</v>
      </c>
    </row>
    <row r="125" spans="1:8" x14ac:dyDescent="0.2">
      <c r="A125" s="37" t="s">
        <v>68</v>
      </c>
      <c r="B125" s="37" t="s">
        <v>68</v>
      </c>
      <c r="C125" s="37" t="s">
        <v>332</v>
      </c>
      <c r="D125" s="37" t="s">
        <v>32</v>
      </c>
      <c r="E125" s="38">
        <v>34.4</v>
      </c>
      <c r="F125" s="37" t="s">
        <v>401</v>
      </c>
      <c r="G125" s="37" t="s">
        <v>400</v>
      </c>
      <c r="H125" t="s">
        <v>400</v>
      </c>
    </row>
    <row r="126" spans="1:8" x14ac:dyDescent="0.2">
      <c r="A126" s="37" t="s">
        <v>68</v>
      </c>
      <c r="B126" s="37" t="s">
        <v>68</v>
      </c>
      <c r="C126" s="37" t="s">
        <v>333</v>
      </c>
      <c r="D126" s="37" t="s">
        <v>225</v>
      </c>
      <c r="E126" s="38">
        <v>1.1000000000000001</v>
      </c>
      <c r="F126" s="37" t="s">
        <v>398</v>
      </c>
      <c r="G126" s="37" t="s">
        <v>399</v>
      </c>
      <c r="H126" t="s">
        <v>400</v>
      </c>
    </row>
    <row r="127" spans="1:8" x14ac:dyDescent="0.2">
      <c r="A127" s="37" t="s">
        <v>68</v>
      </c>
      <c r="B127" s="37" t="s">
        <v>68</v>
      </c>
      <c r="C127" s="37" t="s">
        <v>333</v>
      </c>
      <c r="D127" s="37" t="s">
        <v>225</v>
      </c>
      <c r="E127" s="38">
        <v>62.76</v>
      </c>
      <c r="F127" s="37" t="s">
        <v>401</v>
      </c>
      <c r="G127" s="37" t="s">
        <v>400</v>
      </c>
      <c r="H127" t="s">
        <v>400</v>
      </c>
    </row>
    <row r="128" spans="1:8" x14ac:dyDescent="0.2">
      <c r="A128" s="37" t="s">
        <v>68</v>
      </c>
      <c r="B128" s="37" t="s">
        <v>68</v>
      </c>
      <c r="C128" s="37" t="s">
        <v>334</v>
      </c>
      <c r="D128" s="37" t="s">
        <v>34</v>
      </c>
      <c r="E128" s="38">
        <v>1.9000000000000004</v>
      </c>
      <c r="F128" s="37" t="s">
        <v>401</v>
      </c>
      <c r="G128" s="37" t="s">
        <v>400</v>
      </c>
      <c r="H128" t="s">
        <v>400</v>
      </c>
    </row>
    <row r="129" spans="1:8" x14ac:dyDescent="0.2">
      <c r="A129" s="37" t="s">
        <v>68</v>
      </c>
      <c r="B129" s="37" t="s">
        <v>68</v>
      </c>
      <c r="C129" s="37" t="s">
        <v>335</v>
      </c>
      <c r="D129" s="37" t="s">
        <v>35</v>
      </c>
      <c r="E129" s="38">
        <v>2.2000000000000002</v>
      </c>
      <c r="F129" s="37" t="s">
        <v>398</v>
      </c>
      <c r="G129" s="37" t="s">
        <v>399</v>
      </c>
      <c r="H129" t="s">
        <v>400</v>
      </c>
    </row>
    <row r="130" spans="1:8" x14ac:dyDescent="0.2">
      <c r="A130" s="37" t="s">
        <v>68</v>
      </c>
      <c r="B130" s="37" t="s">
        <v>68</v>
      </c>
      <c r="C130" s="37" t="s">
        <v>335</v>
      </c>
      <c r="D130" s="37" t="s">
        <v>35</v>
      </c>
      <c r="E130" s="38">
        <v>0.9</v>
      </c>
      <c r="F130" s="37" t="s">
        <v>401</v>
      </c>
      <c r="G130" s="37" t="s">
        <v>400</v>
      </c>
      <c r="H130" t="s">
        <v>400</v>
      </c>
    </row>
    <row r="131" spans="1:8" x14ac:dyDescent="0.2">
      <c r="A131" s="37" t="s">
        <v>68</v>
      </c>
      <c r="B131" s="37" t="s">
        <v>68</v>
      </c>
      <c r="C131" s="37" t="s">
        <v>336</v>
      </c>
      <c r="D131" s="37" t="s">
        <v>36</v>
      </c>
      <c r="E131" s="38">
        <v>0.7</v>
      </c>
      <c r="F131" s="37" t="s">
        <v>398</v>
      </c>
      <c r="G131" s="37" t="s">
        <v>399</v>
      </c>
      <c r="H131" t="s">
        <v>400</v>
      </c>
    </row>
    <row r="132" spans="1:8" x14ac:dyDescent="0.2">
      <c r="A132" s="37" t="s">
        <v>68</v>
      </c>
      <c r="B132" s="37" t="s">
        <v>68</v>
      </c>
      <c r="C132" s="37" t="s">
        <v>336</v>
      </c>
      <c r="D132" s="37" t="s">
        <v>36</v>
      </c>
      <c r="E132" s="38">
        <v>-0.16000000000000017</v>
      </c>
      <c r="F132" s="37" t="s">
        <v>401</v>
      </c>
      <c r="G132" s="37" t="s">
        <v>400</v>
      </c>
      <c r="H132" t="s">
        <v>400</v>
      </c>
    </row>
    <row r="133" spans="1:8" x14ac:dyDescent="0.2">
      <c r="A133" s="37" t="s">
        <v>68</v>
      </c>
      <c r="B133" s="37" t="s">
        <v>68</v>
      </c>
      <c r="C133" s="37" t="s">
        <v>337</v>
      </c>
      <c r="D133" s="37" t="s">
        <v>37</v>
      </c>
      <c r="E133" s="38">
        <v>-0.2599999999999999</v>
      </c>
      <c r="F133" s="37" t="s">
        <v>401</v>
      </c>
      <c r="G133" s="37" t="s">
        <v>400</v>
      </c>
      <c r="H133" t="s">
        <v>400</v>
      </c>
    </row>
    <row r="134" spans="1:8" x14ac:dyDescent="0.2">
      <c r="A134" s="37" t="s">
        <v>68</v>
      </c>
      <c r="B134" s="37" t="s">
        <v>68</v>
      </c>
      <c r="C134" s="37" t="s">
        <v>338</v>
      </c>
      <c r="D134" s="37" t="s">
        <v>38</v>
      </c>
      <c r="E134" s="38">
        <v>0.71</v>
      </c>
      <c r="F134" s="37" t="s">
        <v>401</v>
      </c>
      <c r="G134" s="37" t="s">
        <v>400</v>
      </c>
      <c r="H134" t="s">
        <v>400</v>
      </c>
    </row>
    <row r="135" spans="1:8" x14ac:dyDescent="0.2">
      <c r="A135" s="37" t="s">
        <v>68</v>
      </c>
      <c r="B135" s="37" t="s">
        <v>68</v>
      </c>
      <c r="C135" s="37" t="s">
        <v>339</v>
      </c>
      <c r="D135" s="37" t="s">
        <v>39</v>
      </c>
      <c r="E135" s="38">
        <v>1.6</v>
      </c>
      <c r="F135" s="37" t="s">
        <v>398</v>
      </c>
      <c r="G135" s="37" t="s">
        <v>399</v>
      </c>
      <c r="H135" t="s">
        <v>400</v>
      </c>
    </row>
    <row r="136" spans="1:8" x14ac:dyDescent="0.2">
      <c r="A136" s="37" t="s">
        <v>68</v>
      </c>
      <c r="B136" s="37" t="s">
        <v>68</v>
      </c>
      <c r="C136" s="37" t="s">
        <v>339</v>
      </c>
      <c r="D136" s="37" t="s">
        <v>39</v>
      </c>
      <c r="E136" s="38">
        <v>1.0699999999999998</v>
      </c>
      <c r="F136" s="37" t="s">
        <v>401</v>
      </c>
      <c r="G136" s="37" t="s">
        <v>400</v>
      </c>
      <c r="H136" t="s">
        <v>400</v>
      </c>
    </row>
    <row r="137" spans="1:8" x14ac:dyDescent="0.2">
      <c r="A137" s="37" t="s">
        <v>68</v>
      </c>
      <c r="B137" s="37" t="s">
        <v>68</v>
      </c>
      <c r="C137" s="37" t="s">
        <v>340</v>
      </c>
      <c r="D137" s="37" t="s">
        <v>40</v>
      </c>
      <c r="E137" s="38">
        <v>1.2</v>
      </c>
      <c r="F137" s="37" t="s">
        <v>398</v>
      </c>
      <c r="G137" s="37" t="s">
        <v>399</v>
      </c>
      <c r="H137" t="s">
        <v>400</v>
      </c>
    </row>
    <row r="138" spans="1:8" x14ac:dyDescent="0.2">
      <c r="A138" s="37" t="s">
        <v>68</v>
      </c>
      <c r="B138" s="37" t="s">
        <v>68</v>
      </c>
      <c r="C138" s="37" t="s">
        <v>340</v>
      </c>
      <c r="D138" s="37" t="s">
        <v>40</v>
      </c>
      <c r="E138" s="38">
        <v>0.76999999999999991</v>
      </c>
      <c r="F138" s="37" t="s">
        <v>401</v>
      </c>
      <c r="G138" s="37" t="s">
        <v>400</v>
      </c>
      <c r="H138" t="s">
        <v>400</v>
      </c>
    </row>
    <row r="139" spans="1:8" x14ac:dyDescent="0.2">
      <c r="A139" s="37" t="s">
        <v>68</v>
      </c>
      <c r="B139" s="37" t="s">
        <v>68</v>
      </c>
      <c r="C139" s="37" t="s">
        <v>341</v>
      </c>
      <c r="D139" s="37" t="s">
        <v>41</v>
      </c>
      <c r="E139" s="38">
        <v>0.71</v>
      </c>
      <c r="F139" s="37" t="s">
        <v>401</v>
      </c>
      <c r="G139" s="37" t="s">
        <v>400</v>
      </c>
      <c r="H139" t="s">
        <v>400</v>
      </c>
    </row>
    <row r="140" spans="1:8" x14ac:dyDescent="0.2">
      <c r="A140" s="37" t="s">
        <v>68</v>
      </c>
      <c r="B140" s="37" t="s">
        <v>68</v>
      </c>
      <c r="C140" s="37" t="s">
        <v>302</v>
      </c>
      <c r="D140" s="37" t="s">
        <v>42</v>
      </c>
      <c r="E140" s="38">
        <v>0.05</v>
      </c>
      <c r="F140" s="37" t="s">
        <v>401</v>
      </c>
      <c r="G140" s="37" t="s">
        <v>400</v>
      </c>
      <c r="H140" t="s">
        <v>400</v>
      </c>
    </row>
    <row r="141" spans="1:8" x14ac:dyDescent="0.2">
      <c r="A141" s="37" t="s">
        <v>68</v>
      </c>
      <c r="B141" s="37" t="s">
        <v>68</v>
      </c>
      <c r="C141" s="37" t="s">
        <v>274</v>
      </c>
      <c r="D141" s="37" t="s">
        <v>226</v>
      </c>
      <c r="E141" s="38">
        <v>2.25</v>
      </c>
      <c r="F141" s="37" t="s">
        <v>401</v>
      </c>
      <c r="G141" s="37" t="s">
        <v>400</v>
      </c>
      <c r="H141" t="s">
        <v>400</v>
      </c>
    </row>
    <row r="142" spans="1:8" x14ac:dyDescent="0.2">
      <c r="A142" s="37" t="s">
        <v>68</v>
      </c>
      <c r="B142" s="37" t="s">
        <v>68</v>
      </c>
      <c r="C142" s="37" t="s">
        <v>303</v>
      </c>
      <c r="D142" s="37" t="s">
        <v>227</v>
      </c>
      <c r="E142" s="38">
        <v>1.36</v>
      </c>
      <c r="F142" s="37" t="s">
        <v>401</v>
      </c>
      <c r="G142" s="37" t="s">
        <v>400</v>
      </c>
      <c r="H142" t="s">
        <v>400</v>
      </c>
    </row>
    <row r="143" spans="1:8" x14ac:dyDescent="0.2">
      <c r="A143" s="37" t="s">
        <v>68</v>
      </c>
      <c r="B143" s="37" t="s">
        <v>68</v>
      </c>
      <c r="C143" s="37" t="s">
        <v>275</v>
      </c>
      <c r="D143" s="37" t="s">
        <v>45</v>
      </c>
      <c r="E143" s="38">
        <v>-4.8849999999999998</v>
      </c>
      <c r="F143" s="37" t="s">
        <v>401</v>
      </c>
      <c r="G143" s="37" t="s">
        <v>400</v>
      </c>
      <c r="H143" t="s">
        <v>400</v>
      </c>
    </row>
    <row r="144" spans="1:8" x14ac:dyDescent="0.2">
      <c r="A144" s="37" t="s">
        <v>68</v>
      </c>
      <c r="B144" s="37" t="s">
        <v>68</v>
      </c>
      <c r="C144" s="37" t="s">
        <v>304</v>
      </c>
      <c r="D144" s="37" t="s">
        <v>46</v>
      </c>
      <c r="E144" s="38">
        <v>-0.09</v>
      </c>
      <c r="F144" s="37" t="s">
        <v>401</v>
      </c>
      <c r="G144" s="37" t="s">
        <v>400</v>
      </c>
      <c r="H144" t="s">
        <v>400</v>
      </c>
    </row>
    <row r="145" spans="1:8" x14ac:dyDescent="0.2">
      <c r="A145" s="37" t="s">
        <v>68</v>
      </c>
      <c r="B145" s="37" t="s">
        <v>68</v>
      </c>
      <c r="C145" s="37" t="s">
        <v>305</v>
      </c>
      <c r="D145" s="37" t="s">
        <v>47</v>
      </c>
      <c r="E145" s="38">
        <v>-0.01</v>
      </c>
      <c r="F145" s="37" t="s">
        <v>401</v>
      </c>
      <c r="G145" s="37" t="s">
        <v>400</v>
      </c>
      <c r="H145" t="s">
        <v>400</v>
      </c>
    </row>
    <row r="146" spans="1:8" x14ac:dyDescent="0.2">
      <c r="A146" s="37" t="s">
        <v>68</v>
      </c>
      <c r="B146" s="37" t="s">
        <v>68</v>
      </c>
      <c r="C146" s="37" t="s">
        <v>276</v>
      </c>
      <c r="D146" s="37" t="s">
        <v>48</v>
      </c>
      <c r="E146" s="38">
        <v>0.64</v>
      </c>
      <c r="F146" s="37" t="s">
        <v>401</v>
      </c>
      <c r="G146" s="37" t="s">
        <v>400</v>
      </c>
      <c r="H146" t="s">
        <v>400</v>
      </c>
    </row>
    <row r="147" spans="1:8" x14ac:dyDescent="0.2">
      <c r="A147" s="37" t="s">
        <v>68</v>
      </c>
      <c r="B147" s="37" t="s">
        <v>68</v>
      </c>
      <c r="C147" s="37" t="s">
        <v>342</v>
      </c>
      <c r="D147" s="37" t="s">
        <v>49</v>
      </c>
      <c r="E147" s="38">
        <v>5</v>
      </c>
      <c r="F147" s="37" t="s">
        <v>398</v>
      </c>
      <c r="G147" s="37" t="s">
        <v>399</v>
      </c>
      <c r="H147" t="s">
        <v>400</v>
      </c>
    </row>
    <row r="148" spans="1:8" x14ac:dyDescent="0.2">
      <c r="A148" s="37" t="s">
        <v>68</v>
      </c>
      <c r="B148" s="37" t="s">
        <v>68</v>
      </c>
      <c r="C148" s="37" t="s">
        <v>342</v>
      </c>
      <c r="D148" s="37" t="s">
        <v>49</v>
      </c>
      <c r="E148" s="38">
        <v>0.55000000000000004</v>
      </c>
      <c r="F148" s="37" t="s">
        <v>401</v>
      </c>
      <c r="G148" s="37" t="s">
        <v>400</v>
      </c>
      <c r="H148" t="s">
        <v>400</v>
      </c>
    </row>
    <row r="149" spans="1:8" x14ac:dyDescent="0.2">
      <c r="A149" s="37" t="s">
        <v>68</v>
      </c>
      <c r="B149" s="37" t="s">
        <v>68</v>
      </c>
      <c r="C149" s="37" t="s">
        <v>306</v>
      </c>
      <c r="D149" s="37" t="s">
        <v>50</v>
      </c>
      <c r="E149" s="38">
        <v>7.0000000000000007E-2</v>
      </c>
      <c r="F149" s="37" t="s">
        <v>401</v>
      </c>
      <c r="G149" s="37" t="s">
        <v>400</v>
      </c>
      <c r="H149" t="s">
        <v>400</v>
      </c>
    </row>
    <row r="150" spans="1:8" x14ac:dyDescent="0.2">
      <c r="A150" s="37" t="s">
        <v>68</v>
      </c>
      <c r="B150" s="37" t="s">
        <v>68</v>
      </c>
      <c r="C150" s="37" t="s">
        <v>307</v>
      </c>
      <c r="D150" s="37" t="s">
        <v>51</v>
      </c>
      <c r="E150" s="38">
        <v>-0.24000000000000002</v>
      </c>
      <c r="F150" s="37" t="s">
        <v>401</v>
      </c>
      <c r="G150" s="37" t="s">
        <v>400</v>
      </c>
      <c r="H150" t="s">
        <v>400</v>
      </c>
    </row>
    <row r="151" spans="1:8" x14ac:dyDescent="0.2">
      <c r="A151" s="37" t="s">
        <v>68</v>
      </c>
      <c r="B151" s="37" t="s">
        <v>68</v>
      </c>
      <c r="C151" s="37" t="s">
        <v>308</v>
      </c>
      <c r="D151" s="37" t="s">
        <v>52</v>
      </c>
      <c r="E151" s="38">
        <v>-0.12</v>
      </c>
      <c r="F151" s="37" t="s">
        <v>401</v>
      </c>
      <c r="G151" s="37" t="s">
        <v>400</v>
      </c>
      <c r="H151" t="s">
        <v>400</v>
      </c>
    </row>
    <row r="152" spans="1:8" x14ac:dyDescent="0.2">
      <c r="A152" s="37" t="s">
        <v>68</v>
      </c>
      <c r="B152" s="37" t="s">
        <v>68</v>
      </c>
      <c r="C152" s="37" t="s">
        <v>309</v>
      </c>
      <c r="D152" s="37" t="s">
        <v>53</v>
      </c>
      <c r="E152" s="38">
        <v>-0.84</v>
      </c>
      <c r="F152" s="37" t="s">
        <v>401</v>
      </c>
      <c r="G152" s="37" t="s">
        <v>400</v>
      </c>
      <c r="H152" t="s">
        <v>400</v>
      </c>
    </row>
    <row r="153" spans="1:8" x14ac:dyDescent="0.2">
      <c r="A153" s="37" t="s">
        <v>68</v>
      </c>
      <c r="B153" s="37" t="s">
        <v>68</v>
      </c>
      <c r="C153" s="37" t="s">
        <v>310</v>
      </c>
      <c r="D153" s="37" t="s">
        <v>54</v>
      </c>
      <c r="E153" s="38">
        <v>-0.04</v>
      </c>
      <c r="F153" s="37" t="s">
        <v>401</v>
      </c>
      <c r="G153" s="37" t="s">
        <v>400</v>
      </c>
      <c r="H153" t="s">
        <v>400</v>
      </c>
    </row>
    <row r="154" spans="1:8" x14ac:dyDescent="0.2">
      <c r="A154" s="37" t="s">
        <v>68</v>
      </c>
      <c r="B154" s="37" t="s">
        <v>68</v>
      </c>
      <c r="C154" s="37" t="s">
        <v>311</v>
      </c>
      <c r="D154" s="37" t="s">
        <v>55</v>
      </c>
      <c r="E154" s="38">
        <v>1</v>
      </c>
      <c r="F154" s="37" t="s">
        <v>398</v>
      </c>
      <c r="G154" s="37" t="s">
        <v>399</v>
      </c>
      <c r="H154" t="s">
        <v>400</v>
      </c>
    </row>
    <row r="155" spans="1:8" x14ac:dyDescent="0.2">
      <c r="A155" s="37" t="s">
        <v>68</v>
      </c>
      <c r="B155" s="37" t="s">
        <v>68</v>
      </c>
      <c r="C155" s="37" t="s">
        <v>311</v>
      </c>
      <c r="D155" s="37" t="s">
        <v>55</v>
      </c>
      <c r="E155" s="38">
        <v>-0.66999999999999993</v>
      </c>
      <c r="F155" s="37" t="s">
        <v>401</v>
      </c>
      <c r="G155" s="37" t="s">
        <v>400</v>
      </c>
      <c r="H155" t="s">
        <v>400</v>
      </c>
    </row>
    <row r="156" spans="1:8" x14ac:dyDescent="0.2">
      <c r="A156" s="37" t="s">
        <v>68</v>
      </c>
      <c r="B156" s="37" t="s">
        <v>68</v>
      </c>
      <c r="C156" s="37" t="s">
        <v>312</v>
      </c>
      <c r="D156" s="37" t="s">
        <v>56</v>
      </c>
      <c r="E156" s="38">
        <v>1.5</v>
      </c>
      <c r="F156" s="37" t="s">
        <v>398</v>
      </c>
      <c r="G156" s="37" t="s">
        <v>399</v>
      </c>
      <c r="H156" t="s">
        <v>400</v>
      </c>
    </row>
    <row r="157" spans="1:8" x14ac:dyDescent="0.2">
      <c r="A157" s="37" t="s">
        <v>68</v>
      </c>
      <c r="B157" s="37" t="s">
        <v>68</v>
      </c>
      <c r="C157" s="37" t="s">
        <v>312</v>
      </c>
      <c r="D157" s="37" t="s">
        <v>56</v>
      </c>
      <c r="E157" s="38">
        <v>1.58</v>
      </c>
      <c r="F157" s="37" t="s">
        <v>401</v>
      </c>
      <c r="G157" s="37" t="s">
        <v>400</v>
      </c>
      <c r="H157" t="s">
        <v>400</v>
      </c>
    </row>
    <row r="158" spans="1:8" x14ac:dyDescent="0.2">
      <c r="A158" s="37" t="s">
        <v>68</v>
      </c>
      <c r="B158" s="37" t="s">
        <v>68</v>
      </c>
      <c r="C158" s="37" t="s">
        <v>277</v>
      </c>
      <c r="D158" s="37" t="s">
        <v>57</v>
      </c>
      <c r="E158" s="38">
        <v>-0.1</v>
      </c>
      <c r="F158" s="37" t="s">
        <v>401</v>
      </c>
      <c r="G158" s="37" t="s">
        <v>400</v>
      </c>
      <c r="H158" t="s">
        <v>400</v>
      </c>
    </row>
    <row r="159" spans="1:8" x14ac:dyDescent="0.2">
      <c r="A159" s="37" t="s">
        <v>68</v>
      </c>
      <c r="B159" s="37" t="s">
        <v>68</v>
      </c>
      <c r="C159" s="37" t="s">
        <v>278</v>
      </c>
      <c r="D159" s="37" t="s">
        <v>58</v>
      </c>
      <c r="E159" s="38">
        <v>-0.1</v>
      </c>
      <c r="F159" s="37" t="s">
        <v>401</v>
      </c>
      <c r="G159" s="37" t="s">
        <v>400</v>
      </c>
      <c r="H159" t="s">
        <v>400</v>
      </c>
    </row>
    <row r="160" spans="1:8" x14ac:dyDescent="0.2">
      <c r="A160" s="37" t="s">
        <v>68</v>
      </c>
      <c r="B160" s="37" t="s">
        <v>68</v>
      </c>
      <c r="C160" s="37" t="s">
        <v>314</v>
      </c>
      <c r="D160" s="37" t="s">
        <v>60</v>
      </c>
      <c r="E160" s="38">
        <v>-0.60199999999999998</v>
      </c>
      <c r="F160" s="37" t="s">
        <v>401</v>
      </c>
      <c r="G160" s="37" t="s">
        <v>400</v>
      </c>
      <c r="H160" t="s">
        <v>400</v>
      </c>
    </row>
    <row r="161" spans="1:8" x14ac:dyDescent="0.2">
      <c r="A161" s="37" t="s">
        <v>68</v>
      </c>
      <c r="B161" s="37" t="s">
        <v>68</v>
      </c>
      <c r="C161" s="37" t="s">
        <v>315</v>
      </c>
      <c r="D161" s="37" t="s">
        <v>61</v>
      </c>
      <c r="E161" s="38">
        <v>-0.43999999999999995</v>
      </c>
      <c r="F161" s="37" t="s">
        <v>401</v>
      </c>
      <c r="G161" s="37" t="s">
        <v>400</v>
      </c>
      <c r="H161" t="s">
        <v>400</v>
      </c>
    </row>
    <row r="162" spans="1:8" x14ac:dyDescent="0.2">
      <c r="A162" s="37" t="s">
        <v>68</v>
      </c>
      <c r="B162" s="37" t="s">
        <v>68</v>
      </c>
      <c r="C162" s="37" t="s">
        <v>316</v>
      </c>
      <c r="D162" s="37" t="s">
        <v>228</v>
      </c>
      <c r="E162" s="38">
        <v>0.15600000000000003</v>
      </c>
      <c r="F162" s="37" t="s">
        <v>401</v>
      </c>
      <c r="G162" s="37" t="s">
        <v>400</v>
      </c>
      <c r="H162" t="s">
        <v>400</v>
      </c>
    </row>
    <row r="163" spans="1:8" x14ac:dyDescent="0.2">
      <c r="A163" s="37" t="s">
        <v>68</v>
      </c>
      <c r="B163" s="37" t="s">
        <v>68</v>
      </c>
      <c r="C163" s="37" t="s">
        <v>317</v>
      </c>
      <c r="D163" s="37" t="s">
        <v>63</v>
      </c>
      <c r="E163" s="38">
        <v>-0.10199999999999999</v>
      </c>
      <c r="F163" s="37" t="s">
        <v>401</v>
      </c>
      <c r="G163" s="37" t="s">
        <v>400</v>
      </c>
      <c r="H163" t="s">
        <v>400</v>
      </c>
    </row>
    <row r="164" spans="1:8" x14ac:dyDescent="0.2">
      <c r="A164" s="37" t="s">
        <v>68</v>
      </c>
      <c r="B164" s="37" t="s">
        <v>68</v>
      </c>
      <c r="C164" s="37" t="s">
        <v>282</v>
      </c>
      <c r="D164" s="37" t="s">
        <v>70</v>
      </c>
      <c r="E164" s="38">
        <v>13.799999999999999</v>
      </c>
      <c r="F164" s="37" t="s">
        <v>401</v>
      </c>
      <c r="G164" s="37" t="s">
        <v>400</v>
      </c>
      <c r="H164" t="s">
        <v>400</v>
      </c>
    </row>
    <row r="165" spans="1:8" x14ac:dyDescent="0.2">
      <c r="A165" s="37" t="s">
        <v>68</v>
      </c>
      <c r="B165" s="37" t="s">
        <v>68</v>
      </c>
      <c r="C165" s="37" t="s">
        <v>398</v>
      </c>
      <c r="D165" s="37" t="s">
        <v>229</v>
      </c>
      <c r="E165" s="38">
        <v>0.1</v>
      </c>
      <c r="F165" s="37" t="s">
        <v>401</v>
      </c>
      <c r="G165" s="37" t="s">
        <v>400</v>
      </c>
      <c r="H165" t="s">
        <v>400</v>
      </c>
    </row>
    <row r="166" spans="1:8" x14ac:dyDescent="0.2">
      <c r="A166" s="37" t="s">
        <v>68</v>
      </c>
      <c r="B166" s="37" t="s">
        <v>68</v>
      </c>
      <c r="C166" s="37" t="s">
        <v>259</v>
      </c>
      <c r="D166" s="37" t="s">
        <v>230</v>
      </c>
      <c r="E166" s="38">
        <v>-0.8</v>
      </c>
      <c r="F166" s="37" t="s">
        <v>401</v>
      </c>
      <c r="G166" s="37" t="s">
        <v>400</v>
      </c>
      <c r="H166" t="s">
        <v>400</v>
      </c>
    </row>
    <row r="167" spans="1:8" x14ac:dyDescent="0.2">
      <c r="A167" s="37" t="s">
        <v>68</v>
      </c>
      <c r="B167" s="37" t="s">
        <v>68</v>
      </c>
      <c r="C167" s="37" t="s">
        <v>390</v>
      </c>
      <c r="D167" s="37" t="s">
        <v>231</v>
      </c>
      <c r="E167" s="38">
        <v>-11.19</v>
      </c>
      <c r="F167" s="37" t="s">
        <v>401</v>
      </c>
      <c r="G167" s="37" t="s">
        <v>400</v>
      </c>
      <c r="H167" t="s">
        <v>400</v>
      </c>
    </row>
    <row r="168" spans="1:8" x14ac:dyDescent="0.2">
      <c r="A168" s="37" t="s">
        <v>68</v>
      </c>
      <c r="B168" s="37" t="s">
        <v>68</v>
      </c>
      <c r="C168" s="37" t="s">
        <v>283</v>
      </c>
      <c r="D168" s="37" t="s">
        <v>232</v>
      </c>
      <c r="E168" s="38">
        <v>1.48</v>
      </c>
      <c r="F168" s="37" t="s">
        <v>401</v>
      </c>
      <c r="G168" s="37" t="s">
        <v>400</v>
      </c>
      <c r="H168" t="s">
        <v>400</v>
      </c>
    </row>
    <row r="169" spans="1:8" x14ac:dyDescent="0.2">
      <c r="A169" s="37" t="s">
        <v>68</v>
      </c>
      <c r="B169" s="37" t="s">
        <v>68</v>
      </c>
      <c r="C169" s="37" t="s">
        <v>284</v>
      </c>
      <c r="D169" s="37" t="s">
        <v>233</v>
      </c>
      <c r="E169" s="38">
        <v>0.4</v>
      </c>
      <c r="F169" s="37" t="s">
        <v>401</v>
      </c>
      <c r="G169" s="37" t="s">
        <v>400</v>
      </c>
      <c r="H169" t="s">
        <v>400</v>
      </c>
    </row>
    <row r="170" spans="1:8" x14ac:dyDescent="0.2">
      <c r="A170" s="37" t="s">
        <v>68</v>
      </c>
      <c r="B170" s="37" t="s">
        <v>68</v>
      </c>
      <c r="C170" s="37" t="s">
        <v>404</v>
      </c>
      <c r="D170" s="37" t="s">
        <v>405</v>
      </c>
      <c r="E170" s="38">
        <v>0.1</v>
      </c>
      <c r="F170" s="37" t="s">
        <v>401</v>
      </c>
      <c r="G170" s="37" t="s">
        <v>400</v>
      </c>
      <c r="H170" t="s">
        <v>400</v>
      </c>
    </row>
    <row r="171" spans="1:8" x14ac:dyDescent="0.2">
      <c r="A171" s="37" t="s">
        <v>68</v>
      </c>
      <c r="B171" s="37" t="s">
        <v>68</v>
      </c>
      <c r="C171" s="37" t="s">
        <v>343</v>
      </c>
      <c r="D171" s="37" t="s">
        <v>234</v>
      </c>
      <c r="E171" s="38">
        <v>1.4</v>
      </c>
      <c r="F171" s="37" t="s">
        <v>401</v>
      </c>
      <c r="G171" s="37" t="s">
        <v>400</v>
      </c>
      <c r="H171" t="s">
        <v>400</v>
      </c>
    </row>
    <row r="172" spans="1:8" x14ac:dyDescent="0.2">
      <c r="A172" s="37" t="s">
        <v>68</v>
      </c>
      <c r="B172" s="37" t="s">
        <v>68</v>
      </c>
      <c r="C172" s="37" t="s">
        <v>344</v>
      </c>
      <c r="D172" s="37" t="s">
        <v>235</v>
      </c>
      <c r="E172" s="38">
        <v>0.4</v>
      </c>
      <c r="F172" s="37" t="s">
        <v>401</v>
      </c>
      <c r="G172" s="37" t="s">
        <v>400</v>
      </c>
      <c r="H172" t="s">
        <v>400</v>
      </c>
    </row>
    <row r="173" spans="1:8" x14ac:dyDescent="0.2">
      <c r="A173" s="37" t="s">
        <v>68</v>
      </c>
      <c r="B173" s="37" t="s">
        <v>68</v>
      </c>
      <c r="C173" s="37" t="s">
        <v>345</v>
      </c>
      <c r="D173" s="37" t="s">
        <v>236</v>
      </c>
      <c r="E173" s="38">
        <v>0.49</v>
      </c>
      <c r="F173" s="37" t="s">
        <v>401</v>
      </c>
      <c r="G173" s="37" t="s">
        <v>400</v>
      </c>
      <c r="H173" t="s">
        <v>400</v>
      </c>
    </row>
    <row r="174" spans="1:8" x14ac:dyDescent="0.2">
      <c r="A174" s="37" t="s">
        <v>68</v>
      </c>
      <c r="B174" s="37" t="s">
        <v>68</v>
      </c>
      <c r="C174" s="37" t="s">
        <v>346</v>
      </c>
      <c r="D174" s="37" t="s">
        <v>237</v>
      </c>
      <c r="E174" s="38">
        <v>0.44</v>
      </c>
      <c r="F174" s="37" t="s">
        <v>401</v>
      </c>
      <c r="G174" s="37" t="s">
        <v>400</v>
      </c>
      <c r="H174" t="s">
        <v>400</v>
      </c>
    </row>
    <row r="175" spans="1:8" x14ac:dyDescent="0.2">
      <c r="A175" s="37" t="s">
        <v>68</v>
      </c>
      <c r="B175" s="37" t="s">
        <v>68</v>
      </c>
      <c r="C175" s="37" t="s">
        <v>263</v>
      </c>
      <c r="D175" s="37" t="s">
        <v>120</v>
      </c>
      <c r="E175" s="38">
        <v>-1.1100000000000023</v>
      </c>
      <c r="F175" s="37" t="s">
        <v>401</v>
      </c>
      <c r="G175" s="37" t="s">
        <v>400</v>
      </c>
      <c r="H175" t="s">
        <v>400</v>
      </c>
    </row>
    <row r="176" spans="1:8" x14ac:dyDescent="0.2">
      <c r="A176" s="37" t="s">
        <v>68</v>
      </c>
      <c r="B176" s="37" t="s">
        <v>68</v>
      </c>
      <c r="C176" s="37" t="s">
        <v>285</v>
      </c>
      <c r="D176" s="37" t="s">
        <v>121</v>
      </c>
      <c r="E176" s="38">
        <v>-3.6999999999999997</v>
      </c>
      <c r="F176" s="37" t="s">
        <v>401</v>
      </c>
      <c r="G176" s="37" t="s">
        <v>400</v>
      </c>
      <c r="H176" t="s">
        <v>400</v>
      </c>
    </row>
    <row r="177" spans="1:8" x14ac:dyDescent="0.2">
      <c r="A177" s="37" t="s">
        <v>68</v>
      </c>
      <c r="B177" s="37" t="s">
        <v>68</v>
      </c>
      <c r="C177" s="37" t="s">
        <v>286</v>
      </c>
      <c r="D177" s="37" t="s">
        <v>122</v>
      </c>
      <c r="E177" s="38">
        <v>-7.9</v>
      </c>
      <c r="F177" s="37" t="s">
        <v>401</v>
      </c>
      <c r="G177" s="37" t="s">
        <v>400</v>
      </c>
      <c r="H177" t="s">
        <v>400</v>
      </c>
    </row>
    <row r="178" spans="1:8" x14ac:dyDescent="0.2">
      <c r="A178" s="37" t="s">
        <v>68</v>
      </c>
      <c r="B178" s="37" t="s">
        <v>68</v>
      </c>
      <c r="C178" s="37" t="s">
        <v>287</v>
      </c>
      <c r="D178" s="37" t="s">
        <v>123</v>
      </c>
      <c r="E178" s="38">
        <v>-5.84</v>
      </c>
      <c r="F178" s="37" t="s">
        <v>401</v>
      </c>
      <c r="G178" s="37" t="s">
        <v>400</v>
      </c>
      <c r="H178" t="s">
        <v>400</v>
      </c>
    </row>
    <row r="179" spans="1:8" x14ac:dyDescent="0.2">
      <c r="A179" s="37" t="s">
        <v>68</v>
      </c>
      <c r="B179" s="37" t="s">
        <v>68</v>
      </c>
      <c r="C179" s="37" t="s">
        <v>319</v>
      </c>
      <c r="D179" s="37" t="s">
        <v>124</v>
      </c>
      <c r="E179" s="38">
        <v>2</v>
      </c>
      <c r="F179" s="37" t="s">
        <v>398</v>
      </c>
      <c r="G179" s="37" t="s">
        <v>399</v>
      </c>
      <c r="H179" t="s">
        <v>400</v>
      </c>
    </row>
    <row r="180" spans="1:8" x14ac:dyDescent="0.2">
      <c r="A180" s="37" t="s">
        <v>68</v>
      </c>
      <c r="B180" s="37" t="s">
        <v>68</v>
      </c>
      <c r="C180" s="37" t="s">
        <v>319</v>
      </c>
      <c r="D180" s="37" t="s">
        <v>124</v>
      </c>
      <c r="E180" s="38">
        <v>0.06</v>
      </c>
      <c r="F180" s="37" t="s">
        <v>401</v>
      </c>
      <c r="G180" s="37" t="s">
        <v>400</v>
      </c>
      <c r="H180" t="s">
        <v>400</v>
      </c>
    </row>
    <row r="181" spans="1:8" x14ac:dyDescent="0.2">
      <c r="A181" s="37" t="s">
        <v>68</v>
      </c>
      <c r="B181" s="37" t="s">
        <v>68</v>
      </c>
      <c r="C181" s="37" t="s">
        <v>320</v>
      </c>
      <c r="D181" s="37" t="s">
        <v>125</v>
      </c>
      <c r="E181" s="38">
        <v>-0.6</v>
      </c>
      <c r="F181" s="37" t="s">
        <v>401</v>
      </c>
      <c r="G181" s="37" t="s">
        <v>400</v>
      </c>
      <c r="H181" t="s">
        <v>400</v>
      </c>
    </row>
    <row r="182" spans="1:8" x14ac:dyDescent="0.2">
      <c r="A182" s="37" t="s">
        <v>68</v>
      </c>
      <c r="B182" s="37" t="s">
        <v>68</v>
      </c>
      <c r="C182" s="37" t="s">
        <v>321</v>
      </c>
      <c r="D182" s="37" t="s">
        <v>126</v>
      </c>
      <c r="E182" s="38">
        <v>-1.0999999999999999E-2</v>
      </c>
      <c r="F182" s="37" t="s">
        <v>401</v>
      </c>
      <c r="G182" s="37" t="s">
        <v>400</v>
      </c>
      <c r="H182" t="s">
        <v>400</v>
      </c>
    </row>
    <row r="183" spans="1:8" x14ac:dyDescent="0.2">
      <c r="A183" s="37" t="s">
        <v>68</v>
      </c>
      <c r="B183" s="37" t="s">
        <v>68</v>
      </c>
      <c r="C183" s="37" t="s">
        <v>355</v>
      </c>
      <c r="D183" s="37" t="s">
        <v>133</v>
      </c>
      <c r="E183" s="38">
        <v>-0.04</v>
      </c>
      <c r="F183" s="37" t="s">
        <v>401</v>
      </c>
      <c r="G183" s="37" t="s">
        <v>400</v>
      </c>
      <c r="H183" t="s">
        <v>400</v>
      </c>
    </row>
    <row r="184" spans="1:8" x14ac:dyDescent="0.2">
      <c r="A184" s="37" t="s">
        <v>68</v>
      </c>
      <c r="B184" s="37" t="s">
        <v>68</v>
      </c>
      <c r="C184" s="37" t="s">
        <v>348</v>
      </c>
      <c r="D184" s="37" t="s">
        <v>242</v>
      </c>
      <c r="E184" s="38">
        <v>-1.7000000000000002</v>
      </c>
      <c r="F184" s="37" t="s">
        <v>401</v>
      </c>
      <c r="G184" s="37" t="s">
        <v>400</v>
      </c>
      <c r="H184" t="s">
        <v>400</v>
      </c>
    </row>
    <row r="185" spans="1:8" x14ac:dyDescent="0.2">
      <c r="A185" s="37" t="s">
        <v>68</v>
      </c>
      <c r="B185" s="37" t="s">
        <v>68</v>
      </c>
      <c r="C185" s="37" t="s">
        <v>374</v>
      </c>
      <c r="D185" s="37" t="s">
        <v>375</v>
      </c>
      <c r="E185" s="38">
        <v>-0.1</v>
      </c>
      <c r="F185" s="37" t="s">
        <v>401</v>
      </c>
      <c r="G185" s="37" t="s">
        <v>400</v>
      </c>
      <c r="H185" t="s">
        <v>400</v>
      </c>
    </row>
    <row r="186" spans="1:8" x14ac:dyDescent="0.2">
      <c r="A186" s="37" t="s">
        <v>68</v>
      </c>
      <c r="B186" s="37" t="s">
        <v>68</v>
      </c>
      <c r="C186" s="37" t="s">
        <v>376</v>
      </c>
      <c r="D186" s="37" t="s">
        <v>244</v>
      </c>
      <c r="E186" s="38">
        <v>-0.30000000000000004</v>
      </c>
      <c r="F186" s="37" t="s">
        <v>401</v>
      </c>
      <c r="G186" s="37" t="s">
        <v>400</v>
      </c>
      <c r="H186" t="s">
        <v>400</v>
      </c>
    </row>
    <row r="187" spans="1:8" x14ac:dyDescent="0.2">
      <c r="A187" s="37" t="s">
        <v>68</v>
      </c>
      <c r="B187" s="37" t="s">
        <v>68</v>
      </c>
      <c r="C187" s="37" t="s">
        <v>406</v>
      </c>
      <c r="D187" s="37" t="s">
        <v>181</v>
      </c>
      <c r="E187" s="38">
        <v>-0.1</v>
      </c>
      <c r="F187" s="37" t="s">
        <v>401</v>
      </c>
      <c r="G187" s="37" t="s">
        <v>400</v>
      </c>
      <c r="H187" t="s">
        <v>400</v>
      </c>
    </row>
    <row r="188" spans="1:8" x14ac:dyDescent="0.2">
      <c r="A188" s="37" t="s">
        <v>68</v>
      </c>
      <c r="B188" s="37" t="s">
        <v>68</v>
      </c>
      <c r="C188" s="37" t="s">
        <v>352</v>
      </c>
      <c r="D188" s="37" t="s">
        <v>185</v>
      </c>
      <c r="E188" s="38">
        <v>0.1</v>
      </c>
      <c r="F188" s="37" t="s">
        <v>401</v>
      </c>
      <c r="G188" s="37" t="s">
        <v>400</v>
      </c>
      <c r="H188" t="s">
        <v>400</v>
      </c>
    </row>
    <row r="189" spans="1:8" x14ac:dyDescent="0.2">
      <c r="A189" s="37" t="s">
        <v>68</v>
      </c>
      <c r="B189" s="37" t="s">
        <v>68</v>
      </c>
      <c r="C189" s="37" t="s">
        <v>288</v>
      </c>
      <c r="D189" s="37" t="s">
        <v>247</v>
      </c>
      <c r="E189" s="38">
        <v>0.1</v>
      </c>
      <c r="F189" s="37" t="s">
        <v>401</v>
      </c>
      <c r="G189" s="37" t="s">
        <v>400</v>
      </c>
      <c r="H189" t="s">
        <v>400</v>
      </c>
    </row>
    <row r="190" spans="1:8" x14ac:dyDescent="0.2">
      <c r="A190" s="37" t="s">
        <v>68</v>
      </c>
      <c r="B190" s="37" t="s">
        <v>68</v>
      </c>
      <c r="C190" s="37" t="s">
        <v>291</v>
      </c>
      <c r="D190" s="37" t="s">
        <v>207</v>
      </c>
      <c r="E190" s="38">
        <v>0.05</v>
      </c>
      <c r="F190" s="37" t="s">
        <v>401</v>
      </c>
      <c r="G190" s="37" t="s">
        <v>400</v>
      </c>
      <c r="H190" t="s">
        <v>400</v>
      </c>
    </row>
    <row r="191" spans="1:8" x14ac:dyDescent="0.2">
      <c r="A191" s="37" t="s">
        <v>68</v>
      </c>
      <c r="B191" s="37" t="s">
        <v>68</v>
      </c>
      <c r="C191" s="37" t="s">
        <v>292</v>
      </c>
      <c r="D191" s="37" t="s">
        <v>208</v>
      </c>
      <c r="E191" s="38">
        <v>0.2</v>
      </c>
      <c r="F191" s="37" t="s">
        <v>401</v>
      </c>
      <c r="G191" s="37" t="s">
        <v>400</v>
      </c>
      <c r="H191" t="s">
        <v>400</v>
      </c>
    </row>
    <row r="192" spans="1:8" x14ac:dyDescent="0.2">
      <c r="A192" s="37" t="s">
        <v>68</v>
      </c>
      <c r="B192" s="37" t="s">
        <v>68</v>
      </c>
      <c r="C192" s="37" t="s">
        <v>293</v>
      </c>
      <c r="D192" s="37" t="s">
        <v>209</v>
      </c>
      <c r="E192" s="38">
        <v>0.17</v>
      </c>
      <c r="F192" s="37" t="s">
        <v>401</v>
      </c>
      <c r="G192" s="37" t="s">
        <v>400</v>
      </c>
      <c r="H192" t="s">
        <v>400</v>
      </c>
    </row>
    <row r="193" spans="1:8" x14ac:dyDescent="0.2">
      <c r="A193" s="37" t="s">
        <v>68</v>
      </c>
      <c r="B193" s="37" t="s">
        <v>68</v>
      </c>
      <c r="C193" s="37" t="s">
        <v>298</v>
      </c>
      <c r="D193" s="37" t="s">
        <v>27</v>
      </c>
      <c r="E193" s="38">
        <v>3</v>
      </c>
      <c r="F193" s="37" t="s">
        <v>407</v>
      </c>
      <c r="G193" s="37" t="s">
        <v>408</v>
      </c>
      <c r="H193" t="s">
        <v>408</v>
      </c>
    </row>
    <row r="194" spans="1:8" x14ac:dyDescent="0.2">
      <c r="A194" s="37" t="s">
        <v>68</v>
      </c>
      <c r="B194" s="37" t="s">
        <v>68</v>
      </c>
      <c r="C194" s="37" t="s">
        <v>299</v>
      </c>
      <c r="D194" s="37" t="s">
        <v>28</v>
      </c>
      <c r="E194" s="38">
        <v>15.34</v>
      </c>
      <c r="F194" s="37" t="s">
        <v>407</v>
      </c>
      <c r="G194" s="37" t="s">
        <v>408</v>
      </c>
      <c r="H194" t="s">
        <v>408</v>
      </c>
    </row>
    <row r="195" spans="1:8" x14ac:dyDescent="0.2">
      <c r="A195" s="37" t="s">
        <v>68</v>
      </c>
      <c r="B195" s="37" t="s">
        <v>68</v>
      </c>
      <c r="C195" s="37" t="s">
        <v>263</v>
      </c>
      <c r="D195" s="37" t="s">
        <v>120</v>
      </c>
      <c r="E195" s="38">
        <v>20.260000000000002</v>
      </c>
      <c r="F195" s="37" t="s">
        <v>407</v>
      </c>
      <c r="G195" s="37" t="s">
        <v>408</v>
      </c>
      <c r="H195" t="s">
        <v>408</v>
      </c>
    </row>
    <row r="196" spans="1:8" x14ac:dyDescent="0.2">
      <c r="A196" s="37" t="s">
        <v>68</v>
      </c>
      <c r="B196" s="37" t="s">
        <v>68</v>
      </c>
      <c r="C196" s="37" t="s">
        <v>409</v>
      </c>
      <c r="D196" s="37" t="s">
        <v>410</v>
      </c>
      <c r="E196" s="38">
        <v>0.5</v>
      </c>
      <c r="F196" s="37" t="s">
        <v>407</v>
      </c>
      <c r="G196" s="37" t="s">
        <v>408</v>
      </c>
      <c r="H196" t="s">
        <v>408</v>
      </c>
    </row>
    <row r="197" spans="1:8" x14ac:dyDescent="0.2">
      <c r="A197" s="37" t="s">
        <v>68</v>
      </c>
      <c r="B197" s="37" t="s">
        <v>68</v>
      </c>
      <c r="C197" s="37" t="s">
        <v>266</v>
      </c>
      <c r="D197" s="37" t="s">
        <v>17</v>
      </c>
      <c r="E197" s="38">
        <v>0.8</v>
      </c>
      <c r="F197" s="37" t="s">
        <v>346</v>
      </c>
      <c r="G197" s="37" t="s">
        <v>411</v>
      </c>
      <c r="H197" t="s">
        <v>412</v>
      </c>
    </row>
    <row r="198" spans="1:8" x14ac:dyDescent="0.2">
      <c r="A198" s="37" t="s">
        <v>68</v>
      </c>
      <c r="B198" s="37" t="s">
        <v>68</v>
      </c>
      <c r="C198" s="37" t="s">
        <v>266</v>
      </c>
      <c r="D198" s="37" t="s">
        <v>17</v>
      </c>
      <c r="E198" s="38">
        <v>12.68</v>
      </c>
      <c r="F198" s="37" t="s">
        <v>413</v>
      </c>
      <c r="G198" s="37" t="s">
        <v>412</v>
      </c>
      <c r="H198" t="s">
        <v>412</v>
      </c>
    </row>
    <row r="199" spans="1:8" x14ac:dyDescent="0.2">
      <c r="A199" s="37" t="s">
        <v>68</v>
      </c>
      <c r="B199" s="37" t="s">
        <v>68</v>
      </c>
      <c r="C199" s="37" t="s">
        <v>260</v>
      </c>
      <c r="D199" s="37" t="s">
        <v>20</v>
      </c>
      <c r="E199" s="38">
        <v>7.18</v>
      </c>
      <c r="F199" s="37" t="s">
        <v>346</v>
      </c>
      <c r="G199" s="37" t="s">
        <v>411</v>
      </c>
      <c r="H199" t="s">
        <v>412</v>
      </c>
    </row>
    <row r="200" spans="1:8" x14ac:dyDescent="0.2">
      <c r="A200" s="37" t="s">
        <v>68</v>
      </c>
      <c r="B200" s="37" t="s">
        <v>68</v>
      </c>
      <c r="C200" s="37" t="s">
        <v>260</v>
      </c>
      <c r="D200" s="37" t="s">
        <v>20</v>
      </c>
      <c r="E200" s="38">
        <v>0.3</v>
      </c>
      <c r="F200" s="37" t="s">
        <v>413</v>
      </c>
      <c r="G200" s="37" t="s">
        <v>412</v>
      </c>
      <c r="H200" t="s">
        <v>412</v>
      </c>
    </row>
    <row r="201" spans="1:8" x14ac:dyDescent="0.2">
      <c r="A201" s="37" t="s">
        <v>68</v>
      </c>
      <c r="B201" s="37" t="s">
        <v>68</v>
      </c>
      <c r="C201" s="37" t="s">
        <v>329</v>
      </c>
      <c r="D201" s="37" t="s">
        <v>21</v>
      </c>
      <c r="E201" s="38">
        <v>6.8000000000000007</v>
      </c>
      <c r="F201" s="37" t="s">
        <v>346</v>
      </c>
      <c r="G201" s="37" t="s">
        <v>411</v>
      </c>
      <c r="H201" t="s">
        <v>412</v>
      </c>
    </row>
    <row r="202" spans="1:8" x14ac:dyDescent="0.2">
      <c r="A202" s="37" t="s">
        <v>68</v>
      </c>
      <c r="B202" s="37" t="s">
        <v>68</v>
      </c>
      <c r="C202" s="37" t="s">
        <v>329</v>
      </c>
      <c r="D202" s="37" t="s">
        <v>21</v>
      </c>
      <c r="E202" s="38">
        <v>10.999999999999998</v>
      </c>
      <c r="F202" s="37" t="s">
        <v>413</v>
      </c>
      <c r="G202" s="37" t="s">
        <v>412</v>
      </c>
      <c r="H202" t="s">
        <v>412</v>
      </c>
    </row>
    <row r="203" spans="1:8" x14ac:dyDescent="0.2">
      <c r="A203" s="37" t="s">
        <v>68</v>
      </c>
      <c r="B203" s="37" t="s">
        <v>68</v>
      </c>
      <c r="C203" s="37" t="s">
        <v>330</v>
      </c>
      <c r="D203" s="37" t="s">
        <v>22</v>
      </c>
      <c r="E203" s="38">
        <v>55.4</v>
      </c>
      <c r="F203" s="37" t="s">
        <v>346</v>
      </c>
      <c r="G203" s="37" t="s">
        <v>411</v>
      </c>
      <c r="H203" t="s">
        <v>412</v>
      </c>
    </row>
    <row r="204" spans="1:8" x14ac:dyDescent="0.2">
      <c r="A204" s="37" t="s">
        <v>68</v>
      </c>
      <c r="B204" s="37" t="s">
        <v>68</v>
      </c>
      <c r="C204" s="37" t="s">
        <v>330</v>
      </c>
      <c r="D204" s="37" t="s">
        <v>22</v>
      </c>
      <c r="E204" s="38">
        <v>46.95000000000001</v>
      </c>
      <c r="F204" s="37" t="s">
        <v>413</v>
      </c>
      <c r="G204" s="37" t="s">
        <v>412</v>
      </c>
      <c r="H204" t="s">
        <v>412</v>
      </c>
    </row>
    <row r="205" spans="1:8" x14ac:dyDescent="0.2">
      <c r="A205" s="37" t="s">
        <v>68</v>
      </c>
      <c r="B205" s="37" t="s">
        <v>68</v>
      </c>
      <c r="C205" s="37" t="s">
        <v>273</v>
      </c>
      <c r="D205" s="37" t="s">
        <v>26</v>
      </c>
      <c r="E205" s="38">
        <v>2.3000000000000003</v>
      </c>
      <c r="F205" s="37" t="s">
        <v>346</v>
      </c>
      <c r="G205" s="37" t="s">
        <v>411</v>
      </c>
      <c r="H205" t="s">
        <v>412</v>
      </c>
    </row>
    <row r="206" spans="1:8" x14ac:dyDescent="0.2">
      <c r="A206" s="37" t="s">
        <v>68</v>
      </c>
      <c r="B206" s="37" t="s">
        <v>68</v>
      </c>
      <c r="C206" s="37" t="s">
        <v>298</v>
      </c>
      <c r="D206" s="37" t="s">
        <v>27</v>
      </c>
      <c r="E206" s="38">
        <v>23.6</v>
      </c>
      <c r="F206" s="37" t="s">
        <v>413</v>
      </c>
      <c r="G206" s="37" t="s">
        <v>412</v>
      </c>
      <c r="H206" t="s">
        <v>412</v>
      </c>
    </row>
    <row r="207" spans="1:8" x14ac:dyDescent="0.2">
      <c r="A207" s="37" t="s">
        <v>68</v>
      </c>
      <c r="B207" s="37" t="s">
        <v>68</v>
      </c>
      <c r="C207" s="37" t="s">
        <v>299</v>
      </c>
      <c r="D207" s="37" t="s">
        <v>28</v>
      </c>
      <c r="E207" s="38">
        <v>27.7</v>
      </c>
      <c r="F207" s="37" t="s">
        <v>413</v>
      </c>
      <c r="G207" s="37" t="s">
        <v>412</v>
      </c>
      <c r="H207" t="s">
        <v>412</v>
      </c>
    </row>
    <row r="208" spans="1:8" x14ac:dyDescent="0.2">
      <c r="A208" s="37" t="s">
        <v>68</v>
      </c>
      <c r="B208" s="37" t="s">
        <v>68</v>
      </c>
      <c r="C208" s="37" t="s">
        <v>300</v>
      </c>
      <c r="D208" s="37" t="s">
        <v>29</v>
      </c>
      <c r="E208" s="38">
        <v>0.21</v>
      </c>
      <c r="F208" s="37" t="s">
        <v>413</v>
      </c>
      <c r="G208" s="37" t="s">
        <v>412</v>
      </c>
      <c r="H208" t="s">
        <v>412</v>
      </c>
    </row>
    <row r="209" spans="1:8" x14ac:dyDescent="0.2">
      <c r="A209" s="37" t="s">
        <v>68</v>
      </c>
      <c r="B209" s="37" t="s">
        <v>68</v>
      </c>
      <c r="C209" s="37" t="s">
        <v>301</v>
      </c>
      <c r="D209" s="37" t="s">
        <v>30</v>
      </c>
      <c r="E209" s="38">
        <v>2.2000000000000002</v>
      </c>
      <c r="F209" s="37" t="s">
        <v>413</v>
      </c>
      <c r="G209" s="37" t="s">
        <v>412</v>
      </c>
      <c r="H209" t="s">
        <v>412</v>
      </c>
    </row>
    <row r="210" spans="1:8" x14ac:dyDescent="0.2">
      <c r="A210" s="37" t="s">
        <v>68</v>
      </c>
      <c r="B210" s="37" t="s">
        <v>68</v>
      </c>
      <c r="C210" s="39" t="s">
        <v>301</v>
      </c>
      <c r="D210" s="39" t="s">
        <v>30</v>
      </c>
      <c r="E210" s="38">
        <v>4.4000000000000004</v>
      </c>
      <c r="F210" s="37" t="s">
        <v>413</v>
      </c>
      <c r="G210" s="37" t="s">
        <v>412</v>
      </c>
      <c r="H210" t="s">
        <v>412</v>
      </c>
    </row>
    <row r="211" spans="1:8" x14ac:dyDescent="0.2">
      <c r="A211" s="37" t="s">
        <v>68</v>
      </c>
      <c r="B211" s="37" t="s">
        <v>68</v>
      </c>
      <c r="C211" s="37" t="s">
        <v>331</v>
      </c>
      <c r="D211" s="37" t="s">
        <v>31</v>
      </c>
      <c r="E211" s="38">
        <v>30.3</v>
      </c>
      <c r="F211" s="37" t="s">
        <v>346</v>
      </c>
      <c r="G211" s="37" t="s">
        <v>411</v>
      </c>
      <c r="H211" t="s">
        <v>412</v>
      </c>
    </row>
    <row r="212" spans="1:8" x14ac:dyDescent="0.2">
      <c r="A212" s="37" t="s">
        <v>68</v>
      </c>
      <c r="B212" s="37" t="s">
        <v>68</v>
      </c>
      <c r="C212" s="37" t="s">
        <v>331</v>
      </c>
      <c r="D212" s="37" t="s">
        <v>31</v>
      </c>
      <c r="E212" s="38">
        <v>1.2</v>
      </c>
      <c r="F212" s="37" t="s">
        <v>413</v>
      </c>
      <c r="G212" s="37" t="s">
        <v>412</v>
      </c>
      <c r="H212" t="s">
        <v>412</v>
      </c>
    </row>
    <row r="213" spans="1:8" x14ac:dyDescent="0.2">
      <c r="A213" s="37" t="s">
        <v>68</v>
      </c>
      <c r="B213" s="37" t="s">
        <v>68</v>
      </c>
      <c r="C213" s="37" t="s">
        <v>332</v>
      </c>
      <c r="D213" s="37" t="s">
        <v>32</v>
      </c>
      <c r="E213" s="38">
        <v>60.9</v>
      </c>
      <c r="F213" s="37" t="s">
        <v>346</v>
      </c>
      <c r="G213" s="37" t="s">
        <v>411</v>
      </c>
      <c r="H213" t="s">
        <v>412</v>
      </c>
    </row>
    <row r="214" spans="1:8" x14ac:dyDescent="0.2">
      <c r="A214" s="37" t="s">
        <v>68</v>
      </c>
      <c r="B214" s="37" t="s">
        <v>68</v>
      </c>
      <c r="C214" s="37" t="s">
        <v>333</v>
      </c>
      <c r="D214" s="37" t="s">
        <v>225</v>
      </c>
      <c r="E214" s="38">
        <v>28.7</v>
      </c>
      <c r="F214" s="37" t="s">
        <v>346</v>
      </c>
      <c r="G214" s="37" t="s">
        <v>411</v>
      </c>
      <c r="H214" t="s">
        <v>412</v>
      </c>
    </row>
    <row r="215" spans="1:8" x14ac:dyDescent="0.2">
      <c r="A215" s="37" t="s">
        <v>68</v>
      </c>
      <c r="B215" s="37" t="s">
        <v>68</v>
      </c>
      <c r="C215" s="37" t="s">
        <v>333</v>
      </c>
      <c r="D215" s="37" t="s">
        <v>225</v>
      </c>
      <c r="E215" s="38">
        <v>1.5399999999999998</v>
      </c>
      <c r="F215" s="37" t="s">
        <v>413</v>
      </c>
      <c r="G215" s="37" t="s">
        <v>412</v>
      </c>
      <c r="H215" t="s">
        <v>412</v>
      </c>
    </row>
    <row r="216" spans="1:8" x14ac:dyDescent="0.2">
      <c r="A216" s="37" t="s">
        <v>68</v>
      </c>
      <c r="B216" s="37" t="s">
        <v>68</v>
      </c>
      <c r="C216" s="37" t="s">
        <v>334</v>
      </c>
      <c r="D216" s="37" t="s">
        <v>34</v>
      </c>
      <c r="E216" s="38">
        <v>5.0999999999999996</v>
      </c>
      <c r="F216" s="37" t="s">
        <v>346</v>
      </c>
      <c r="G216" s="37" t="s">
        <v>411</v>
      </c>
      <c r="H216" t="s">
        <v>412</v>
      </c>
    </row>
    <row r="217" spans="1:8" x14ac:dyDescent="0.2">
      <c r="A217" s="37" t="s">
        <v>68</v>
      </c>
      <c r="B217" s="37" t="s">
        <v>68</v>
      </c>
      <c r="C217" s="37" t="s">
        <v>335</v>
      </c>
      <c r="D217" s="37" t="s">
        <v>35</v>
      </c>
      <c r="E217" s="38">
        <v>15.3</v>
      </c>
      <c r="F217" s="37" t="s">
        <v>346</v>
      </c>
      <c r="G217" s="37" t="s">
        <v>411</v>
      </c>
      <c r="H217" t="s">
        <v>412</v>
      </c>
    </row>
    <row r="218" spans="1:8" x14ac:dyDescent="0.2">
      <c r="A218" s="37" t="s">
        <v>68</v>
      </c>
      <c r="B218" s="37" t="s">
        <v>68</v>
      </c>
      <c r="C218" s="37" t="s">
        <v>336</v>
      </c>
      <c r="D218" s="37" t="s">
        <v>36</v>
      </c>
      <c r="E218" s="38">
        <v>2.4</v>
      </c>
      <c r="F218" s="37" t="s">
        <v>346</v>
      </c>
      <c r="G218" s="37" t="s">
        <v>411</v>
      </c>
      <c r="H218" t="s">
        <v>412</v>
      </c>
    </row>
    <row r="219" spans="1:8" x14ac:dyDescent="0.2">
      <c r="A219" s="37" t="s">
        <v>68</v>
      </c>
      <c r="B219" s="37" t="s">
        <v>68</v>
      </c>
      <c r="C219" s="37" t="s">
        <v>337</v>
      </c>
      <c r="D219" s="37" t="s">
        <v>37</v>
      </c>
      <c r="E219" s="38">
        <v>7.9</v>
      </c>
      <c r="F219" s="37" t="s">
        <v>346</v>
      </c>
      <c r="G219" s="37" t="s">
        <v>411</v>
      </c>
      <c r="H219" t="s">
        <v>412</v>
      </c>
    </row>
    <row r="220" spans="1:8" x14ac:dyDescent="0.2">
      <c r="A220" s="37" t="s">
        <v>68</v>
      </c>
      <c r="B220" s="37" t="s">
        <v>68</v>
      </c>
      <c r="C220" s="37" t="s">
        <v>337</v>
      </c>
      <c r="D220" s="37" t="s">
        <v>37</v>
      </c>
      <c r="E220" s="38">
        <v>0.2</v>
      </c>
      <c r="F220" s="37" t="s">
        <v>413</v>
      </c>
      <c r="G220" s="37" t="s">
        <v>412</v>
      </c>
      <c r="H220" t="s">
        <v>412</v>
      </c>
    </row>
    <row r="221" spans="1:8" x14ac:dyDescent="0.2">
      <c r="A221" s="37" t="s">
        <v>68</v>
      </c>
      <c r="B221" s="37" t="s">
        <v>68</v>
      </c>
      <c r="C221" s="37" t="s">
        <v>338</v>
      </c>
      <c r="D221" s="37" t="s">
        <v>38</v>
      </c>
      <c r="E221" s="38">
        <v>7.73</v>
      </c>
      <c r="F221" s="37" t="s">
        <v>346</v>
      </c>
      <c r="G221" s="37" t="s">
        <v>411</v>
      </c>
      <c r="H221" t="s">
        <v>412</v>
      </c>
    </row>
    <row r="222" spans="1:8" x14ac:dyDescent="0.2">
      <c r="A222" s="37" t="s">
        <v>68</v>
      </c>
      <c r="B222" s="37" t="s">
        <v>68</v>
      </c>
      <c r="C222" s="37" t="s">
        <v>339</v>
      </c>
      <c r="D222" s="37" t="s">
        <v>39</v>
      </c>
      <c r="E222" s="38">
        <v>6.27</v>
      </c>
      <c r="F222" s="37" t="s">
        <v>346</v>
      </c>
      <c r="G222" s="37" t="s">
        <v>411</v>
      </c>
      <c r="H222" t="s">
        <v>412</v>
      </c>
    </row>
    <row r="223" spans="1:8" x14ac:dyDescent="0.2">
      <c r="A223" s="37" t="s">
        <v>68</v>
      </c>
      <c r="B223" s="37" t="s">
        <v>68</v>
      </c>
      <c r="C223" s="37" t="s">
        <v>340</v>
      </c>
      <c r="D223" s="37" t="s">
        <v>40</v>
      </c>
      <c r="E223" s="38">
        <v>6.4700000000000006</v>
      </c>
      <c r="F223" s="37" t="s">
        <v>346</v>
      </c>
      <c r="G223" s="37" t="s">
        <v>411</v>
      </c>
      <c r="H223" t="s">
        <v>412</v>
      </c>
    </row>
    <row r="224" spans="1:8" x14ac:dyDescent="0.2">
      <c r="A224" s="37" t="s">
        <v>68</v>
      </c>
      <c r="B224" s="37" t="s">
        <v>68</v>
      </c>
      <c r="C224" s="37" t="s">
        <v>341</v>
      </c>
      <c r="D224" s="37" t="s">
        <v>41</v>
      </c>
      <c r="E224" s="38">
        <v>19.690000000000001</v>
      </c>
      <c r="F224" s="37" t="s">
        <v>346</v>
      </c>
      <c r="G224" s="37" t="s">
        <v>411</v>
      </c>
      <c r="H224" t="s">
        <v>412</v>
      </c>
    </row>
    <row r="225" spans="1:8" x14ac:dyDescent="0.2">
      <c r="A225" s="37" t="s">
        <v>68</v>
      </c>
      <c r="B225" s="37" t="s">
        <v>68</v>
      </c>
      <c r="C225" s="37" t="s">
        <v>302</v>
      </c>
      <c r="D225" s="37" t="s">
        <v>42</v>
      </c>
      <c r="E225" s="38">
        <v>4.5</v>
      </c>
      <c r="F225" s="37" t="s">
        <v>346</v>
      </c>
      <c r="G225" s="37" t="s">
        <v>411</v>
      </c>
      <c r="H225" t="s">
        <v>412</v>
      </c>
    </row>
    <row r="226" spans="1:8" x14ac:dyDescent="0.2">
      <c r="A226" s="37" t="s">
        <v>68</v>
      </c>
      <c r="B226" s="37" t="s">
        <v>68</v>
      </c>
      <c r="C226" s="37" t="s">
        <v>302</v>
      </c>
      <c r="D226" s="37" t="s">
        <v>42</v>
      </c>
      <c r="E226" s="38">
        <v>0.5</v>
      </c>
      <c r="F226" s="37" t="s">
        <v>413</v>
      </c>
      <c r="G226" s="37" t="s">
        <v>412</v>
      </c>
      <c r="H226" t="s">
        <v>412</v>
      </c>
    </row>
    <row r="227" spans="1:8" x14ac:dyDescent="0.2">
      <c r="A227" s="37" t="s">
        <v>68</v>
      </c>
      <c r="B227" s="37" t="s">
        <v>68</v>
      </c>
      <c r="C227" s="37" t="s">
        <v>274</v>
      </c>
      <c r="D227" s="37" t="s">
        <v>226</v>
      </c>
      <c r="E227" s="38">
        <v>37.199999999999996</v>
      </c>
      <c r="F227" s="37" t="s">
        <v>346</v>
      </c>
      <c r="G227" s="37" t="s">
        <v>411</v>
      </c>
      <c r="H227" t="s">
        <v>412</v>
      </c>
    </row>
    <row r="228" spans="1:8" x14ac:dyDescent="0.2">
      <c r="A228" s="37" t="s">
        <v>68</v>
      </c>
      <c r="B228" s="37" t="s">
        <v>68</v>
      </c>
      <c r="C228" s="37" t="s">
        <v>274</v>
      </c>
      <c r="D228" s="37" t="s">
        <v>226</v>
      </c>
      <c r="E228" s="38">
        <v>0.4</v>
      </c>
      <c r="F228" s="37" t="s">
        <v>413</v>
      </c>
      <c r="G228" s="37" t="s">
        <v>412</v>
      </c>
      <c r="H228" t="s">
        <v>412</v>
      </c>
    </row>
    <row r="229" spans="1:8" x14ac:dyDescent="0.2">
      <c r="A229" s="37" t="s">
        <v>68</v>
      </c>
      <c r="B229" s="37" t="s">
        <v>68</v>
      </c>
      <c r="C229" s="37" t="s">
        <v>303</v>
      </c>
      <c r="D229" s="37" t="s">
        <v>227</v>
      </c>
      <c r="E229" s="38">
        <v>19.3</v>
      </c>
      <c r="F229" s="37" t="s">
        <v>346</v>
      </c>
      <c r="G229" s="37" t="s">
        <v>411</v>
      </c>
      <c r="H229" t="s">
        <v>412</v>
      </c>
    </row>
    <row r="230" spans="1:8" x14ac:dyDescent="0.2">
      <c r="A230" s="37" t="s">
        <v>68</v>
      </c>
      <c r="B230" s="37" t="s">
        <v>68</v>
      </c>
      <c r="C230" s="37" t="s">
        <v>303</v>
      </c>
      <c r="D230" s="37" t="s">
        <v>227</v>
      </c>
      <c r="E230" s="38">
        <v>1.63</v>
      </c>
      <c r="F230" s="37" t="s">
        <v>413</v>
      </c>
      <c r="G230" s="37" t="s">
        <v>412</v>
      </c>
      <c r="H230" t="s">
        <v>412</v>
      </c>
    </row>
    <row r="231" spans="1:8" x14ac:dyDescent="0.2">
      <c r="A231" s="37" t="s">
        <v>68</v>
      </c>
      <c r="B231" s="37" t="s">
        <v>68</v>
      </c>
      <c r="C231" s="37" t="s">
        <v>275</v>
      </c>
      <c r="D231" s="37" t="s">
        <v>45</v>
      </c>
      <c r="E231" s="38">
        <v>1.8</v>
      </c>
      <c r="F231" s="37" t="s">
        <v>346</v>
      </c>
      <c r="G231" s="37" t="s">
        <v>411</v>
      </c>
      <c r="H231" t="s">
        <v>412</v>
      </c>
    </row>
    <row r="232" spans="1:8" x14ac:dyDescent="0.2">
      <c r="A232" s="37" t="s">
        <v>68</v>
      </c>
      <c r="B232" s="37" t="s">
        <v>68</v>
      </c>
      <c r="C232" s="37" t="s">
        <v>304</v>
      </c>
      <c r="D232" s="37" t="s">
        <v>46</v>
      </c>
      <c r="E232" s="38">
        <v>3.5999999999999996</v>
      </c>
      <c r="F232" s="37" t="s">
        <v>346</v>
      </c>
      <c r="G232" s="37" t="s">
        <v>411</v>
      </c>
      <c r="H232" t="s">
        <v>412</v>
      </c>
    </row>
    <row r="233" spans="1:8" x14ac:dyDescent="0.2">
      <c r="A233" s="37" t="s">
        <v>68</v>
      </c>
      <c r="B233" s="37" t="s">
        <v>68</v>
      </c>
      <c r="C233" s="37" t="s">
        <v>304</v>
      </c>
      <c r="D233" s="37" t="s">
        <v>46</v>
      </c>
      <c r="E233" s="38">
        <v>2.25</v>
      </c>
      <c r="F233" s="37" t="s">
        <v>413</v>
      </c>
      <c r="G233" s="37" t="s">
        <v>412</v>
      </c>
      <c r="H233" t="s">
        <v>412</v>
      </c>
    </row>
    <row r="234" spans="1:8" x14ac:dyDescent="0.2">
      <c r="A234" s="37" t="s">
        <v>68</v>
      </c>
      <c r="B234" s="37" t="s">
        <v>68</v>
      </c>
      <c r="C234" s="37" t="s">
        <v>305</v>
      </c>
      <c r="D234" s="37" t="s">
        <v>47</v>
      </c>
      <c r="E234" s="38">
        <v>8.4</v>
      </c>
      <c r="F234" s="37" t="s">
        <v>346</v>
      </c>
      <c r="G234" s="37" t="s">
        <v>411</v>
      </c>
      <c r="H234" t="s">
        <v>412</v>
      </c>
    </row>
    <row r="235" spans="1:8" x14ac:dyDescent="0.2">
      <c r="A235" s="37" t="s">
        <v>68</v>
      </c>
      <c r="B235" s="37" t="s">
        <v>68</v>
      </c>
      <c r="C235" s="37" t="s">
        <v>305</v>
      </c>
      <c r="D235" s="37" t="s">
        <v>47</v>
      </c>
      <c r="E235" s="38">
        <v>2.16</v>
      </c>
      <c r="F235" s="37" t="s">
        <v>413</v>
      </c>
      <c r="G235" s="37" t="s">
        <v>412</v>
      </c>
      <c r="H235" t="s">
        <v>412</v>
      </c>
    </row>
    <row r="236" spans="1:8" x14ac:dyDescent="0.2">
      <c r="A236" s="37" t="s">
        <v>68</v>
      </c>
      <c r="B236" s="37" t="s">
        <v>68</v>
      </c>
      <c r="C236" s="37" t="s">
        <v>308</v>
      </c>
      <c r="D236" s="37" t="s">
        <v>52</v>
      </c>
      <c r="E236" s="38">
        <v>8.9</v>
      </c>
      <c r="F236" s="37" t="s">
        <v>346</v>
      </c>
      <c r="G236" s="37" t="s">
        <v>411</v>
      </c>
      <c r="H236" t="s">
        <v>412</v>
      </c>
    </row>
    <row r="237" spans="1:8" x14ac:dyDescent="0.2">
      <c r="A237" s="37" t="s">
        <v>68</v>
      </c>
      <c r="B237" s="37" t="s">
        <v>68</v>
      </c>
      <c r="C237" s="37" t="s">
        <v>308</v>
      </c>
      <c r="D237" s="37" t="s">
        <v>52</v>
      </c>
      <c r="E237" s="38">
        <v>8.2200000000000006</v>
      </c>
      <c r="F237" s="37" t="s">
        <v>413</v>
      </c>
      <c r="G237" s="37" t="s">
        <v>412</v>
      </c>
      <c r="H237" t="s">
        <v>412</v>
      </c>
    </row>
    <row r="238" spans="1:8" x14ac:dyDescent="0.2">
      <c r="A238" s="37" t="s">
        <v>68</v>
      </c>
      <c r="B238" s="37" t="s">
        <v>68</v>
      </c>
      <c r="C238" s="37" t="s">
        <v>309</v>
      </c>
      <c r="D238" s="37" t="s">
        <v>53</v>
      </c>
      <c r="E238" s="38">
        <v>7.4</v>
      </c>
      <c r="F238" s="37" t="s">
        <v>346</v>
      </c>
      <c r="G238" s="37" t="s">
        <v>411</v>
      </c>
      <c r="H238" t="s">
        <v>412</v>
      </c>
    </row>
    <row r="239" spans="1:8" x14ac:dyDescent="0.2">
      <c r="A239" s="37" t="s">
        <v>68</v>
      </c>
      <c r="B239" s="37" t="s">
        <v>68</v>
      </c>
      <c r="C239" s="37" t="s">
        <v>277</v>
      </c>
      <c r="D239" s="37" t="s">
        <v>57</v>
      </c>
      <c r="E239" s="38">
        <v>8.1</v>
      </c>
      <c r="F239" s="37" t="s">
        <v>346</v>
      </c>
      <c r="G239" s="37" t="s">
        <v>411</v>
      </c>
      <c r="H239" t="s">
        <v>412</v>
      </c>
    </row>
    <row r="240" spans="1:8" x14ac:dyDescent="0.2">
      <c r="A240" s="37" t="s">
        <v>68</v>
      </c>
      <c r="B240" s="37" t="s">
        <v>68</v>
      </c>
      <c r="C240" s="37" t="s">
        <v>278</v>
      </c>
      <c r="D240" s="37" t="s">
        <v>58</v>
      </c>
      <c r="E240" s="38">
        <v>8.1</v>
      </c>
      <c r="F240" s="37" t="s">
        <v>346</v>
      </c>
      <c r="G240" s="37" t="s">
        <v>411</v>
      </c>
      <c r="H240" t="s">
        <v>412</v>
      </c>
    </row>
    <row r="241" spans="1:8" x14ac:dyDescent="0.2">
      <c r="A241" s="37" t="s">
        <v>68</v>
      </c>
      <c r="B241" s="37" t="s">
        <v>68</v>
      </c>
      <c r="C241" s="37" t="s">
        <v>313</v>
      </c>
      <c r="D241" s="37" t="s">
        <v>59</v>
      </c>
      <c r="E241" s="38">
        <v>7.5</v>
      </c>
      <c r="F241" s="37" t="s">
        <v>346</v>
      </c>
      <c r="G241" s="37" t="s">
        <v>411</v>
      </c>
      <c r="H241" t="s">
        <v>412</v>
      </c>
    </row>
    <row r="242" spans="1:8" x14ac:dyDescent="0.2">
      <c r="A242" s="37" t="s">
        <v>68</v>
      </c>
      <c r="B242" s="37" t="s">
        <v>68</v>
      </c>
      <c r="C242" s="37" t="s">
        <v>316</v>
      </c>
      <c r="D242" s="37" t="s">
        <v>228</v>
      </c>
      <c r="E242" s="38">
        <v>1.6</v>
      </c>
      <c r="F242" s="37" t="s">
        <v>346</v>
      </c>
      <c r="G242" s="37" t="s">
        <v>411</v>
      </c>
      <c r="H242" t="s">
        <v>412</v>
      </c>
    </row>
    <row r="243" spans="1:8" x14ac:dyDescent="0.2">
      <c r="A243" s="37" t="s">
        <v>68</v>
      </c>
      <c r="B243" s="37" t="s">
        <v>68</v>
      </c>
      <c r="C243" s="37" t="s">
        <v>316</v>
      </c>
      <c r="D243" s="37" t="s">
        <v>228</v>
      </c>
      <c r="E243" s="38">
        <v>1</v>
      </c>
      <c r="F243" s="37" t="s">
        <v>413</v>
      </c>
      <c r="G243" s="37" t="s">
        <v>412</v>
      </c>
      <c r="H243" t="s">
        <v>412</v>
      </c>
    </row>
    <row r="244" spans="1:8" x14ac:dyDescent="0.2">
      <c r="A244" s="37" t="s">
        <v>68</v>
      </c>
      <c r="B244" s="37" t="s">
        <v>68</v>
      </c>
      <c r="C244" s="37" t="s">
        <v>317</v>
      </c>
      <c r="D244" s="37" t="s">
        <v>63</v>
      </c>
      <c r="E244" s="38">
        <v>1.4</v>
      </c>
      <c r="F244" s="37" t="s">
        <v>346</v>
      </c>
      <c r="G244" s="37" t="s">
        <v>411</v>
      </c>
      <c r="H244" t="s">
        <v>412</v>
      </c>
    </row>
    <row r="245" spans="1:8" x14ac:dyDescent="0.2">
      <c r="A245" s="37" t="s">
        <v>68</v>
      </c>
      <c r="B245" s="37" t="s">
        <v>68</v>
      </c>
      <c r="C245" s="37" t="s">
        <v>279</v>
      </c>
      <c r="D245" s="37" t="s">
        <v>64</v>
      </c>
      <c r="E245" s="38">
        <v>10.4</v>
      </c>
      <c r="F245" s="37" t="s">
        <v>346</v>
      </c>
      <c r="G245" s="37" t="s">
        <v>411</v>
      </c>
      <c r="H245" t="s">
        <v>412</v>
      </c>
    </row>
    <row r="246" spans="1:8" x14ac:dyDescent="0.2">
      <c r="A246" s="37" t="s">
        <v>68</v>
      </c>
      <c r="B246" s="37" t="s">
        <v>68</v>
      </c>
      <c r="C246" s="37" t="s">
        <v>280</v>
      </c>
      <c r="D246" s="37" t="s">
        <v>65</v>
      </c>
      <c r="E246" s="38">
        <v>5.0999999999999996</v>
      </c>
      <c r="F246" s="37" t="s">
        <v>346</v>
      </c>
      <c r="G246" s="37" t="s">
        <v>411</v>
      </c>
      <c r="H246" t="s">
        <v>412</v>
      </c>
    </row>
    <row r="247" spans="1:8" x14ac:dyDescent="0.2">
      <c r="A247" s="37" t="s">
        <v>68</v>
      </c>
      <c r="B247" s="37" t="s">
        <v>68</v>
      </c>
      <c r="C247" s="37" t="s">
        <v>281</v>
      </c>
      <c r="D247" s="37" t="s">
        <v>66</v>
      </c>
      <c r="E247" s="38">
        <v>7.3000000000000007</v>
      </c>
      <c r="F247" s="37" t="s">
        <v>346</v>
      </c>
      <c r="G247" s="37" t="s">
        <v>411</v>
      </c>
      <c r="H247" t="s">
        <v>412</v>
      </c>
    </row>
    <row r="248" spans="1:8" x14ac:dyDescent="0.2">
      <c r="A248" s="37" t="s">
        <v>68</v>
      </c>
      <c r="B248" s="37" t="s">
        <v>68</v>
      </c>
      <c r="C248" s="37" t="s">
        <v>281</v>
      </c>
      <c r="D248" s="37" t="s">
        <v>66</v>
      </c>
      <c r="E248" s="38">
        <v>2.9</v>
      </c>
      <c r="F248" s="37" t="s">
        <v>413</v>
      </c>
      <c r="G248" s="37" t="s">
        <v>412</v>
      </c>
      <c r="H248" t="s">
        <v>412</v>
      </c>
    </row>
    <row r="249" spans="1:8" x14ac:dyDescent="0.2">
      <c r="A249" s="37" t="s">
        <v>68</v>
      </c>
      <c r="B249" s="37" t="s">
        <v>68</v>
      </c>
      <c r="C249" s="37" t="s">
        <v>282</v>
      </c>
      <c r="D249" s="37" t="s">
        <v>70</v>
      </c>
      <c r="E249" s="38">
        <v>144.88</v>
      </c>
      <c r="F249" s="37" t="s">
        <v>413</v>
      </c>
      <c r="G249" s="37" t="s">
        <v>412</v>
      </c>
      <c r="H249" t="s">
        <v>412</v>
      </c>
    </row>
    <row r="250" spans="1:8" x14ac:dyDescent="0.2">
      <c r="A250" s="37" t="s">
        <v>68</v>
      </c>
      <c r="B250" s="37" t="s">
        <v>68</v>
      </c>
      <c r="C250" s="37" t="s">
        <v>259</v>
      </c>
      <c r="D250" s="37" t="s">
        <v>230</v>
      </c>
      <c r="E250" s="38">
        <v>12.1</v>
      </c>
      <c r="F250" s="37" t="s">
        <v>413</v>
      </c>
      <c r="G250" s="37" t="s">
        <v>412</v>
      </c>
      <c r="H250" t="s">
        <v>412</v>
      </c>
    </row>
    <row r="251" spans="1:8" x14ac:dyDescent="0.2">
      <c r="A251" s="37" t="s">
        <v>68</v>
      </c>
      <c r="B251" s="37" t="s">
        <v>68</v>
      </c>
      <c r="C251" s="37" t="s">
        <v>283</v>
      </c>
      <c r="D251" s="37" t="s">
        <v>232</v>
      </c>
      <c r="E251" s="38">
        <v>4.3</v>
      </c>
      <c r="F251" s="37" t="s">
        <v>413</v>
      </c>
      <c r="G251" s="37" t="s">
        <v>412</v>
      </c>
      <c r="H251" t="s">
        <v>412</v>
      </c>
    </row>
    <row r="252" spans="1:8" x14ac:dyDescent="0.2">
      <c r="A252" s="37" t="s">
        <v>68</v>
      </c>
      <c r="B252" s="37" t="s">
        <v>68</v>
      </c>
      <c r="C252" s="37" t="s">
        <v>414</v>
      </c>
      <c r="D252" s="37" t="s">
        <v>415</v>
      </c>
      <c r="E252" s="38">
        <v>31</v>
      </c>
      <c r="F252" s="37" t="s">
        <v>346</v>
      </c>
      <c r="G252" s="37" t="s">
        <v>411</v>
      </c>
      <c r="H252" t="s">
        <v>412</v>
      </c>
    </row>
    <row r="253" spans="1:8" x14ac:dyDescent="0.2">
      <c r="A253" s="37" t="s">
        <v>68</v>
      </c>
      <c r="B253" s="37" t="s">
        <v>68</v>
      </c>
      <c r="C253" s="37" t="s">
        <v>284</v>
      </c>
      <c r="D253" s="37" t="s">
        <v>233</v>
      </c>
      <c r="E253" s="38">
        <v>3.7</v>
      </c>
      <c r="F253" s="37" t="s">
        <v>413</v>
      </c>
      <c r="G253" s="37" t="s">
        <v>412</v>
      </c>
      <c r="H253" t="s">
        <v>412</v>
      </c>
    </row>
    <row r="254" spans="1:8" x14ac:dyDescent="0.2">
      <c r="A254" s="37" t="s">
        <v>68</v>
      </c>
      <c r="B254" s="37" t="s">
        <v>68</v>
      </c>
      <c r="C254" s="37" t="s">
        <v>416</v>
      </c>
      <c r="D254" s="37" t="s">
        <v>417</v>
      </c>
      <c r="E254" s="38">
        <v>4.3</v>
      </c>
      <c r="F254" s="37" t="s">
        <v>346</v>
      </c>
      <c r="G254" s="37" t="s">
        <v>411</v>
      </c>
      <c r="H254" t="s">
        <v>412</v>
      </c>
    </row>
    <row r="255" spans="1:8" x14ac:dyDescent="0.2">
      <c r="A255" s="37" t="s">
        <v>68</v>
      </c>
      <c r="B255" s="37" t="s">
        <v>68</v>
      </c>
      <c r="C255" s="37" t="s">
        <v>416</v>
      </c>
      <c r="D255" s="37" t="s">
        <v>417</v>
      </c>
      <c r="E255" s="38">
        <v>-0.1</v>
      </c>
      <c r="F255" s="37" t="s">
        <v>413</v>
      </c>
      <c r="G255" s="37" t="s">
        <v>412</v>
      </c>
      <c r="H255" t="s">
        <v>412</v>
      </c>
    </row>
    <row r="256" spans="1:8" x14ac:dyDescent="0.2">
      <c r="A256" s="37" t="s">
        <v>68</v>
      </c>
      <c r="B256" s="37" t="s">
        <v>68</v>
      </c>
      <c r="C256" s="37" t="s">
        <v>344</v>
      </c>
      <c r="D256" s="37" t="s">
        <v>235</v>
      </c>
      <c r="E256" s="38">
        <v>0.7</v>
      </c>
      <c r="F256" s="37" t="s">
        <v>346</v>
      </c>
      <c r="G256" s="37" t="s">
        <v>411</v>
      </c>
      <c r="H256" t="s">
        <v>412</v>
      </c>
    </row>
    <row r="257" spans="1:8" x14ac:dyDescent="0.2">
      <c r="A257" s="37" t="s">
        <v>68</v>
      </c>
      <c r="B257" s="37" t="s">
        <v>68</v>
      </c>
      <c r="C257" s="37" t="s">
        <v>345</v>
      </c>
      <c r="D257" s="37" t="s">
        <v>236</v>
      </c>
      <c r="E257" s="38">
        <v>2.81</v>
      </c>
      <c r="F257" s="37" t="s">
        <v>346</v>
      </c>
      <c r="G257" s="37" t="s">
        <v>411</v>
      </c>
      <c r="H257" t="s">
        <v>412</v>
      </c>
    </row>
    <row r="258" spans="1:8" x14ac:dyDescent="0.2">
      <c r="A258" s="37" t="s">
        <v>68</v>
      </c>
      <c r="B258" s="37" t="s">
        <v>68</v>
      </c>
      <c r="C258" s="37" t="s">
        <v>346</v>
      </c>
      <c r="D258" s="37" t="s">
        <v>237</v>
      </c>
      <c r="E258" s="38">
        <v>1.86</v>
      </c>
      <c r="F258" s="37" t="s">
        <v>346</v>
      </c>
      <c r="G258" s="37" t="s">
        <v>411</v>
      </c>
      <c r="H258" t="s">
        <v>412</v>
      </c>
    </row>
    <row r="259" spans="1:8" x14ac:dyDescent="0.2">
      <c r="A259" s="37" t="s">
        <v>68</v>
      </c>
      <c r="B259" s="37" t="s">
        <v>68</v>
      </c>
      <c r="C259" s="37" t="s">
        <v>263</v>
      </c>
      <c r="D259" s="37" t="s">
        <v>120</v>
      </c>
      <c r="E259" s="38">
        <v>29.4</v>
      </c>
      <c r="F259" s="37" t="s">
        <v>413</v>
      </c>
      <c r="G259" s="37" t="s">
        <v>412</v>
      </c>
      <c r="H259" t="s">
        <v>412</v>
      </c>
    </row>
    <row r="260" spans="1:8" x14ac:dyDescent="0.2">
      <c r="A260" s="37" t="s">
        <v>68</v>
      </c>
      <c r="B260" s="37" t="s">
        <v>68</v>
      </c>
      <c r="C260" s="37" t="s">
        <v>320</v>
      </c>
      <c r="D260" s="37" t="s">
        <v>125</v>
      </c>
      <c r="E260" s="38">
        <v>14.3</v>
      </c>
      <c r="F260" s="37" t="s">
        <v>413</v>
      </c>
      <c r="G260" s="37" t="s">
        <v>412</v>
      </c>
      <c r="H260" t="s">
        <v>412</v>
      </c>
    </row>
    <row r="261" spans="1:8" x14ac:dyDescent="0.2">
      <c r="A261" s="37" t="s">
        <v>68</v>
      </c>
      <c r="B261" s="37" t="s">
        <v>68</v>
      </c>
      <c r="C261" s="37" t="s">
        <v>321</v>
      </c>
      <c r="D261" s="37" t="s">
        <v>126</v>
      </c>
      <c r="E261" s="38">
        <v>9.9000000000000005E-2</v>
      </c>
      <c r="F261" s="37" t="s">
        <v>413</v>
      </c>
      <c r="G261" s="37" t="s">
        <v>412</v>
      </c>
      <c r="H261" t="s">
        <v>412</v>
      </c>
    </row>
    <row r="262" spans="1:8" x14ac:dyDescent="0.2">
      <c r="A262" s="37" t="s">
        <v>68</v>
      </c>
      <c r="B262" s="37" t="s">
        <v>68</v>
      </c>
      <c r="C262" s="37" t="s">
        <v>355</v>
      </c>
      <c r="D262" s="37" t="s">
        <v>133</v>
      </c>
      <c r="E262" s="38">
        <v>4.49</v>
      </c>
      <c r="F262" s="37" t="s">
        <v>413</v>
      </c>
      <c r="G262" s="37" t="s">
        <v>412</v>
      </c>
      <c r="H262" t="s">
        <v>412</v>
      </c>
    </row>
    <row r="263" spans="1:8" x14ac:dyDescent="0.2">
      <c r="A263" s="37" t="s">
        <v>68</v>
      </c>
      <c r="B263" s="37" t="s">
        <v>68</v>
      </c>
      <c r="C263" s="37" t="s">
        <v>361</v>
      </c>
      <c r="D263" s="37" t="s">
        <v>144</v>
      </c>
      <c r="E263" s="38">
        <v>14</v>
      </c>
      <c r="F263" s="37" t="s">
        <v>346</v>
      </c>
      <c r="G263" s="37" t="s">
        <v>411</v>
      </c>
      <c r="H263" t="s">
        <v>412</v>
      </c>
    </row>
    <row r="264" spans="1:8" x14ac:dyDescent="0.2">
      <c r="A264" s="37" t="s">
        <v>68</v>
      </c>
      <c r="B264" s="37" t="s">
        <v>68</v>
      </c>
      <c r="C264" s="37" t="s">
        <v>362</v>
      </c>
      <c r="D264" s="37" t="s">
        <v>149</v>
      </c>
      <c r="E264" s="38">
        <v>0.4</v>
      </c>
      <c r="F264" s="37" t="s">
        <v>346</v>
      </c>
      <c r="G264" s="37" t="s">
        <v>411</v>
      </c>
      <c r="H264" t="s">
        <v>412</v>
      </c>
    </row>
    <row r="265" spans="1:8" x14ac:dyDescent="0.2">
      <c r="A265" s="37" t="s">
        <v>68</v>
      </c>
      <c r="B265" s="37" t="s">
        <v>68</v>
      </c>
      <c r="C265" s="37" t="s">
        <v>418</v>
      </c>
      <c r="D265" s="37" t="s">
        <v>153</v>
      </c>
      <c r="E265" s="38">
        <v>9.6</v>
      </c>
      <c r="F265" s="37" t="s">
        <v>413</v>
      </c>
      <c r="G265" s="37" t="s">
        <v>412</v>
      </c>
      <c r="H265" t="s">
        <v>412</v>
      </c>
    </row>
    <row r="266" spans="1:8" x14ac:dyDescent="0.2">
      <c r="A266" s="37" t="s">
        <v>68</v>
      </c>
      <c r="B266" s="37" t="s">
        <v>68</v>
      </c>
      <c r="C266" s="37" t="s">
        <v>419</v>
      </c>
      <c r="D266" s="37" t="s">
        <v>154</v>
      </c>
      <c r="E266" s="38">
        <v>17.100000000000001</v>
      </c>
      <c r="F266" s="37" t="s">
        <v>346</v>
      </c>
      <c r="G266" s="37" t="s">
        <v>411</v>
      </c>
      <c r="H266" t="s">
        <v>412</v>
      </c>
    </row>
    <row r="267" spans="1:8" x14ac:dyDescent="0.2">
      <c r="A267" s="37" t="s">
        <v>68</v>
      </c>
      <c r="B267" s="37" t="s">
        <v>68</v>
      </c>
      <c r="C267" s="37" t="s">
        <v>420</v>
      </c>
      <c r="D267" s="37" t="s">
        <v>421</v>
      </c>
      <c r="E267" s="38">
        <v>4.5999999999999996</v>
      </c>
      <c r="F267" s="37" t="s">
        <v>346</v>
      </c>
      <c r="G267" s="37" t="s">
        <v>411</v>
      </c>
      <c r="H267" t="s">
        <v>412</v>
      </c>
    </row>
    <row r="268" spans="1:8" x14ac:dyDescent="0.2">
      <c r="A268" s="37" t="s">
        <v>68</v>
      </c>
      <c r="B268" s="37" t="s">
        <v>68</v>
      </c>
      <c r="C268" s="37" t="s">
        <v>289</v>
      </c>
      <c r="D268" s="37" t="s">
        <v>290</v>
      </c>
      <c r="E268" s="38">
        <v>4.7</v>
      </c>
      <c r="F268" s="37" t="s">
        <v>346</v>
      </c>
      <c r="G268" s="37" t="s">
        <v>411</v>
      </c>
      <c r="H268" t="s">
        <v>412</v>
      </c>
    </row>
    <row r="269" spans="1:8" x14ac:dyDescent="0.2">
      <c r="A269" s="37" t="s">
        <v>68</v>
      </c>
      <c r="B269" s="37" t="s">
        <v>68</v>
      </c>
      <c r="C269" s="37" t="s">
        <v>292</v>
      </c>
      <c r="D269" s="37" t="s">
        <v>208</v>
      </c>
      <c r="E269" s="38">
        <v>10.1</v>
      </c>
      <c r="F269" s="37" t="s">
        <v>346</v>
      </c>
      <c r="G269" s="37" t="s">
        <v>411</v>
      </c>
      <c r="H269" t="s">
        <v>412</v>
      </c>
    </row>
    <row r="270" spans="1:8" x14ac:dyDescent="0.2">
      <c r="A270" s="37" t="s">
        <v>68</v>
      </c>
      <c r="B270" s="37" t="s">
        <v>68</v>
      </c>
      <c r="C270" s="37" t="s">
        <v>292</v>
      </c>
      <c r="D270" s="37" t="s">
        <v>208</v>
      </c>
      <c r="E270" s="38">
        <v>-0.04</v>
      </c>
      <c r="F270" s="37" t="s">
        <v>413</v>
      </c>
      <c r="G270" s="37" t="s">
        <v>412</v>
      </c>
      <c r="H270" t="s">
        <v>412</v>
      </c>
    </row>
    <row r="271" spans="1:8" x14ac:dyDescent="0.2">
      <c r="A271" s="37" t="s">
        <v>68</v>
      </c>
      <c r="B271" s="37" t="s">
        <v>68</v>
      </c>
      <c r="C271" s="37" t="s">
        <v>293</v>
      </c>
      <c r="D271" s="37" t="s">
        <v>209</v>
      </c>
      <c r="E271" s="38">
        <v>10</v>
      </c>
      <c r="F271" s="37" t="s">
        <v>413</v>
      </c>
      <c r="G271" s="37" t="s">
        <v>412</v>
      </c>
      <c r="H271" t="s">
        <v>412</v>
      </c>
    </row>
    <row r="272" spans="1:8" x14ac:dyDescent="0.2">
      <c r="A272" s="37" t="s">
        <v>68</v>
      </c>
      <c r="B272" s="37" t="s">
        <v>68</v>
      </c>
      <c r="C272" s="37" t="s">
        <v>322</v>
      </c>
      <c r="D272" s="37" t="s">
        <v>248</v>
      </c>
      <c r="E272" s="38">
        <v>0.74</v>
      </c>
      <c r="F272" s="37" t="s">
        <v>346</v>
      </c>
      <c r="G272" s="37" t="s">
        <v>411</v>
      </c>
      <c r="H272" t="s">
        <v>412</v>
      </c>
    </row>
    <row r="273" spans="1:8" x14ac:dyDescent="0.2">
      <c r="A273" s="37" t="s">
        <v>68</v>
      </c>
      <c r="B273" s="37" t="s">
        <v>68</v>
      </c>
      <c r="C273" s="37" t="s">
        <v>323</v>
      </c>
      <c r="D273" s="37" t="s">
        <v>249</v>
      </c>
      <c r="E273" s="38">
        <v>0.74</v>
      </c>
      <c r="F273" s="37" t="s">
        <v>346</v>
      </c>
      <c r="G273" s="37" t="s">
        <v>411</v>
      </c>
      <c r="H273" t="s">
        <v>412</v>
      </c>
    </row>
    <row r="274" spans="1:8" x14ac:dyDescent="0.2">
      <c r="A274" s="37" t="s">
        <v>68</v>
      </c>
      <c r="B274" s="37" t="s">
        <v>68</v>
      </c>
      <c r="C274" s="37" t="s">
        <v>324</v>
      </c>
      <c r="D274" s="37" t="s">
        <v>250</v>
      </c>
      <c r="E274" s="38">
        <v>0.74</v>
      </c>
      <c r="F274" s="37" t="s">
        <v>346</v>
      </c>
      <c r="G274" s="37" t="s">
        <v>411</v>
      </c>
      <c r="H274" t="s">
        <v>412</v>
      </c>
    </row>
    <row r="275" spans="1:8" x14ac:dyDescent="0.2">
      <c r="A275" s="37" t="s">
        <v>68</v>
      </c>
      <c r="B275" s="37" t="s">
        <v>68</v>
      </c>
      <c r="C275" s="37" t="s">
        <v>325</v>
      </c>
      <c r="D275" s="37" t="s">
        <v>251</v>
      </c>
      <c r="E275" s="38">
        <v>0.74</v>
      </c>
      <c r="F275" s="37" t="s">
        <v>346</v>
      </c>
      <c r="G275" s="37" t="s">
        <v>411</v>
      </c>
      <c r="H275" t="s">
        <v>412</v>
      </c>
    </row>
    <row r="276" spans="1:8" x14ac:dyDescent="0.2">
      <c r="A276" s="37" t="s">
        <v>68</v>
      </c>
      <c r="B276" s="37" t="s">
        <v>68</v>
      </c>
      <c r="C276" s="37" t="s">
        <v>326</v>
      </c>
      <c r="D276" s="37" t="s">
        <v>252</v>
      </c>
      <c r="E276" s="38">
        <v>0.74</v>
      </c>
      <c r="F276" s="37" t="s">
        <v>346</v>
      </c>
      <c r="G276" s="37" t="s">
        <v>411</v>
      </c>
      <c r="H276" t="s">
        <v>412</v>
      </c>
    </row>
    <row r="277" spans="1:8" x14ac:dyDescent="0.2">
      <c r="A277" s="37" t="s">
        <v>68</v>
      </c>
      <c r="B277" s="37" t="s">
        <v>68</v>
      </c>
      <c r="C277" s="37" t="s">
        <v>296</v>
      </c>
      <c r="D277" s="37" t="s">
        <v>23</v>
      </c>
      <c r="E277" s="38">
        <v>13</v>
      </c>
      <c r="F277" s="37" t="s">
        <v>345</v>
      </c>
      <c r="G277" s="37" t="s">
        <v>422</v>
      </c>
      <c r="H277" t="s">
        <v>422</v>
      </c>
    </row>
    <row r="278" spans="1:8" x14ac:dyDescent="0.2">
      <c r="A278" s="37" t="s">
        <v>68</v>
      </c>
      <c r="B278" s="37" t="s">
        <v>68</v>
      </c>
      <c r="C278" s="37" t="s">
        <v>299</v>
      </c>
      <c r="D278" s="37" t="s">
        <v>28</v>
      </c>
      <c r="E278" s="38">
        <v>38.799999999999997</v>
      </c>
      <c r="F278" s="37" t="s">
        <v>345</v>
      </c>
      <c r="G278" s="37" t="s">
        <v>422</v>
      </c>
      <c r="H278" t="s">
        <v>422</v>
      </c>
    </row>
    <row r="279" spans="1:8" x14ac:dyDescent="0.55000000000000004">
      <c r="E279"/>
    </row>
    <row r="280" spans="1:8" x14ac:dyDescent="0.55000000000000004">
      <c r="E280"/>
    </row>
    <row r="281" spans="1:8" x14ac:dyDescent="0.55000000000000004">
      <c r="E281"/>
    </row>
    <row r="282" spans="1:8" x14ac:dyDescent="0.55000000000000004">
      <c r="E282"/>
    </row>
    <row r="283" spans="1:8" x14ac:dyDescent="0.55000000000000004">
      <c r="E283"/>
    </row>
    <row r="284" spans="1:8" x14ac:dyDescent="0.55000000000000004">
      <c r="E284"/>
    </row>
    <row r="285" spans="1:8" x14ac:dyDescent="0.55000000000000004">
      <c r="E285"/>
    </row>
    <row r="286" spans="1:8" x14ac:dyDescent="0.55000000000000004">
      <c r="E286"/>
    </row>
    <row r="287" spans="1:8" x14ac:dyDescent="0.55000000000000004">
      <c r="E287"/>
    </row>
    <row r="288" spans="1:8" x14ac:dyDescent="0.55000000000000004">
      <c r="E288"/>
    </row>
    <row r="289" customFormat="1" x14ac:dyDescent="0.55000000000000004"/>
    <row r="290" customFormat="1" x14ac:dyDescent="0.55000000000000004"/>
    <row r="291" customFormat="1" x14ac:dyDescent="0.55000000000000004"/>
    <row r="292" customFormat="1" x14ac:dyDescent="0.55000000000000004"/>
    <row r="293" customFormat="1" x14ac:dyDescent="0.55000000000000004"/>
    <row r="294" customFormat="1" x14ac:dyDescent="0.55000000000000004"/>
    <row r="295" customFormat="1" x14ac:dyDescent="0.55000000000000004"/>
    <row r="296" customFormat="1" x14ac:dyDescent="0.55000000000000004"/>
    <row r="297" customFormat="1" x14ac:dyDescent="0.55000000000000004"/>
    <row r="298" customFormat="1" x14ac:dyDescent="0.55000000000000004"/>
    <row r="299" customFormat="1" x14ac:dyDescent="0.55000000000000004"/>
    <row r="300" customFormat="1" x14ac:dyDescent="0.55000000000000004"/>
    <row r="301" customFormat="1" x14ac:dyDescent="0.55000000000000004"/>
    <row r="302" customFormat="1" x14ac:dyDescent="0.55000000000000004"/>
    <row r="303" customFormat="1" x14ac:dyDescent="0.55000000000000004"/>
    <row r="304" customFormat="1" x14ac:dyDescent="0.55000000000000004"/>
    <row r="305" customFormat="1" x14ac:dyDescent="0.55000000000000004"/>
    <row r="306" customFormat="1" x14ac:dyDescent="0.55000000000000004"/>
    <row r="307" customFormat="1" x14ac:dyDescent="0.55000000000000004"/>
    <row r="308" customFormat="1" x14ac:dyDescent="0.55000000000000004"/>
    <row r="309" customFormat="1" x14ac:dyDescent="0.55000000000000004"/>
    <row r="310" customFormat="1" x14ac:dyDescent="0.55000000000000004"/>
    <row r="311" customFormat="1" x14ac:dyDescent="0.55000000000000004"/>
    <row r="312" customFormat="1" x14ac:dyDescent="0.55000000000000004"/>
    <row r="313" customFormat="1" x14ac:dyDescent="0.55000000000000004"/>
    <row r="314" customFormat="1" x14ac:dyDescent="0.55000000000000004"/>
    <row r="315" customFormat="1" x14ac:dyDescent="0.55000000000000004"/>
    <row r="316" customFormat="1" x14ac:dyDescent="0.55000000000000004"/>
    <row r="317" customFormat="1" x14ac:dyDescent="0.55000000000000004"/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I1143"/>
  <sheetViews>
    <sheetView workbookViewId="0">
      <selection activeCell="G14" sqref="G14"/>
    </sheetView>
  </sheetViews>
  <sheetFormatPr defaultColWidth="8.1640625" defaultRowHeight="18" x14ac:dyDescent="0.55000000000000004"/>
  <cols>
    <col min="1" max="1" width="9.08203125" bestFit="1" customWidth="1"/>
    <col min="2" max="2" width="20.1640625" bestFit="1" customWidth="1"/>
    <col min="3" max="3" width="15.08203125" bestFit="1" customWidth="1"/>
    <col min="5" max="5" width="4.83203125" bestFit="1" customWidth="1"/>
    <col min="8" max="8" width="13.83203125" bestFit="1" customWidth="1"/>
    <col min="9" max="9" width="58" bestFit="1" customWidth="1"/>
  </cols>
  <sheetData>
    <row r="1" spans="1:9" x14ac:dyDescent="0.2">
      <c r="A1" s="30" t="s">
        <v>219</v>
      </c>
      <c r="B1" s="30" t="s">
        <v>2</v>
      </c>
      <c r="C1" s="30" t="s">
        <v>423</v>
      </c>
      <c r="D1" s="41" t="s">
        <v>424</v>
      </c>
      <c r="E1" s="30" t="s">
        <v>221</v>
      </c>
      <c r="F1" s="30" t="s">
        <v>425</v>
      </c>
      <c r="G1" s="30" t="s">
        <v>426</v>
      </c>
      <c r="H1" s="30" t="s">
        <v>427</v>
      </c>
      <c r="I1" s="30" t="s">
        <v>428</v>
      </c>
    </row>
    <row r="2" spans="1:9" x14ac:dyDescent="0.2">
      <c r="A2" s="33" t="s">
        <v>266</v>
      </c>
      <c r="B2" s="33" t="s">
        <v>17</v>
      </c>
      <c r="C2" s="33" t="s">
        <v>429</v>
      </c>
      <c r="D2" s="42">
        <v>0</v>
      </c>
      <c r="E2" s="33" t="s">
        <v>224</v>
      </c>
      <c r="F2" s="34">
        <v>240</v>
      </c>
      <c r="G2" s="34">
        <v>240</v>
      </c>
      <c r="H2" s="33" t="s">
        <v>68</v>
      </c>
      <c r="I2" s="33" t="s">
        <v>68</v>
      </c>
    </row>
    <row r="3" spans="1:9" x14ac:dyDescent="0.2">
      <c r="A3" s="33" t="s">
        <v>266</v>
      </c>
      <c r="B3" s="33" t="s">
        <v>17</v>
      </c>
      <c r="C3" s="33" t="s">
        <v>430</v>
      </c>
      <c r="D3" s="42">
        <v>0</v>
      </c>
      <c r="E3" s="33" t="s">
        <v>224</v>
      </c>
      <c r="F3" s="34">
        <v>2195.1999999999998</v>
      </c>
      <c r="G3" s="34">
        <v>2195.1999999999998</v>
      </c>
      <c r="H3" s="33" t="s">
        <v>68</v>
      </c>
      <c r="I3" s="33" t="s">
        <v>68</v>
      </c>
    </row>
    <row r="4" spans="1:9" x14ac:dyDescent="0.2">
      <c r="A4" s="33" t="s">
        <v>266</v>
      </c>
      <c r="B4" s="33" t="s">
        <v>17</v>
      </c>
      <c r="C4" s="33" t="s">
        <v>431</v>
      </c>
      <c r="D4" s="42">
        <v>0</v>
      </c>
      <c r="E4" s="33" t="s">
        <v>224</v>
      </c>
      <c r="F4" s="34">
        <v>1085.3</v>
      </c>
      <c r="G4" s="34">
        <v>1085.3</v>
      </c>
      <c r="H4" s="33" t="s">
        <v>68</v>
      </c>
      <c r="I4" s="33" t="s">
        <v>68</v>
      </c>
    </row>
    <row r="5" spans="1:9" x14ac:dyDescent="0.2">
      <c r="A5" s="33" t="s">
        <v>266</v>
      </c>
      <c r="B5" s="33" t="s">
        <v>17</v>
      </c>
      <c r="C5" s="33" t="s">
        <v>432</v>
      </c>
      <c r="D5" s="42">
        <v>0</v>
      </c>
      <c r="E5" s="33" t="s">
        <v>224</v>
      </c>
      <c r="F5" s="34">
        <v>2559</v>
      </c>
      <c r="G5" s="34">
        <v>2559</v>
      </c>
      <c r="H5" s="33" t="s">
        <v>68</v>
      </c>
      <c r="I5" s="33" t="s">
        <v>68</v>
      </c>
    </row>
    <row r="6" spans="1:9" x14ac:dyDescent="0.2">
      <c r="A6" s="33" t="s">
        <v>266</v>
      </c>
      <c r="B6" s="33" t="s">
        <v>17</v>
      </c>
      <c r="C6" s="33" t="s">
        <v>433</v>
      </c>
      <c r="D6" s="42">
        <v>0</v>
      </c>
      <c r="E6" s="33" t="s">
        <v>224</v>
      </c>
      <c r="F6" s="34">
        <v>588.70000000000005</v>
      </c>
      <c r="G6" s="34">
        <v>588.70000000000005</v>
      </c>
      <c r="H6" s="33" t="s">
        <v>68</v>
      </c>
      <c r="I6" s="33" t="s">
        <v>68</v>
      </c>
    </row>
    <row r="7" spans="1:9" x14ac:dyDescent="0.2">
      <c r="A7" s="33" t="s">
        <v>266</v>
      </c>
      <c r="B7" s="33" t="s">
        <v>17</v>
      </c>
      <c r="C7" s="33" t="s">
        <v>434</v>
      </c>
      <c r="D7" s="42">
        <v>0</v>
      </c>
      <c r="E7" s="33" t="s">
        <v>224</v>
      </c>
      <c r="F7" s="34">
        <v>607.9</v>
      </c>
      <c r="G7" s="34">
        <v>607.9</v>
      </c>
      <c r="H7" s="33" t="s">
        <v>68</v>
      </c>
      <c r="I7" s="33" t="s">
        <v>68</v>
      </c>
    </row>
    <row r="8" spans="1:9" x14ac:dyDescent="0.2">
      <c r="A8" s="33" t="s">
        <v>266</v>
      </c>
      <c r="B8" s="33" t="s">
        <v>17</v>
      </c>
      <c r="C8" s="33" t="s">
        <v>435</v>
      </c>
      <c r="D8" s="42">
        <v>0</v>
      </c>
      <c r="E8" s="33" t="s">
        <v>224</v>
      </c>
      <c r="F8" s="34">
        <v>4.7</v>
      </c>
      <c r="G8" s="34">
        <v>4.7</v>
      </c>
      <c r="H8" s="33" t="s">
        <v>68</v>
      </c>
      <c r="I8" s="33" t="s">
        <v>68</v>
      </c>
    </row>
    <row r="9" spans="1:9" x14ac:dyDescent="0.2">
      <c r="A9" s="33" t="s">
        <v>266</v>
      </c>
      <c r="B9" s="33" t="s">
        <v>17</v>
      </c>
      <c r="C9" s="33" t="s">
        <v>436</v>
      </c>
      <c r="D9" s="42">
        <v>0</v>
      </c>
      <c r="E9" s="33" t="s">
        <v>224</v>
      </c>
      <c r="F9" s="34">
        <v>160</v>
      </c>
      <c r="G9" s="34">
        <v>160</v>
      </c>
      <c r="H9" s="33" t="s">
        <v>68</v>
      </c>
      <c r="I9" s="33" t="s">
        <v>68</v>
      </c>
    </row>
    <row r="10" spans="1:9" x14ac:dyDescent="0.2">
      <c r="A10" s="33" t="s">
        <v>266</v>
      </c>
      <c r="B10" s="33" t="s">
        <v>17</v>
      </c>
      <c r="C10" s="33" t="s">
        <v>437</v>
      </c>
      <c r="D10" s="42">
        <v>0</v>
      </c>
      <c r="E10" s="33" t="s">
        <v>224</v>
      </c>
      <c r="F10" s="34">
        <v>10</v>
      </c>
      <c r="G10" s="34">
        <v>10</v>
      </c>
      <c r="H10" s="33" t="s">
        <v>68</v>
      </c>
      <c r="I10" s="33" t="s">
        <v>68</v>
      </c>
    </row>
    <row r="11" spans="1:9" x14ac:dyDescent="0.2">
      <c r="A11" s="33" t="s">
        <v>266</v>
      </c>
      <c r="B11" s="33" t="s">
        <v>17</v>
      </c>
      <c r="C11" s="33" t="s">
        <v>438</v>
      </c>
      <c r="D11" s="42">
        <v>-7.1054273576010019E-15</v>
      </c>
      <c r="E11" s="33" t="s">
        <v>224</v>
      </c>
      <c r="F11" s="34">
        <v>30</v>
      </c>
      <c r="G11" s="34">
        <v>30.000000000000007</v>
      </c>
      <c r="H11" s="33" t="s">
        <v>68</v>
      </c>
      <c r="I11" s="33" t="s">
        <v>68</v>
      </c>
    </row>
    <row r="12" spans="1:9" x14ac:dyDescent="0.2">
      <c r="A12" s="33" t="s">
        <v>266</v>
      </c>
      <c r="B12" s="33" t="s">
        <v>17</v>
      </c>
      <c r="C12" s="33" t="s">
        <v>439</v>
      </c>
      <c r="D12" s="42">
        <v>-9.0949470177292824E-13</v>
      </c>
      <c r="E12" s="33" t="s">
        <v>224</v>
      </c>
      <c r="F12" s="34">
        <v>7828</v>
      </c>
      <c r="G12" s="34">
        <v>7828.0000000000009</v>
      </c>
      <c r="H12" s="33" t="s">
        <v>68</v>
      </c>
      <c r="I12" s="33" t="s">
        <v>68</v>
      </c>
    </row>
    <row r="13" spans="1:9" x14ac:dyDescent="0.2">
      <c r="A13" s="33" t="s">
        <v>266</v>
      </c>
      <c r="B13" s="33" t="s">
        <v>17</v>
      </c>
      <c r="C13" s="33" t="s">
        <v>440</v>
      </c>
      <c r="D13" s="42">
        <v>0</v>
      </c>
      <c r="E13" s="33" t="s">
        <v>224</v>
      </c>
      <c r="F13" s="34">
        <v>2200</v>
      </c>
      <c r="G13" s="34">
        <v>2200</v>
      </c>
      <c r="H13" s="33" t="s">
        <v>68</v>
      </c>
      <c r="I13" s="33" t="s">
        <v>68</v>
      </c>
    </row>
    <row r="14" spans="1:9" x14ac:dyDescent="0.2">
      <c r="A14" s="33" t="s">
        <v>266</v>
      </c>
      <c r="B14" s="33" t="s">
        <v>17</v>
      </c>
      <c r="C14" s="33" t="s">
        <v>441</v>
      </c>
      <c r="D14" s="42">
        <v>0</v>
      </c>
      <c r="E14" s="33" t="s">
        <v>224</v>
      </c>
      <c r="F14" s="34">
        <v>2478.6</v>
      </c>
      <c r="G14" s="34">
        <v>2478.6</v>
      </c>
      <c r="H14" s="33" t="s">
        <v>68</v>
      </c>
      <c r="I14" s="33" t="s">
        <v>442</v>
      </c>
    </row>
    <row r="15" spans="1:9" x14ac:dyDescent="0.2">
      <c r="A15" s="33" t="s">
        <v>266</v>
      </c>
      <c r="B15" s="33" t="s">
        <v>17</v>
      </c>
      <c r="C15" s="33" t="s">
        <v>443</v>
      </c>
      <c r="D15" s="42">
        <v>0</v>
      </c>
      <c r="E15" s="33" t="s">
        <v>224</v>
      </c>
      <c r="F15" s="34">
        <v>2097</v>
      </c>
      <c r="G15" s="34">
        <v>2097</v>
      </c>
      <c r="H15" s="33" t="s">
        <v>68</v>
      </c>
      <c r="I15" s="33" t="s">
        <v>68</v>
      </c>
    </row>
    <row r="16" spans="1:9" x14ac:dyDescent="0.2">
      <c r="A16" s="33" t="s">
        <v>266</v>
      </c>
      <c r="B16" s="33" t="s">
        <v>17</v>
      </c>
      <c r="C16" s="33" t="s">
        <v>444</v>
      </c>
      <c r="D16" s="42">
        <v>0</v>
      </c>
      <c r="E16" s="33" t="s">
        <v>224</v>
      </c>
      <c r="F16" s="34">
        <v>11</v>
      </c>
      <c r="G16" s="34">
        <v>11</v>
      </c>
      <c r="H16" s="33" t="s">
        <v>68</v>
      </c>
      <c r="I16" s="33" t="s">
        <v>68</v>
      </c>
    </row>
    <row r="17" spans="1:9" x14ac:dyDescent="0.2">
      <c r="A17" s="33" t="s">
        <v>266</v>
      </c>
      <c r="B17" s="33" t="s">
        <v>17</v>
      </c>
      <c r="C17" s="33" t="s">
        <v>445</v>
      </c>
      <c r="D17" s="42">
        <v>0</v>
      </c>
      <c r="E17" s="33" t="s">
        <v>224</v>
      </c>
      <c r="F17" s="34">
        <v>77</v>
      </c>
      <c r="G17" s="34">
        <v>77</v>
      </c>
      <c r="H17" s="33" t="s">
        <v>68</v>
      </c>
      <c r="I17" s="33" t="s">
        <v>68</v>
      </c>
    </row>
    <row r="18" spans="1:9" x14ac:dyDescent="0.2">
      <c r="A18" s="33" t="s">
        <v>266</v>
      </c>
      <c r="B18" s="33" t="s">
        <v>17</v>
      </c>
      <c r="C18" s="33" t="s">
        <v>446</v>
      </c>
      <c r="D18" s="42">
        <v>9.0949470177292824E-13</v>
      </c>
      <c r="E18" s="33" t="s">
        <v>224</v>
      </c>
      <c r="F18" s="34">
        <v>5178</v>
      </c>
      <c r="G18" s="34">
        <v>5177.9999999999991</v>
      </c>
      <c r="H18" s="33" t="s">
        <v>68</v>
      </c>
      <c r="I18" s="33" t="s">
        <v>442</v>
      </c>
    </row>
    <row r="19" spans="1:9" x14ac:dyDescent="0.2">
      <c r="A19" s="33" t="s">
        <v>266</v>
      </c>
      <c r="B19" s="33" t="s">
        <v>17</v>
      </c>
      <c r="C19" s="33" t="s">
        <v>447</v>
      </c>
      <c r="D19" s="42">
        <v>0</v>
      </c>
      <c r="E19" s="33" t="s">
        <v>224</v>
      </c>
      <c r="F19" s="34">
        <v>2208</v>
      </c>
      <c r="G19" s="34">
        <v>2208</v>
      </c>
      <c r="H19" s="33" t="s">
        <v>68</v>
      </c>
      <c r="I19" s="33" t="s">
        <v>68</v>
      </c>
    </row>
    <row r="20" spans="1:9" x14ac:dyDescent="0.2">
      <c r="A20" s="33" t="s">
        <v>266</v>
      </c>
      <c r="B20" s="33" t="s">
        <v>17</v>
      </c>
      <c r="C20" s="33" t="s">
        <v>448</v>
      </c>
      <c r="D20" s="42">
        <v>9.0949470177292824E-13</v>
      </c>
      <c r="E20" s="33" t="s">
        <v>224</v>
      </c>
      <c r="F20" s="34">
        <v>2144</v>
      </c>
      <c r="G20" s="34">
        <v>2143.9999999999991</v>
      </c>
      <c r="H20" s="33" t="s">
        <v>68</v>
      </c>
      <c r="I20" s="33" t="s">
        <v>68</v>
      </c>
    </row>
    <row r="21" spans="1:9" x14ac:dyDescent="0.2">
      <c r="A21" s="33" t="s">
        <v>266</v>
      </c>
      <c r="B21" s="33" t="s">
        <v>17</v>
      </c>
      <c r="C21" s="33" t="s">
        <v>449</v>
      </c>
      <c r="D21" s="42">
        <v>0</v>
      </c>
      <c r="E21" s="33" t="s">
        <v>224</v>
      </c>
      <c r="F21" s="34">
        <v>5150</v>
      </c>
      <c r="G21" s="34">
        <v>5150</v>
      </c>
      <c r="H21" s="33" t="s">
        <v>68</v>
      </c>
      <c r="I21" s="33" t="s">
        <v>442</v>
      </c>
    </row>
    <row r="22" spans="1:9" x14ac:dyDescent="0.2">
      <c r="A22" s="33" t="s">
        <v>266</v>
      </c>
      <c r="B22" s="33" t="s">
        <v>17</v>
      </c>
      <c r="C22" s="33" t="s">
        <v>450</v>
      </c>
      <c r="D22" s="42">
        <v>9.0949470177292824E-13</v>
      </c>
      <c r="E22" s="33" t="s">
        <v>224</v>
      </c>
      <c r="F22" s="34">
        <v>5155.5</v>
      </c>
      <c r="G22" s="34">
        <v>5155.4999999999991</v>
      </c>
      <c r="H22" s="33" t="s">
        <v>68</v>
      </c>
      <c r="I22" s="33" t="s">
        <v>442</v>
      </c>
    </row>
    <row r="23" spans="1:9" x14ac:dyDescent="0.2">
      <c r="A23" s="33" t="s">
        <v>266</v>
      </c>
      <c r="B23" s="33" t="s">
        <v>17</v>
      </c>
      <c r="C23" s="33" t="s">
        <v>451</v>
      </c>
      <c r="D23" s="42">
        <v>-4.5474735088646412E-13</v>
      </c>
      <c r="E23" s="33" t="s">
        <v>224</v>
      </c>
      <c r="F23" s="34">
        <v>2141.5</v>
      </c>
      <c r="G23" s="34">
        <v>2141.5000000000005</v>
      </c>
      <c r="H23" s="33" t="s">
        <v>68</v>
      </c>
      <c r="I23" s="33" t="s">
        <v>68</v>
      </c>
    </row>
    <row r="24" spans="1:9" x14ac:dyDescent="0.2">
      <c r="A24" s="33" t="s">
        <v>266</v>
      </c>
      <c r="B24" s="33" t="s">
        <v>17</v>
      </c>
      <c r="C24" s="33" t="s">
        <v>452</v>
      </c>
      <c r="D24" s="42">
        <v>-4.5474735088646412E-13</v>
      </c>
      <c r="E24" s="33" t="s">
        <v>224</v>
      </c>
      <c r="F24" s="34">
        <v>2734.2</v>
      </c>
      <c r="G24" s="34">
        <v>2734.2000000000003</v>
      </c>
      <c r="H24" s="33" t="s">
        <v>68</v>
      </c>
      <c r="I24" s="33" t="s">
        <v>68</v>
      </c>
    </row>
    <row r="25" spans="1:9" x14ac:dyDescent="0.2">
      <c r="A25" s="33" t="s">
        <v>266</v>
      </c>
      <c r="B25" s="33" t="s">
        <v>17</v>
      </c>
      <c r="C25" s="33" t="s">
        <v>453</v>
      </c>
      <c r="D25" s="42">
        <v>0</v>
      </c>
      <c r="E25" s="33" t="s">
        <v>224</v>
      </c>
      <c r="F25" s="34">
        <v>2578.6999999999998</v>
      </c>
      <c r="G25" s="34">
        <v>2578.6999999999998</v>
      </c>
      <c r="H25" s="33" t="s">
        <v>68</v>
      </c>
      <c r="I25" s="33" t="s">
        <v>442</v>
      </c>
    </row>
    <row r="26" spans="1:9" x14ac:dyDescent="0.2">
      <c r="A26" s="33" t="s">
        <v>266</v>
      </c>
      <c r="B26" s="33" t="s">
        <v>17</v>
      </c>
      <c r="C26" s="33" t="s">
        <v>454</v>
      </c>
      <c r="D26" s="42">
        <v>0</v>
      </c>
      <c r="E26" s="33" t="s">
        <v>224</v>
      </c>
      <c r="F26" s="34">
        <v>163.19999999999999</v>
      </c>
      <c r="G26" s="34">
        <v>163.19999999999999</v>
      </c>
      <c r="H26" s="33" t="s">
        <v>68</v>
      </c>
      <c r="I26" s="33" t="s">
        <v>68</v>
      </c>
    </row>
    <row r="27" spans="1:9" x14ac:dyDescent="0.2">
      <c r="A27" s="33" t="s">
        <v>266</v>
      </c>
      <c r="B27" s="33" t="s">
        <v>17</v>
      </c>
      <c r="C27" s="33" t="s">
        <v>455</v>
      </c>
      <c r="D27" s="42">
        <v>0</v>
      </c>
      <c r="E27" s="33" t="s">
        <v>224</v>
      </c>
      <c r="F27" s="34">
        <v>5472.5</v>
      </c>
      <c r="G27" s="34">
        <v>5472.5</v>
      </c>
      <c r="H27" s="33" t="s">
        <v>68</v>
      </c>
      <c r="I27" s="33" t="s">
        <v>442</v>
      </c>
    </row>
    <row r="28" spans="1:9" x14ac:dyDescent="0.2">
      <c r="A28" s="33" t="s">
        <v>266</v>
      </c>
      <c r="B28" s="33" t="s">
        <v>17</v>
      </c>
      <c r="C28" s="33" t="s">
        <v>456</v>
      </c>
      <c r="D28" s="42">
        <v>2.2737367544323206E-13</v>
      </c>
      <c r="E28" s="33" t="s">
        <v>224</v>
      </c>
      <c r="F28" s="34">
        <v>1235.7</v>
      </c>
      <c r="G28" s="34">
        <v>1235.6999999999998</v>
      </c>
      <c r="H28" s="33" t="s">
        <v>68</v>
      </c>
      <c r="I28" s="33" t="s">
        <v>442</v>
      </c>
    </row>
    <row r="29" spans="1:9" x14ac:dyDescent="0.2">
      <c r="A29" s="33" t="s">
        <v>266</v>
      </c>
      <c r="B29" s="33" t="s">
        <v>17</v>
      </c>
      <c r="C29" s="33" t="s">
        <v>457</v>
      </c>
      <c r="D29" s="42">
        <v>0</v>
      </c>
      <c r="E29" s="33" t="s">
        <v>224</v>
      </c>
      <c r="F29" s="34">
        <v>4494.7</v>
      </c>
      <c r="G29" s="34">
        <v>4494.7</v>
      </c>
      <c r="H29" s="33" t="s">
        <v>68</v>
      </c>
      <c r="I29" s="33" t="s">
        <v>442</v>
      </c>
    </row>
    <row r="30" spans="1:9" x14ac:dyDescent="0.2">
      <c r="A30" s="33" t="s">
        <v>266</v>
      </c>
      <c r="B30" s="33" t="s">
        <v>17</v>
      </c>
      <c r="C30" s="33" t="s">
        <v>458</v>
      </c>
      <c r="D30" s="42">
        <v>-9.0949470177292824E-13</v>
      </c>
      <c r="E30" s="33" t="s">
        <v>224</v>
      </c>
      <c r="F30" s="34">
        <v>5292.5</v>
      </c>
      <c r="G30" s="34">
        <v>5292.5000000000009</v>
      </c>
      <c r="H30" s="33" t="s">
        <v>68</v>
      </c>
      <c r="I30" s="33" t="s">
        <v>442</v>
      </c>
    </row>
    <row r="31" spans="1:9" x14ac:dyDescent="0.2">
      <c r="A31" s="33" t="s">
        <v>266</v>
      </c>
      <c r="B31" s="33" t="s">
        <v>17</v>
      </c>
      <c r="C31" s="33" t="s">
        <v>459</v>
      </c>
      <c r="D31" s="42">
        <v>-2.2737367544323206E-13</v>
      </c>
      <c r="E31" s="33" t="s">
        <v>224</v>
      </c>
      <c r="F31" s="34">
        <v>1215</v>
      </c>
      <c r="G31" s="34">
        <v>1215.0000000000002</v>
      </c>
      <c r="H31" s="33" t="s">
        <v>68</v>
      </c>
      <c r="I31" s="33" t="s">
        <v>68</v>
      </c>
    </row>
    <row r="32" spans="1:9" x14ac:dyDescent="0.2">
      <c r="A32" s="33" t="s">
        <v>266</v>
      </c>
      <c r="B32" s="33" t="s">
        <v>17</v>
      </c>
      <c r="C32" s="33" t="s">
        <v>460</v>
      </c>
      <c r="D32" s="42">
        <v>-2.2737367544323206E-13</v>
      </c>
      <c r="E32" s="33" t="s">
        <v>224</v>
      </c>
      <c r="F32" s="34">
        <v>1719.3</v>
      </c>
      <c r="G32" s="34">
        <v>1719.3000000000002</v>
      </c>
      <c r="H32" s="33" t="s">
        <v>68</v>
      </c>
      <c r="I32" s="33" t="s">
        <v>461</v>
      </c>
    </row>
    <row r="33" spans="1:9" x14ac:dyDescent="0.2">
      <c r="A33" s="33" t="s">
        <v>260</v>
      </c>
      <c r="B33" s="33" t="s">
        <v>20</v>
      </c>
      <c r="C33" s="33" t="s">
        <v>462</v>
      </c>
      <c r="D33" s="42">
        <v>0</v>
      </c>
      <c r="E33" s="33" t="s">
        <v>224</v>
      </c>
      <c r="F33" s="34">
        <v>302</v>
      </c>
      <c r="G33" s="34">
        <v>302</v>
      </c>
      <c r="H33" s="33" t="s">
        <v>68</v>
      </c>
      <c r="I33" s="33" t="s">
        <v>68</v>
      </c>
    </row>
    <row r="34" spans="1:9" x14ac:dyDescent="0.2">
      <c r="A34" s="33" t="s">
        <v>260</v>
      </c>
      <c r="B34" s="33" t="s">
        <v>20</v>
      </c>
      <c r="C34" s="33" t="s">
        <v>463</v>
      </c>
      <c r="D34" s="42">
        <v>0</v>
      </c>
      <c r="E34" s="33" t="s">
        <v>224</v>
      </c>
      <c r="F34" s="34">
        <v>14</v>
      </c>
      <c r="G34" s="34">
        <v>14</v>
      </c>
      <c r="H34" s="33" t="s">
        <v>68</v>
      </c>
      <c r="I34" s="33" t="s">
        <v>464</v>
      </c>
    </row>
    <row r="35" spans="1:9" x14ac:dyDescent="0.2">
      <c r="A35" s="33" t="s">
        <v>260</v>
      </c>
      <c r="B35" s="33" t="s">
        <v>20</v>
      </c>
      <c r="C35" s="33" t="s">
        <v>465</v>
      </c>
      <c r="D35" s="42">
        <v>0</v>
      </c>
      <c r="E35" s="33" t="s">
        <v>224</v>
      </c>
      <c r="F35" s="34">
        <v>10</v>
      </c>
      <c r="G35" s="34">
        <v>10</v>
      </c>
      <c r="H35" s="33" t="s">
        <v>68</v>
      </c>
      <c r="I35" s="33" t="s">
        <v>68</v>
      </c>
    </row>
    <row r="36" spans="1:9" x14ac:dyDescent="0.2">
      <c r="A36" s="33" t="s">
        <v>260</v>
      </c>
      <c r="B36" s="33" t="s">
        <v>20</v>
      </c>
      <c r="C36" s="33" t="s">
        <v>466</v>
      </c>
      <c r="D36" s="42">
        <v>-5.6843418860808015E-14</v>
      </c>
      <c r="E36" s="33" t="s">
        <v>224</v>
      </c>
      <c r="F36" s="34">
        <v>332.4</v>
      </c>
      <c r="G36" s="34">
        <v>332.40000000000003</v>
      </c>
      <c r="H36" s="33" t="s">
        <v>68</v>
      </c>
      <c r="I36" s="33" t="s">
        <v>68</v>
      </c>
    </row>
    <row r="37" spans="1:9" x14ac:dyDescent="0.2">
      <c r="A37" s="33" t="s">
        <v>260</v>
      </c>
      <c r="B37" s="33" t="s">
        <v>20</v>
      </c>
      <c r="C37" s="33" t="s">
        <v>467</v>
      </c>
      <c r="D37" s="42">
        <v>1.1368683772161603E-13</v>
      </c>
      <c r="E37" s="33" t="s">
        <v>224</v>
      </c>
      <c r="F37" s="34">
        <v>352.5</v>
      </c>
      <c r="G37" s="34">
        <v>352.49999999999989</v>
      </c>
      <c r="H37" s="33" t="s">
        <v>68</v>
      </c>
      <c r="I37" s="33" t="s">
        <v>68</v>
      </c>
    </row>
    <row r="38" spans="1:9" x14ac:dyDescent="0.2">
      <c r="A38" s="33" t="s">
        <v>260</v>
      </c>
      <c r="B38" s="33" t="s">
        <v>20</v>
      </c>
      <c r="C38" s="33" t="s">
        <v>468</v>
      </c>
      <c r="D38" s="42">
        <v>0</v>
      </c>
      <c r="E38" s="33" t="s">
        <v>224</v>
      </c>
      <c r="F38" s="34">
        <v>347.5</v>
      </c>
      <c r="G38" s="34">
        <v>347.5</v>
      </c>
      <c r="H38" s="33" t="s">
        <v>68</v>
      </c>
      <c r="I38" s="33" t="s">
        <v>68</v>
      </c>
    </row>
    <row r="39" spans="1:9" x14ac:dyDescent="0.2">
      <c r="A39" s="33" t="s">
        <v>260</v>
      </c>
      <c r="B39" s="33" t="s">
        <v>20</v>
      </c>
      <c r="C39" s="33" t="s">
        <v>469</v>
      </c>
      <c r="D39" s="42">
        <v>-8.8817841970012523E-16</v>
      </c>
      <c r="E39" s="33" t="s">
        <v>224</v>
      </c>
      <c r="F39" s="34">
        <v>4.5999999999999996</v>
      </c>
      <c r="G39" s="34">
        <v>4.6000000000000005</v>
      </c>
      <c r="H39" s="33" t="s">
        <v>68</v>
      </c>
      <c r="I39" s="33" t="s">
        <v>68</v>
      </c>
    </row>
    <row r="40" spans="1:9" x14ac:dyDescent="0.2">
      <c r="A40" s="33" t="s">
        <v>260</v>
      </c>
      <c r="B40" s="33" t="s">
        <v>20</v>
      </c>
      <c r="C40" s="33" t="s">
        <v>470</v>
      </c>
      <c r="D40" s="42">
        <v>-2.8421709430404007E-14</v>
      </c>
      <c r="E40" s="33" t="s">
        <v>224</v>
      </c>
      <c r="F40" s="34">
        <v>224.1</v>
      </c>
      <c r="G40" s="34">
        <v>224.10000000000002</v>
      </c>
      <c r="H40" s="33" t="s">
        <v>68</v>
      </c>
      <c r="I40" s="33" t="s">
        <v>68</v>
      </c>
    </row>
    <row r="41" spans="1:9" x14ac:dyDescent="0.2">
      <c r="A41" s="33" t="s">
        <v>329</v>
      </c>
      <c r="B41" s="33" t="s">
        <v>21</v>
      </c>
      <c r="C41" s="33" t="s">
        <v>436</v>
      </c>
      <c r="D41" s="42">
        <v>0</v>
      </c>
      <c r="E41" s="33" t="s">
        <v>224</v>
      </c>
      <c r="F41" s="34">
        <v>40</v>
      </c>
      <c r="G41" s="34">
        <v>40</v>
      </c>
      <c r="H41" s="33" t="s">
        <v>68</v>
      </c>
      <c r="I41" s="33" t="s">
        <v>68</v>
      </c>
    </row>
    <row r="42" spans="1:9" x14ac:dyDescent="0.2">
      <c r="A42" s="33" t="s">
        <v>329</v>
      </c>
      <c r="B42" s="33" t="s">
        <v>21</v>
      </c>
      <c r="C42" s="33" t="s">
        <v>471</v>
      </c>
      <c r="D42" s="42">
        <v>0</v>
      </c>
      <c r="E42" s="33" t="s">
        <v>224</v>
      </c>
      <c r="F42" s="34">
        <v>64</v>
      </c>
      <c r="G42" s="34">
        <v>64</v>
      </c>
      <c r="H42" s="33" t="s">
        <v>68</v>
      </c>
      <c r="I42" s="33" t="s">
        <v>68</v>
      </c>
    </row>
    <row r="43" spans="1:9" x14ac:dyDescent="0.2">
      <c r="A43" s="33" t="s">
        <v>329</v>
      </c>
      <c r="B43" s="33" t="s">
        <v>21</v>
      </c>
      <c r="C43" s="33" t="s">
        <v>472</v>
      </c>
      <c r="D43" s="42">
        <v>0</v>
      </c>
      <c r="E43" s="33" t="s">
        <v>224</v>
      </c>
      <c r="F43" s="34">
        <v>52</v>
      </c>
      <c r="G43" s="34">
        <v>52</v>
      </c>
      <c r="H43" s="33" t="s">
        <v>68</v>
      </c>
      <c r="I43" s="33" t="s">
        <v>473</v>
      </c>
    </row>
    <row r="44" spans="1:9" x14ac:dyDescent="0.2">
      <c r="A44" s="33" t="s">
        <v>329</v>
      </c>
      <c r="B44" s="33" t="s">
        <v>21</v>
      </c>
      <c r="C44" s="33" t="s">
        <v>474</v>
      </c>
      <c r="D44" s="42">
        <v>0</v>
      </c>
      <c r="E44" s="33" t="s">
        <v>224</v>
      </c>
      <c r="F44" s="34">
        <v>26</v>
      </c>
      <c r="G44" s="34">
        <v>26</v>
      </c>
      <c r="H44" s="33" t="s">
        <v>68</v>
      </c>
      <c r="I44" s="33" t="s">
        <v>475</v>
      </c>
    </row>
    <row r="45" spans="1:9" x14ac:dyDescent="0.2">
      <c r="A45" s="33" t="s">
        <v>329</v>
      </c>
      <c r="B45" s="33" t="s">
        <v>21</v>
      </c>
      <c r="C45" s="33" t="s">
        <v>476</v>
      </c>
      <c r="D45" s="42">
        <v>0</v>
      </c>
      <c r="E45" s="33" t="s">
        <v>224</v>
      </c>
      <c r="F45" s="34">
        <v>26</v>
      </c>
      <c r="G45" s="34">
        <v>26</v>
      </c>
      <c r="H45" s="33" t="s">
        <v>68</v>
      </c>
      <c r="I45" s="33" t="s">
        <v>477</v>
      </c>
    </row>
    <row r="46" spans="1:9" x14ac:dyDescent="0.2">
      <c r="A46" s="33" t="s">
        <v>329</v>
      </c>
      <c r="B46" s="33" t="s">
        <v>21</v>
      </c>
      <c r="C46" s="33" t="s">
        <v>478</v>
      </c>
      <c r="D46" s="42">
        <v>0</v>
      </c>
      <c r="E46" s="33" t="s">
        <v>224</v>
      </c>
      <c r="F46" s="34">
        <v>2560</v>
      </c>
      <c r="G46" s="34">
        <v>2560</v>
      </c>
      <c r="H46" s="33" t="s">
        <v>68</v>
      </c>
      <c r="I46" s="33" t="s">
        <v>68</v>
      </c>
    </row>
    <row r="47" spans="1:9" x14ac:dyDescent="0.2">
      <c r="A47" s="33" t="s">
        <v>329</v>
      </c>
      <c r="B47" s="33" t="s">
        <v>21</v>
      </c>
      <c r="C47" s="33" t="s">
        <v>479</v>
      </c>
      <c r="D47" s="42">
        <v>2.2737367544323206E-13</v>
      </c>
      <c r="E47" s="33" t="s">
        <v>224</v>
      </c>
      <c r="F47" s="34">
        <v>1885</v>
      </c>
      <c r="G47" s="34">
        <v>1884.9999999999998</v>
      </c>
      <c r="H47" s="33" t="s">
        <v>68</v>
      </c>
      <c r="I47" s="33" t="s">
        <v>68</v>
      </c>
    </row>
    <row r="48" spans="1:9" x14ac:dyDescent="0.2">
      <c r="A48" s="33" t="s">
        <v>329</v>
      </c>
      <c r="B48" s="33" t="s">
        <v>21</v>
      </c>
      <c r="C48" s="33" t="s">
        <v>440</v>
      </c>
      <c r="D48" s="42">
        <v>1.4210854715202004E-14</v>
      </c>
      <c r="E48" s="33" t="s">
        <v>224</v>
      </c>
      <c r="F48" s="34">
        <v>104</v>
      </c>
      <c r="G48" s="34">
        <v>103.99999999999999</v>
      </c>
      <c r="H48" s="33" t="s">
        <v>68</v>
      </c>
      <c r="I48" s="33" t="s">
        <v>68</v>
      </c>
    </row>
    <row r="49" spans="1:9" x14ac:dyDescent="0.2">
      <c r="A49" s="33" t="s">
        <v>329</v>
      </c>
      <c r="B49" s="33" t="s">
        <v>21</v>
      </c>
      <c r="C49" s="33" t="s">
        <v>480</v>
      </c>
      <c r="D49" s="42">
        <v>0</v>
      </c>
      <c r="E49" s="33" t="s">
        <v>224</v>
      </c>
      <c r="F49" s="34">
        <v>108</v>
      </c>
      <c r="G49" s="34">
        <v>108</v>
      </c>
      <c r="H49" s="33" t="s">
        <v>68</v>
      </c>
      <c r="I49" s="33" t="s">
        <v>68</v>
      </c>
    </row>
    <row r="50" spans="1:9" x14ac:dyDescent="0.2">
      <c r="A50" s="33" t="s">
        <v>329</v>
      </c>
      <c r="B50" s="33" t="s">
        <v>21</v>
      </c>
      <c r="C50" s="33" t="s">
        <v>481</v>
      </c>
      <c r="D50" s="42">
        <v>1.4210854715202004E-14</v>
      </c>
      <c r="E50" s="33" t="s">
        <v>224</v>
      </c>
      <c r="F50" s="34">
        <v>71</v>
      </c>
      <c r="G50" s="34">
        <v>70.999999999999986</v>
      </c>
      <c r="H50" s="33" t="s">
        <v>68</v>
      </c>
      <c r="I50" s="33" t="s">
        <v>68</v>
      </c>
    </row>
    <row r="51" spans="1:9" x14ac:dyDescent="0.2">
      <c r="A51" s="33" t="s">
        <v>329</v>
      </c>
      <c r="B51" s="33" t="s">
        <v>21</v>
      </c>
      <c r="C51" s="33" t="s">
        <v>482</v>
      </c>
      <c r="D51" s="42">
        <v>-4.5474735088646412E-13</v>
      </c>
      <c r="E51" s="33" t="s">
        <v>224</v>
      </c>
      <c r="F51" s="34">
        <v>2600</v>
      </c>
      <c r="G51" s="34">
        <v>2600.0000000000005</v>
      </c>
      <c r="H51" s="33" t="s">
        <v>68</v>
      </c>
      <c r="I51" s="33" t="s">
        <v>68</v>
      </c>
    </row>
    <row r="52" spans="1:9" x14ac:dyDescent="0.2">
      <c r="A52" s="33" t="s">
        <v>329</v>
      </c>
      <c r="B52" s="33" t="s">
        <v>21</v>
      </c>
      <c r="C52" s="33" t="s">
        <v>483</v>
      </c>
      <c r="D52" s="42">
        <v>0</v>
      </c>
      <c r="E52" s="33" t="s">
        <v>224</v>
      </c>
      <c r="F52" s="34">
        <v>2119</v>
      </c>
      <c r="G52" s="34">
        <v>2119</v>
      </c>
      <c r="H52" s="33" t="s">
        <v>68</v>
      </c>
      <c r="I52" s="33" t="s">
        <v>68</v>
      </c>
    </row>
    <row r="53" spans="1:9" x14ac:dyDescent="0.2">
      <c r="A53" s="33" t="s">
        <v>329</v>
      </c>
      <c r="B53" s="33" t="s">
        <v>21</v>
      </c>
      <c r="C53" s="33" t="s">
        <v>484</v>
      </c>
      <c r="D53" s="42">
        <v>0</v>
      </c>
      <c r="E53" s="33" t="s">
        <v>224</v>
      </c>
      <c r="F53" s="34">
        <v>39</v>
      </c>
      <c r="G53" s="34">
        <v>39</v>
      </c>
      <c r="H53" s="33" t="s">
        <v>68</v>
      </c>
      <c r="I53" s="33" t="s">
        <v>68</v>
      </c>
    </row>
    <row r="54" spans="1:9" x14ac:dyDescent="0.2">
      <c r="A54" s="33" t="s">
        <v>329</v>
      </c>
      <c r="B54" s="33" t="s">
        <v>21</v>
      </c>
      <c r="C54" s="33" t="s">
        <v>450</v>
      </c>
      <c r="D54" s="42">
        <v>1.1368683772161603E-13</v>
      </c>
      <c r="E54" s="33" t="s">
        <v>224</v>
      </c>
      <c r="F54" s="34">
        <v>936</v>
      </c>
      <c r="G54" s="34">
        <v>935.99999999999989</v>
      </c>
      <c r="H54" s="33" t="s">
        <v>68</v>
      </c>
      <c r="I54" s="33" t="s">
        <v>68</v>
      </c>
    </row>
    <row r="55" spans="1:9" x14ac:dyDescent="0.2">
      <c r="A55" s="33" t="s">
        <v>329</v>
      </c>
      <c r="B55" s="33" t="s">
        <v>21</v>
      </c>
      <c r="C55" s="33" t="s">
        <v>485</v>
      </c>
      <c r="D55" s="42">
        <v>-5.6843418860808015E-14</v>
      </c>
      <c r="E55" s="33" t="s">
        <v>224</v>
      </c>
      <c r="F55" s="34">
        <v>482.7</v>
      </c>
      <c r="G55" s="34">
        <v>482.70000000000005</v>
      </c>
      <c r="H55" s="33" t="s">
        <v>68</v>
      </c>
      <c r="I55" s="33" t="s">
        <v>68</v>
      </c>
    </row>
    <row r="56" spans="1:9" x14ac:dyDescent="0.2">
      <c r="A56" s="33" t="s">
        <v>329</v>
      </c>
      <c r="B56" s="33" t="s">
        <v>21</v>
      </c>
      <c r="C56" s="33" t="s">
        <v>451</v>
      </c>
      <c r="D56" s="42">
        <v>-2.2737367544323206E-13</v>
      </c>
      <c r="E56" s="33" t="s">
        <v>224</v>
      </c>
      <c r="F56" s="34">
        <v>1917</v>
      </c>
      <c r="G56" s="34">
        <v>1917.0000000000002</v>
      </c>
      <c r="H56" s="33" t="s">
        <v>68</v>
      </c>
      <c r="I56" s="33" t="s">
        <v>68</v>
      </c>
    </row>
    <row r="57" spans="1:9" x14ac:dyDescent="0.2">
      <c r="A57" s="33" t="s">
        <v>329</v>
      </c>
      <c r="B57" s="33" t="s">
        <v>21</v>
      </c>
      <c r="C57" s="33" t="s">
        <v>486</v>
      </c>
      <c r="D57" s="42">
        <v>2.2737367544323206E-13</v>
      </c>
      <c r="E57" s="33" t="s">
        <v>224</v>
      </c>
      <c r="F57" s="34">
        <v>1448.2</v>
      </c>
      <c r="G57" s="34">
        <v>1448.1999999999998</v>
      </c>
      <c r="H57" s="33" t="s">
        <v>68</v>
      </c>
      <c r="I57" s="33" t="s">
        <v>68</v>
      </c>
    </row>
    <row r="58" spans="1:9" x14ac:dyDescent="0.2">
      <c r="A58" s="33" t="s">
        <v>329</v>
      </c>
      <c r="B58" s="33" t="s">
        <v>21</v>
      </c>
      <c r="C58" s="33" t="s">
        <v>487</v>
      </c>
      <c r="D58" s="42">
        <v>0</v>
      </c>
      <c r="E58" s="33" t="s">
        <v>224</v>
      </c>
      <c r="F58" s="34">
        <v>255.6</v>
      </c>
      <c r="G58" s="34">
        <v>255.6</v>
      </c>
      <c r="H58" s="33" t="s">
        <v>68</v>
      </c>
      <c r="I58" s="33" t="s">
        <v>68</v>
      </c>
    </row>
    <row r="59" spans="1:9" x14ac:dyDescent="0.2">
      <c r="A59" s="33" t="s">
        <v>329</v>
      </c>
      <c r="B59" s="33" t="s">
        <v>21</v>
      </c>
      <c r="C59" s="33" t="s">
        <v>454</v>
      </c>
      <c r="D59" s="42">
        <v>0</v>
      </c>
      <c r="E59" s="33" t="s">
        <v>224</v>
      </c>
      <c r="F59" s="34">
        <v>93.8</v>
      </c>
      <c r="G59" s="34">
        <v>93.8</v>
      </c>
      <c r="H59" s="33" t="s">
        <v>68</v>
      </c>
      <c r="I59" s="33" t="s">
        <v>68</v>
      </c>
    </row>
    <row r="60" spans="1:9" x14ac:dyDescent="0.2">
      <c r="A60" s="33" t="s">
        <v>329</v>
      </c>
      <c r="B60" s="33" t="s">
        <v>21</v>
      </c>
      <c r="C60" s="33" t="s">
        <v>488</v>
      </c>
      <c r="D60" s="42">
        <v>0</v>
      </c>
      <c r="E60" s="33" t="s">
        <v>224</v>
      </c>
      <c r="F60" s="34">
        <v>24.3</v>
      </c>
      <c r="G60" s="34">
        <v>24.3</v>
      </c>
      <c r="H60" s="33" t="s">
        <v>68</v>
      </c>
      <c r="I60" s="33" t="s">
        <v>68</v>
      </c>
    </row>
    <row r="61" spans="1:9" x14ac:dyDescent="0.2">
      <c r="A61" s="33" t="s">
        <v>329</v>
      </c>
      <c r="B61" s="33" t="s">
        <v>21</v>
      </c>
      <c r="C61" s="33" t="s">
        <v>455</v>
      </c>
      <c r="D61" s="42">
        <v>0</v>
      </c>
      <c r="E61" s="33" t="s">
        <v>224</v>
      </c>
      <c r="F61" s="34">
        <v>1010.2</v>
      </c>
      <c r="G61" s="34">
        <v>1010.2</v>
      </c>
      <c r="H61" s="33" t="s">
        <v>68</v>
      </c>
      <c r="I61" s="33" t="s">
        <v>68</v>
      </c>
    </row>
    <row r="62" spans="1:9" x14ac:dyDescent="0.2">
      <c r="A62" s="33" t="s">
        <v>329</v>
      </c>
      <c r="B62" s="33" t="s">
        <v>21</v>
      </c>
      <c r="C62" s="33" t="s">
        <v>489</v>
      </c>
      <c r="D62" s="42">
        <v>2.2737367544323206E-13</v>
      </c>
      <c r="E62" s="33" t="s">
        <v>224</v>
      </c>
      <c r="F62" s="34">
        <v>1488.5</v>
      </c>
      <c r="G62" s="34">
        <v>1488.4999999999998</v>
      </c>
      <c r="H62" s="33" t="s">
        <v>68</v>
      </c>
      <c r="I62" s="33" t="s">
        <v>68</v>
      </c>
    </row>
    <row r="63" spans="1:9" x14ac:dyDescent="0.2">
      <c r="A63" s="33" t="s">
        <v>329</v>
      </c>
      <c r="B63" s="33" t="s">
        <v>21</v>
      </c>
      <c r="C63" s="33" t="s">
        <v>490</v>
      </c>
      <c r="D63" s="42">
        <v>0</v>
      </c>
      <c r="E63" s="33" t="s">
        <v>224</v>
      </c>
      <c r="F63" s="34">
        <v>781.8</v>
      </c>
      <c r="G63" s="34">
        <v>781.8</v>
      </c>
      <c r="H63" s="33" t="s">
        <v>68</v>
      </c>
      <c r="I63" s="33" t="s">
        <v>68</v>
      </c>
    </row>
    <row r="64" spans="1:9" x14ac:dyDescent="0.2">
      <c r="A64" s="33" t="s">
        <v>329</v>
      </c>
      <c r="B64" s="33" t="s">
        <v>21</v>
      </c>
      <c r="C64" s="33" t="s">
        <v>491</v>
      </c>
      <c r="D64" s="42">
        <v>0</v>
      </c>
      <c r="E64" s="33" t="s">
        <v>224</v>
      </c>
      <c r="F64" s="34">
        <v>1431.8</v>
      </c>
      <c r="G64" s="34">
        <v>1431.8</v>
      </c>
      <c r="H64" s="33" t="s">
        <v>68</v>
      </c>
      <c r="I64" s="33" t="s">
        <v>68</v>
      </c>
    </row>
    <row r="65" spans="1:9" x14ac:dyDescent="0.2">
      <c r="A65" s="33" t="s">
        <v>329</v>
      </c>
      <c r="B65" s="33" t="s">
        <v>21</v>
      </c>
      <c r="C65" s="33" t="s">
        <v>459</v>
      </c>
      <c r="D65" s="42">
        <v>0</v>
      </c>
      <c r="E65" s="33" t="s">
        <v>224</v>
      </c>
      <c r="F65" s="34">
        <v>486.7</v>
      </c>
      <c r="G65" s="34">
        <v>486.7</v>
      </c>
      <c r="H65" s="33" t="s">
        <v>68</v>
      </c>
      <c r="I65" s="33" t="s">
        <v>68</v>
      </c>
    </row>
    <row r="66" spans="1:9" x14ac:dyDescent="0.2">
      <c r="A66" s="33" t="s">
        <v>329</v>
      </c>
      <c r="B66" s="33" t="s">
        <v>21</v>
      </c>
      <c r="C66" s="33" t="s">
        <v>492</v>
      </c>
      <c r="D66" s="42">
        <v>-2.2737367544323206E-13</v>
      </c>
      <c r="E66" s="33" t="s">
        <v>224</v>
      </c>
      <c r="F66" s="34">
        <v>1187.0999999999999</v>
      </c>
      <c r="G66" s="34">
        <v>1187.1000000000001</v>
      </c>
      <c r="H66" s="33" t="s">
        <v>68</v>
      </c>
      <c r="I66" s="33" t="s">
        <v>68</v>
      </c>
    </row>
    <row r="67" spans="1:9" x14ac:dyDescent="0.2">
      <c r="A67" s="33" t="s">
        <v>329</v>
      </c>
      <c r="B67" s="33" t="s">
        <v>21</v>
      </c>
      <c r="C67" s="33" t="s">
        <v>493</v>
      </c>
      <c r="D67" s="42">
        <v>-1.7763568394002505E-15</v>
      </c>
      <c r="E67" s="33" t="s">
        <v>224</v>
      </c>
      <c r="F67" s="34">
        <v>13.6</v>
      </c>
      <c r="G67" s="34">
        <v>13.600000000000001</v>
      </c>
      <c r="H67" s="33" t="s">
        <v>68</v>
      </c>
      <c r="I67" s="33" t="s">
        <v>68</v>
      </c>
    </row>
    <row r="68" spans="1:9" x14ac:dyDescent="0.2">
      <c r="A68" s="33" t="s">
        <v>330</v>
      </c>
      <c r="B68" s="33" t="s">
        <v>22</v>
      </c>
      <c r="C68" s="33" t="s">
        <v>436</v>
      </c>
      <c r="D68" s="42">
        <v>0</v>
      </c>
      <c r="E68" s="33" t="s">
        <v>224</v>
      </c>
      <c r="F68" s="34">
        <v>80</v>
      </c>
      <c r="G68" s="34">
        <v>80</v>
      </c>
      <c r="H68" s="33" t="s">
        <v>68</v>
      </c>
      <c r="I68" s="33" t="s">
        <v>68</v>
      </c>
    </row>
    <row r="69" spans="1:9" x14ac:dyDescent="0.2">
      <c r="A69" s="33" t="s">
        <v>330</v>
      </c>
      <c r="B69" s="33" t="s">
        <v>22</v>
      </c>
      <c r="C69" s="33" t="s">
        <v>478</v>
      </c>
      <c r="D69" s="42">
        <v>0</v>
      </c>
      <c r="E69" s="33" t="s">
        <v>224</v>
      </c>
      <c r="F69" s="34">
        <v>3348</v>
      </c>
      <c r="G69" s="34">
        <v>3348</v>
      </c>
      <c r="H69" s="33" t="s">
        <v>68</v>
      </c>
      <c r="I69" s="33" t="s">
        <v>68</v>
      </c>
    </row>
    <row r="70" spans="1:9" x14ac:dyDescent="0.2">
      <c r="A70" s="33" t="s">
        <v>330</v>
      </c>
      <c r="B70" s="33" t="s">
        <v>22</v>
      </c>
      <c r="C70" s="33" t="s">
        <v>494</v>
      </c>
      <c r="D70" s="42">
        <v>0</v>
      </c>
      <c r="E70" s="33" t="s">
        <v>224</v>
      </c>
      <c r="F70" s="34">
        <v>911.4</v>
      </c>
      <c r="G70" s="34">
        <v>911.4</v>
      </c>
      <c r="H70" s="33" t="s">
        <v>68</v>
      </c>
      <c r="I70" s="33" t="s">
        <v>68</v>
      </c>
    </row>
    <row r="71" spans="1:9" x14ac:dyDescent="0.2">
      <c r="A71" s="33" t="s">
        <v>330</v>
      </c>
      <c r="B71" s="33" t="s">
        <v>22</v>
      </c>
      <c r="C71" s="33" t="s">
        <v>495</v>
      </c>
      <c r="D71" s="42">
        <v>5.6843418860808015E-14</v>
      </c>
      <c r="E71" s="33" t="s">
        <v>224</v>
      </c>
      <c r="F71" s="34">
        <v>398</v>
      </c>
      <c r="G71" s="34">
        <v>397.99999999999994</v>
      </c>
      <c r="H71" s="33" t="s">
        <v>68</v>
      </c>
      <c r="I71" s="33" t="s">
        <v>68</v>
      </c>
    </row>
    <row r="72" spans="1:9" x14ac:dyDescent="0.2">
      <c r="A72" s="33" t="s">
        <v>330</v>
      </c>
      <c r="B72" s="33" t="s">
        <v>22</v>
      </c>
      <c r="C72" s="33" t="s">
        <v>482</v>
      </c>
      <c r="D72" s="42">
        <v>4.5474735088646412E-13</v>
      </c>
      <c r="E72" s="33" t="s">
        <v>224</v>
      </c>
      <c r="F72" s="34">
        <v>3982</v>
      </c>
      <c r="G72" s="34">
        <v>3981.9999999999995</v>
      </c>
      <c r="H72" s="33" t="s">
        <v>68</v>
      </c>
      <c r="I72" s="33" t="s">
        <v>68</v>
      </c>
    </row>
    <row r="73" spans="1:9" x14ac:dyDescent="0.2">
      <c r="A73" s="33" t="s">
        <v>330</v>
      </c>
      <c r="B73" s="33" t="s">
        <v>22</v>
      </c>
      <c r="C73" s="33" t="s">
        <v>447</v>
      </c>
      <c r="D73" s="42">
        <v>2.2737367544323206E-13</v>
      </c>
      <c r="E73" s="33" t="s">
        <v>224</v>
      </c>
      <c r="F73" s="34">
        <v>1692</v>
      </c>
      <c r="G73" s="34">
        <v>1691.9999999999998</v>
      </c>
      <c r="H73" s="33" t="s">
        <v>68</v>
      </c>
      <c r="I73" s="33" t="s">
        <v>68</v>
      </c>
    </row>
    <row r="74" spans="1:9" x14ac:dyDescent="0.2">
      <c r="A74" s="33" t="s">
        <v>330</v>
      </c>
      <c r="B74" s="33" t="s">
        <v>22</v>
      </c>
      <c r="C74" s="33" t="s">
        <v>496</v>
      </c>
      <c r="D74" s="42">
        <v>-5.6843418860808015E-14</v>
      </c>
      <c r="E74" s="33" t="s">
        <v>224</v>
      </c>
      <c r="F74" s="34">
        <v>312</v>
      </c>
      <c r="G74" s="34">
        <v>312.00000000000006</v>
      </c>
      <c r="H74" s="33" t="s">
        <v>68</v>
      </c>
      <c r="I74" s="33" t="s">
        <v>475</v>
      </c>
    </row>
    <row r="75" spans="1:9" x14ac:dyDescent="0.2">
      <c r="A75" s="33" t="s">
        <v>330</v>
      </c>
      <c r="B75" s="33" t="s">
        <v>22</v>
      </c>
      <c r="C75" s="33" t="s">
        <v>450</v>
      </c>
      <c r="D75" s="42">
        <v>0</v>
      </c>
      <c r="E75" s="33" t="s">
        <v>224</v>
      </c>
      <c r="F75" s="34">
        <v>2013</v>
      </c>
      <c r="G75" s="34">
        <v>2013</v>
      </c>
      <c r="H75" s="33" t="s">
        <v>68</v>
      </c>
      <c r="I75" s="33" t="s">
        <v>68</v>
      </c>
    </row>
    <row r="76" spans="1:9" x14ac:dyDescent="0.2">
      <c r="A76" s="33" t="s">
        <v>330</v>
      </c>
      <c r="B76" s="33" t="s">
        <v>22</v>
      </c>
      <c r="C76" s="33" t="s">
        <v>451</v>
      </c>
      <c r="D76" s="42">
        <v>0</v>
      </c>
      <c r="E76" s="33" t="s">
        <v>224</v>
      </c>
      <c r="F76" s="34">
        <v>2010.3</v>
      </c>
      <c r="G76" s="34">
        <v>2010.3</v>
      </c>
      <c r="H76" s="33" t="s">
        <v>68</v>
      </c>
      <c r="I76" s="33" t="s">
        <v>68</v>
      </c>
    </row>
    <row r="77" spans="1:9" x14ac:dyDescent="0.2">
      <c r="A77" s="33" t="s">
        <v>330</v>
      </c>
      <c r="B77" s="33" t="s">
        <v>22</v>
      </c>
      <c r="C77" s="33" t="s">
        <v>486</v>
      </c>
      <c r="D77" s="42">
        <v>0</v>
      </c>
      <c r="E77" s="33" t="s">
        <v>224</v>
      </c>
      <c r="F77" s="34">
        <v>1488.3</v>
      </c>
      <c r="G77" s="34">
        <v>1488.3</v>
      </c>
      <c r="H77" s="33" t="s">
        <v>68</v>
      </c>
      <c r="I77" s="33" t="s">
        <v>68</v>
      </c>
    </row>
    <row r="78" spans="1:9" x14ac:dyDescent="0.2">
      <c r="A78" s="33" t="s">
        <v>330</v>
      </c>
      <c r="B78" s="33" t="s">
        <v>22</v>
      </c>
      <c r="C78" s="33" t="s">
        <v>452</v>
      </c>
      <c r="D78" s="42">
        <v>0</v>
      </c>
      <c r="E78" s="33" t="s">
        <v>224</v>
      </c>
      <c r="F78" s="34">
        <v>154.19999999999999</v>
      </c>
      <c r="G78" s="34">
        <v>154.19999999999999</v>
      </c>
      <c r="H78" s="33" t="s">
        <v>68</v>
      </c>
      <c r="I78" s="33" t="s">
        <v>475</v>
      </c>
    </row>
    <row r="79" spans="1:9" x14ac:dyDescent="0.2">
      <c r="A79" s="33" t="s">
        <v>330</v>
      </c>
      <c r="B79" s="33" t="s">
        <v>22</v>
      </c>
      <c r="C79" s="33" t="s">
        <v>497</v>
      </c>
      <c r="D79" s="42">
        <v>0</v>
      </c>
      <c r="E79" s="33" t="s">
        <v>224</v>
      </c>
      <c r="F79" s="34">
        <v>458.2</v>
      </c>
      <c r="G79" s="34">
        <v>458.2</v>
      </c>
      <c r="H79" s="33" t="s">
        <v>68</v>
      </c>
      <c r="I79" s="33" t="s">
        <v>68</v>
      </c>
    </row>
    <row r="80" spans="1:9" x14ac:dyDescent="0.2">
      <c r="A80" s="33" t="s">
        <v>330</v>
      </c>
      <c r="B80" s="33" t="s">
        <v>22</v>
      </c>
      <c r="C80" s="33" t="s">
        <v>498</v>
      </c>
      <c r="D80" s="42">
        <v>0</v>
      </c>
      <c r="E80" s="33" t="s">
        <v>224</v>
      </c>
      <c r="F80" s="34">
        <v>129.9</v>
      </c>
      <c r="G80" s="34">
        <v>129.9</v>
      </c>
      <c r="H80" s="33" t="s">
        <v>68</v>
      </c>
      <c r="I80" s="33" t="s">
        <v>475</v>
      </c>
    </row>
    <row r="81" spans="1:9" x14ac:dyDescent="0.2">
      <c r="A81" s="33" t="s">
        <v>330</v>
      </c>
      <c r="B81" s="33" t="s">
        <v>22</v>
      </c>
      <c r="C81" s="33" t="s">
        <v>454</v>
      </c>
      <c r="D81" s="42">
        <v>0</v>
      </c>
      <c r="E81" s="33" t="s">
        <v>224</v>
      </c>
      <c r="F81" s="34">
        <v>67.3</v>
      </c>
      <c r="G81" s="34">
        <v>67.3</v>
      </c>
      <c r="H81" s="33" t="s">
        <v>68</v>
      </c>
      <c r="I81" s="33" t="s">
        <v>68</v>
      </c>
    </row>
    <row r="82" spans="1:9" x14ac:dyDescent="0.2">
      <c r="A82" s="33" t="s">
        <v>330</v>
      </c>
      <c r="B82" s="33" t="s">
        <v>22</v>
      </c>
      <c r="C82" s="33" t="s">
        <v>488</v>
      </c>
      <c r="D82" s="42">
        <v>-3.5527136788005009E-15</v>
      </c>
      <c r="E82" s="33" t="s">
        <v>224</v>
      </c>
      <c r="F82" s="34">
        <v>17.399999999999999</v>
      </c>
      <c r="G82" s="34">
        <v>17.400000000000002</v>
      </c>
      <c r="H82" s="33" t="s">
        <v>68</v>
      </c>
      <c r="I82" s="33" t="s">
        <v>68</v>
      </c>
    </row>
    <row r="83" spans="1:9" x14ac:dyDescent="0.2">
      <c r="A83" s="33" t="s">
        <v>330</v>
      </c>
      <c r="B83" s="33" t="s">
        <v>22</v>
      </c>
      <c r="C83" s="33" t="s">
        <v>499</v>
      </c>
      <c r="D83" s="42">
        <v>-1.1368683772161603E-13</v>
      </c>
      <c r="E83" s="33" t="s">
        <v>224</v>
      </c>
      <c r="F83" s="34">
        <v>900.3</v>
      </c>
      <c r="G83" s="34">
        <v>900.30000000000007</v>
      </c>
      <c r="H83" s="33" t="s">
        <v>68</v>
      </c>
      <c r="I83" s="33" t="s">
        <v>68</v>
      </c>
    </row>
    <row r="84" spans="1:9" x14ac:dyDescent="0.2">
      <c r="A84" s="33" t="s">
        <v>330</v>
      </c>
      <c r="B84" s="33" t="s">
        <v>22</v>
      </c>
      <c r="C84" s="33" t="s">
        <v>500</v>
      </c>
      <c r="D84" s="42">
        <v>0</v>
      </c>
      <c r="E84" s="33" t="s">
        <v>224</v>
      </c>
      <c r="F84" s="34">
        <v>100.3</v>
      </c>
      <c r="G84" s="34">
        <v>100.3</v>
      </c>
      <c r="H84" s="33" t="s">
        <v>68</v>
      </c>
      <c r="I84" s="33" t="s">
        <v>68</v>
      </c>
    </row>
    <row r="85" spans="1:9" x14ac:dyDescent="0.2">
      <c r="A85" s="33" t="s">
        <v>330</v>
      </c>
      <c r="B85" s="33" t="s">
        <v>22</v>
      </c>
      <c r="C85" s="33" t="s">
        <v>489</v>
      </c>
      <c r="D85" s="42">
        <v>0</v>
      </c>
      <c r="E85" s="33" t="s">
        <v>224</v>
      </c>
      <c r="F85" s="34">
        <v>421</v>
      </c>
      <c r="G85" s="34">
        <v>421</v>
      </c>
      <c r="H85" s="33" t="s">
        <v>68</v>
      </c>
      <c r="I85" s="33" t="s">
        <v>68</v>
      </c>
    </row>
    <row r="86" spans="1:9" x14ac:dyDescent="0.2">
      <c r="A86" s="33" t="s">
        <v>330</v>
      </c>
      <c r="B86" s="33" t="s">
        <v>22</v>
      </c>
      <c r="C86" s="33" t="s">
        <v>501</v>
      </c>
      <c r="D86" s="42">
        <v>0</v>
      </c>
      <c r="E86" s="33" t="s">
        <v>224</v>
      </c>
      <c r="F86" s="34">
        <v>778.7</v>
      </c>
      <c r="G86" s="34">
        <v>778.7</v>
      </c>
      <c r="H86" s="33" t="s">
        <v>68</v>
      </c>
      <c r="I86" s="33" t="s">
        <v>68</v>
      </c>
    </row>
    <row r="87" spans="1:9" x14ac:dyDescent="0.2">
      <c r="A87" s="33" t="s">
        <v>330</v>
      </c>
      <c r="B87" s="33" t="s">
        <v>22</v>
      </c>
      <c r="C87" s="33" t="s">
        <v>502</v>
      </c>
      <c r="D87" s="42">
        <v>0</v>
      </c>
      <c r="E87" s="33" t="s">
        <v>224</v>
      </c>
      <c r="F87" s="34">
        <v>902.9</v>
      </c>
      <c r="G87" s="34">
        <v>902.9</v>
      </c>
      <c r="H87" s="33" t="s">
        <v>68</v>
      </c>
      <c r="I87" s="33" t="s">
        <v>68</v>
      </c>
    </row>
    <row r="88" spans="1:9" x14ac:dyDescent="0.2">
      <c r="A88" s="33" t="s">
        <v>330</v>
      </c>
      <c r="B88" s="33" t="s">
        <v>22</v>
      </c>
      <c r="C88" s="33" t="s">
        <v>456</v>
      </c>
      <c r="D88" s="42">
        <v>0</v>
      </c>
      <c r="E88" s="33" t="s">
        <v>224</v>
      </c>
      <c r="F88" s="34">
        <v>120.4</v>
      </c>
      <c r="G88" s="34">
        <v>120.4</v>
      </c>
      <c r="H88" s="33" t="s">
        <v>68</v>
      </c>
      <c r="I88" s="33" t="s">
        <v>68</v>
      </c>
    </row>
    <row r="89" spans="1:9" x14ac:dyDescent="0.2">
      <c r="A89" s="33" t="s">
        <v>330</v>
      </c>
      <c r="B89" s="33" t="s">
        <v>22</v>
      </c>
      <c r="C89" s="33" t="s">
        <v>491</v>
      </c>
      <c r="D89" s="42">
        <v>0</v>
      </c>
      <c r="E89" s="33" t="s">
        <v>224</v>
      </c>
      <c r="F89" s="34">
        <v>1429.5</v>
      </c>
      <c r="G89" s="34">
        <v>1429.5</v>
      </c>
      <c r="H89" s="33" t="s">
        <v>68</v>
      </c>
      <c r="I89" s="33" t="s">
        <v>475</v>
      </c>
    </row>
    <row r="90" spans="1:9" x14ac:dyDescent="0.2">
      <c r="A90" s="33" t="s">
        <v>330</v>
      </c>
      <c r="B90" s="33" t="s">
        <v>22</v>
      </c>
      <c r="C90" s="33" t="s">
        <v>459</v>
      </c>
      <c r="D90" s="42">
        <v>0</v>
      </c>
      <c r="E90" s="33" t="s">
        <v>224</v>
      </c>
      <c r="F90" s="34">
        <v>1043</v>
      </c>
      <c r="G90" s="34">
        <v>1043</v>
      </c>
      <c r="H90" s="33" t="s">
        <v>68</v>
      </c>
      <c r="I90" s="33" t="s">
        <v>68</v>
      </c>
    </row>
    <row r="91" spans="1:9" x14ac:dyDescent="0.2">
      <c r="A91" s="33" t="s">
        <v>330</v>
      </c>
      <c r="B91" s="33" t="s">
        <v>22</v>
      </c>
      <c r="C91" s="33" t="s">
        <v>503</v>
      </c>
      <c r="D91" s="42">
        <v>0</v>
      </c>
      <c r="E91" s="33" t="s">
        <v>224</v>
      </c>
      <c r="F91" s="34">
        <v>219</v>
      </c>
      <c r="G91" s="34">
        <v>219</v>
      </c>
      <c r="H91" s="33" t="s">
        <v>68</v>
      </c>
      <c r="I91" s="33" t="s">
        <v>68</v>
      </c>
    </row>
    <row r="92" spans="1:9" x14ac:dyDescent="0.2">
      <c r="A92" s="33" t="s">
        <v>330</v>
      </c>
      <c r="B92" s="33" t="s">
        <v>22</v>
      </c>
      <c r="C92" s="33" t="s">
        <v>504</v>
      </c>
      <c r="D92" s="42">
        <v>5.6843418860808015E-14</v>
      </c>
      <c r="E92" s="33" t="s">
        <v>224</v>
      </c>
      <c r="F92" s="34">
        <v>450</v>
      </c>
      <c r="G92" s="34">
        <v>449.99999999999994</v>
      </c>
      <c r="H92" s="33" t="s">
        <v>68</v>
      </c>
      <c r="I92" s="33" t="s">
        <v>505</v>
      </c>
    </row>
    <row r="93" spans="1:9" x14ac:dyDescent="0.2">
      <c r="A93" s="33" t="s">
        <v>296</v>
      </c>
      <c r="B93" s="33" t="s">
        <v>23</v>
      </c>
      <c r="C93" s="33" t="s">
        <v>506</v>
      </c>
      <c r="D93" s="42">
        <v>0</v>
      </c>
      <c r="E93" s="33" t="s">
        <v>224</v>
      </c>
      <c r="F93" s="34">
        <v>100</v>
      </c>
      <c r="G93" s="34">
        <v>100</v>
      </c>
      <c r="H93" s="33" t="s">
        <v>68</v>
      </c>
      <c r="I93" s="33" t="s">
        <v>68</v>
      </c>
    </row>
    <row r="94" spans="1:9" x14ac:dyDescent="0.2">
      <c r="A94" s="33" t="s">
        <v>296</v>
      </c>
      <c r="B94" s="33" t="s">
        <v>23</v>
      </c>
      <c r="C94" s="33" t="s">
        <v>507</v>
      </c>
      <c r="D94" s="42">
        <v>0</v>
      </c>
      <c r="E94" s="33" t="s">
        <v>224</v>
      </c>
      <c r="F94" s="34">
        <v>223</v>
      </c>
      <c r="G94" s="34">
        <v>223</v>
      </c>
      <c r="H94" s="33" t="s">
        <v>68</v>
      </c>
      <c r="I94" s="33" t="s">
        <v>68</v>
      </c>
    </row>
    <row r="95" spans="1:9" x14ac:dyDescent="0.2">
      <c r="A95" s="33" t="s">
        <v>296</v>
      </c>
      <c r="B95" s="33" t="s">
        <v>23</v>
      </c>
      <c r="C95" s="33" t="s">
        <v>508</v>
      </c>
      <c r="D95" s="42">
        <v>0</v>
      </c>
      <c r="E95" s="33" t="s">
        <v>224</v>
      </c>
      <c r="F95" s="34">
        <v>150</v>
      </c>
      <c r="G95" s="34">
        <v>150</v>
      </c>
      <c r="H95" s="33" t="s">
        <v>68</v>
      </c>
      <c r="I95" s="33" t="s">
        <v>509</v>
      </c>
    </row>
    <row r="96" spans="1:9" x14ac:dyDescent="0.2">
      <c r="A96" s="33" t="s">
        <v>296</v>
      </c>
      <c r="B96" s="33" t="s">
        <v>23</v>
      </c>
      <c r="C96" s="33" t="s">
        <v>510</v>
      </c>
      <c r="D96" s="42">
        <v>0</v>
      </c>
      <c r="E96" s="33" t="s">
        <v>224</v>
      </c>
      <c r="F96" s="34">
        <v>5.5</v>
      </c>
      <c r="G96" s="34">
        <v>5.5</v>
      </c>
      <c r="H96" s="33" t="s">
        <v>68</v>
      </c>
      <c r="I96" s="33" t="s">
        <v>68</v>
      </c>
    </row>
    <row r="97" spans="1:9" x14ac:dyDescent="0.2">
      <c r="A97" s="33" t="s">
        <v>296</v>
      </c>
      <c r="B97" s="33" t="s">
        <v>23</v>
      </c>
      <c r="C97" s="33" t="s">
        <v>511</v>
      </c>
      <c r="D97" s="42">
        <v>0</v>
      </c>
      <c r="E97" s="33" t="s">
        <v>224</v>
      </c>
      <c r="F97" s="34">
        <v>300</v>
      </c>
      <c r="G97" s="34">
        <v>300</v>
      </c>
      <c r="H97" s="33" t="s">
        <v>68</v>
      </c>
      <c r="I97" s="33" t="s">
        <v>68</v>
      </c>
    </row>
    <row r="98" spans="1:9" x14ac:dyDescent="0.2">
      <c r="A98" s="33" t="s">
        <v>296</v>
      </c>
      <c r="B98" s="33" t="s">
        <v>23</v>
      </c>
      <c r="C98" s="33" t="s">
        <v>512</v>
      </c>
      <c r="D98" s="42">
        <v>0</v>
      </c>
      <c r="E98" s="33" t="s">
        <v>224</v>
      </c>
      <c r="F98" s="34">
        <v>51</v>
      </c>
      <c r="G98" s="34">
        <v>51</v>
      </c>
      <c r="H98" s="33" t="s">
        <v>68</v>
      </c>
      <c r="I98" s="33" t="s">
        <v>513</v>
      </c>
    </row>
    <row r="99" spans="1:9" x14ac:dyDescent="0.2">
      <c r="A99" s="33" t="s">
        <v>296</v>
      </c>
      <c r="B99" s="33" t="s">
        <v>23</v>
      </c>
      <c r="C99" s="33" t="s">
        <v>514</v>
      </c>
      <c r="D99" s="42">
        <v>1.7053025658242404E-13</v>
      </c>
      <c r="E99" s="33" t="s">
        <v>224</v>
      </c>
      <c r="F99" s="34">
        <v>405.3</v>
      </c>
      <c r="G99" s="34">
        <v>405.29999999999984</v>
      </c>
      <c r="H99" s="33" t="s">
        <v>68</v>
      </c>
      <c r="I99" s="33" t="s">
        <v>68</v>
      </c>
    </row>
    <row r="100" spans="1:9" x14ac:dyDescent="0.2">
      <c r="A100" s="33" t="s">
        <v>296</v>
      </c>
      <c r="B100" s="33" t="s">
        <v>23</v>
      </c>
      <c r="C100" s="33" t="s">
        <v>515</v>
      </c>
      <c r="D100" s="42">
        <v>1.1368683772161603E-13</v>
      </c>
      <c r="E100" s="33" t="s">
        <v>224</v>
      </c>
      <c r="F100" s="34">
        <v>375.1</v>
      </c>
      <c r="G100" s="34">
        <v>375.09999999999991</v>
      </c>
      <c r="H100" s="33" t="s">
        <v>68</v>
      </c>
      <c r="I100" s="33" t="s">
        <v>68</v>
      </c>
    </row>
    <row r="101" spans="1:9" x14ac:dyDescent="0.2">
      <c r="A101" s="33" t="s">
        <v>296</v>
      </c>
      <c r="B101" s="33" t="s">
        <v>23</v>
      </c>
      <c r="C101" s="33" t="s">
        <v>516</v>
      </c>
      <c r="D101" s="42">
        <v>2.8421709430404007E-14</v>
      </c>
      <c r="E101" s="33" t="s">
        <v>224</v>
      </c>
      <c r="F101" s="34">
        <v>230.4</v>
      </c>
      <c r="G101" s="34">
        <v>230.39999999999998</v>
      </c>
      <c r="H101" s="33" t="s">
        <v>68</v>
      </c>
      <c r="I101" s="33" t="s">
        <v>68</v>
      </c>
    </row>
    <row r="102" spans="1:9" x14ac:dyDescent="0.2">
      <c r="A102" s="33" t="s">
        <v>267</v>
      </c>
      <c r="B102" s="33" t="s">
        <v>24</v>
      </c>
      <c r="C102" s="33" t="s">
        <v>517</v>
      </c>
      <c r="D102" s="42">
        <v>-5.6843418860808015E-14</v>
      </c>
      <c r="E102" s="33" t="s">
        <v>224</v>
      </c>
      <c r="F102" s="34">
        <v>315.3</v>
      </c>
      <c r="G102" s="34">
        <v>315.30000000000007</v>
      </c>
      <c r="H102" s="33" t="s">
        <v>68</v>
      </c>
      <c r="I102" s="33" t="s">
        <v>518</v>
      </c>
    </row>
    <row r="103" spans="1:9" x14ac:dyDescent="0.2">
      <c r="A103" s="33" t="s">
        <v>267</v>
      </c>
      <c r="B103" s="33" t="s">
        <v>24</v>
      </c>
      <c r="C103" s="33" t="s">
        <v>519</v>
      </c>
      <c r="D103" s="42">
        <v>0</v>
      </c>
      <c r="E103" s="33" t="s">
        <v>224</v>
      </c>
      <c r="F103" s="34">
        <v>200</v>
      </c>
      <c r="G103" s="34">
        <v>200</v>
      </c>
      <c r="H103" s="33" t="s">
        <v>68</v>
      </c>
      <c r="I103" s="33" t="s">
        <v>518</v>
      </c>
    </row>
    <row r="104" spans="1:9" x14ac:dyDescent="0.2">
      <c r="A104" s="33" t="s">
        <v>267</v>
      </c>
      <c r="B104" s="33" t="s">
        <v>24</v>
      </c>
      <c r="C104" s="33" t="s">
        <v>520</v>
      </c>
      <c r="D104" s="42">
        <v>-5.6843418860808015E-14</v>
      </c>
      <c r="E104" s="33" t="s">
        <v>224</v>
      </c>
      <c r="F104" s="34">
        <v>504.2</v>
      </c>
      <c r="G104" s="34">
        <v>504.20000000000005</v>
      </c>
      <c r="H104" s="33" t="s">
        <v>68</v>
      </c>
      <c r="I104" s="33" t="s">
        <v>68</v>
      </c>
    </row>
    <row r="105" spans="1:9" x14ac:dyDescent="0.2">
      <c r="A105" s="33" t="s">
        <v>267</v>
      </c>
      <c r="B105" s="33" t="s">
        <v>24</v>
      </c>
      <c r="C105" s="33" t="s">
        <v>521</v>
      </c>
      <c r="D105" s="42">
        <v>1.4210854715202004E-14</v>
      </c>
      <c r="E105" s="33" t="s">
        <v>224</v>
      </c>
      <c r="F105" s="34">
        <v>100</v>
      </c>
      <c r="G105" s="34">
        <v>99.999999999999986</v>
      </c>
      <c r="H105" s="33" t="s">
        <v>68</v>
      </c>
      <c r="I105" s="33" t="s">
        <v>68</v>
      </c>
    </row>
    <row r="106" spans="1:9" x14ac:dyDescent="0.2">
      <c r="A106" s="33" t="s">
        <v>267</v>
      </c>
      <c r="B106" s="33" t="s">
        <v>24</v>
      </c>
      <c r="C106" s="33" t="s">
        <v>522</v>
      </c>
      <c r="D106" s="42">
        <v>0</v>
      </c>
      <c r="E106" s="33" t="s">
        <v>224</v>
      </c>
      <c r="F106" s="34">
        <v>154.6</v>
      </c>
      <c r="G106" s="34">
        <v>154.6</v>
      </c>
      <c r="H106" s="33" t="s">
        <v>68</v>
      </c>
      <c r="I106" s="33" t="s">
        <v>68</v>
      </c>
    </row>
    <row r="107" spans="1:9" x14ac:dyDescent="0.2">
      <c r="A107" s="33" t="s">
        <v>267</v>
      </c>
      <c r="B107" s="33" t="s">
        <v>24</v>
      </c>
      <c r="C107" s="33" t="s">
        <v>523</v>
      </c>
      <c r="D107" s="42">
        <v>2.8421709430404007E-14</v>
      </c>
      <c r="E107" s="33" t="s">
        <v>224</v>
      </c>
      <c r="F107" s="34">
        <v>157</v>
      </c>
      <c r="G107" s="34">
        <v>156.99999999999997</v>
      </c>
      <c r="H107" s="33" t="s">
        <v>68</v>
      </c>
      <c r="I107" s="33" t="s">
        <v>68</v>
      </c>
    </row>
    <row r="108" spans="1:9" x14ac:dyDescent="0.2">
      <c r="A108" s="33" t="s">
        <v>267</v>
      </c>
      <c r="B108" s="33" t="s">
        <v>24</v>
      </c>
      <c r="C108" s="33" t="s">
        <v>524</v>
      </c>
      <c r="D108" s="42">
        <v>102.00000000000001</v>
      </c>
      <c r="E108" s="33" t="s">
        <v>224</v>
      </c>
      <c r="F108" s="34">
        <v>215.8</v>
      </c>
      <c r="G108" s="34">
        <v>113.8</v>
      </c>
      <c r="H108" s="33" t="s">
        <v>68</v>
      </c>
      <c r="I108" s="33" t="s">
        <v>68</v>
      </c>
    </row>
    <row r="109" spans="1:9" x14ac:dyDescent="0.2">
      <c r="A109" s="33" t="s">
        <v>267</v>
      </c>
      <c r="B109" s="33" t="s">
        <v>24</v>
      </c>
      <c r="C109" s="33" t="s">
        <v>488</v>
      </c>
      <c r="D109" s="42">
        <v>173.70000000000002</v>
      </c>
      <c r="E109" s="33" t="s">
        <v>224</v>
      </c>
      <c r="F109" s="34">
        <v>177.4</v>
      </c>
      <c r="G109" s="34">
        <v>3.7</v>
      </c>
      <c r="H109" s="33" t="s">
        <v>68</v>
      </c>
      <c r="I109" s="33" t="s">
        <v>68</v>
      </c>
    </row>
    <row r="110" spans="1:9" x14ac:dyDescent="0.2">
      <c r="A110" s="33" t="s">
        <v>267</v>
      </c>
      <c r="B110" s="33" t="s">
        <v>24</v>
      </c>
      <c r="C110" s="33" t="s">
        <v>525</v>
      </c>
      <c r="D110" s="42">
        <v>114.2</v>
      </c>
      <c r="E110" s="33" t="s">
        <v>224</v>
      </c>
      <c r="F110" s="34">
        <v>117.7</v>
      </c>
      <c r="G110" s="34">
        <v>3.5</v>
      </c>
      <c r="H110" s="33" t="s">
        <v>68</v>
      </c>
      <c r="I110" s="33" t="s">
        <v>68</v>
      </c>
    </row>
    <row r="111" spans="1:9" x14ac:dyDescent="0.2">
      <c r="A111" s="33" t="s">
        <v>297</v>
      </c>
      <c r="B111" s="33" t="s">
        <v>25</v>
      </c>
      <c r="C111" s="33" t="s">
        <v>507</v>
      </c>
      <c r="D111" s="42">
        <v>0</v>
      </c>
      <c r="E111" s="33" t="s">
        <v>224</v>
      </c>
      <c r="F111" s="34">
        <v>270</v>
      </c>
      <c r="G111" s="34">
        <v>270</v>
      </c>
      <c r="H111" s="33" t="s">
        <v>68</v>
      </c>
      <c r="I111" s="33" t="s">
        <v>68</v>
      </c>
    </row>
    <row r="112" spans="1:9" x14ac:dyDescent="0.2">
      <c r="A112" s="33" t="s">
        <v>297</v>
      </c>
      <c r="B112" s="33" t="s">
        <v>25</v>
      </c>
      <c r="C112" s="33" t="s">
        <v>508</v>
      </c>
      <c r="D112" s="42">
        <v>0</v>
      </c>
      <c r="E112" s="33" t="s">
        <v>224</v>
      </c>
      <c r="F112" s="34">
        <v>50</v>
      </c>
      <c r="G112" s="34">
        <v>50</v>
      </c>
      <c r="H112" s="33" t="s">
        <v>68</v>
      </c>
      <c r="I112" s="33" t="s">
        <v>526</v>
      </c>
    </row>
    <row r="113" spans="1:9" x14ac:dyDescent="0.2">
      <c r="A113" s="33" t="s">
        <v>297</v>
      </c>
      <c r="B113" s="33" t="s">
        <v>25</v>
      </c>
      <c r="C113" s="33" t="s">
        <v>511</v>
      </c>
      <c r="D113" s="42">
        <v>5.6843418860808015E-14</v>
      </c>
      <c r="E113" s="33" t="s">
        <v>224</v>
      </c>
      <c r="F113" s="34">
        <v>324.5</v>
      </c>
      <c r="G113" s="34">
        <v>324.49999999999994</v>
      </c>
      <c r="H113" s="33" t="s">
        <v>68</v>
      </c>
      <c r="I113" s="33" t="s">
        <v>68</v>
      </c>
    </row>
    <row r="114" spans="1:9" x14ac:dyDescent="0.2">
      <c r="A114" s="33" t="s">
        <v>297</v>
      </c>
      <c r="B114" s="33" t="s">
        <v>25</v>
      </c>
      <c r="C114" s="33" t="s">
        <v>527</v>
      </c>
      <c r="D114" s="42">
        <v>5.6843418860808015E-14</v>
      </c>
      <c r="E114" s="33" t="s">
        <v>224</v>
      </c>
      <c r="F114" s="34">
        <v>342.8</v>
      </c>
      <c r="G114" s="34">
        <v>342.79999999999995</v>
      </c>
      <c r="H114" s="33" t="s">
        <v>68</v>
      </c>
      <c r="I114" s="33" t="s">
        <v>68</v>
      </c>
    </row>
    <row r="115" spans="1:9" x14ac:dyDescent="0.2">
      <c r="A115" s="33" t="s">
        <v>297</v>
      </c>
      <c r="B115" s="33" t="s">
        <v>25</v>
      </c>
      <c r="C115" s="33" t="s">
        <v>528</v>
      </c>
      <c r="D115" s="42">
        <v>5.6843418860808015E-14</v>
      </c>
      <c r="E115" s="33" t="s">
        <v>224</v>
      </c>
      <c r="F115" s="34">
        <v>346.6</v>
      </c>
      <c r="G115" s="34">
        <v>346.59999999999997</v>
      </c>
      <c r="H115" s="33" t="s">
        <v>68</v>
      </c>
      <c r="I115" s="33" t="s">
        <v>68</v>
      </c>
    </row>
    <row r="116" spans="1:9" x14ac:dyDescent="0.2">
      <c r="A116" s="33" t="s">
        <v>297</v>
      </c>
      <c r="B116" s="33" t="s">
        <v>25</v>
      </c>
      <c r="C116" s="33" t="s">
        <v>529</v>
      </c>
      <c r="D116" s="42">
        <v>4.4408920985006262E-16</v>
      </c>
      <c r="E116" s="33" t="s">
        <v>224</v>
      </c>
      <c r="F116" s="34">
        <v>2.2000000000000002</v>
      </c>
      <c r="G116" s="34">
        <v>2.1999999999999997</v>
      </c>
      <c r="H116" s="33" t="s">
        <v>68</v>
      </c>
      <c r="I116" s="33" t="s">
        <v>475</v>
      </c>
    </row>
    <row r="117" spans="1:9" x14ac:dyDescent="0.2">
      <c r="A117" s="33" t="s">
        <v>297</v>
      </c>
      <c r="B117" s="33" t="s">
        <v>25</v>
      </c>
      <c r="C117" s="33" t="s">
        <v>530</v>
      </c>
      <c r="D117" s="42">
        <v>2</v>
      </c>
      <c r="E117" s="33" t="s">
        <v>224</v>
      </c>
      <c r="F117" s="34">
        <v>217.8</v>
      </c>
      <c r="G117" s="34">
        <v>215.8</v>
      </c>
      <c r="H117" s="33" t="s">
        <v>68</v>
      </c>
      <c r="I117" s="33" t="s">
        <v>68</v>
      </c>
    </row>
    <row r="118" spans="1:9" x14ac:dyDescent="0.2">
      <c r="A118" s="33" t="s">
        <v>297</v>
      </c>
      <c r="B118" s="33" t="s">
        <v>25</v>
      </c>
      <c r="C118" s="33" t="s">
        <v>531</v>
      </c>
      <c r="D118" s="42">
        <v>10.4</v>
      </c>
      <c r="E118" s="33" t="s">
        <v>224</v>
      </c>
      <c r="F118" s="34">
        <v>10.3</v>
      </c>
      <c r="G118" s="34">
        <v>-0.1</v>
      </c>
      <c r="H118" s="33" t="s">
        <v>68</v>
      </c>
      <c r="I118" s="33" t="s">
        <v>68</v>
      </c>
    </row>
    <row r="119" spans="1:9" x14ac:dyDescent="0.2">
      <c r="A119" s="33" t="s">
        <v>273</v>
      </c>
      <c r="B119" s="33" t="s">
        <v>26</v>
      </c>
      <c r="C119" s="33" t="s">
        <v>532</v>
      </c>
      <c r="D119" s="42">
        <v>-4.4408920985006262E-16</v>
      </c>
      <c r="E119" s="33" t="s">
        <v>224</v>
      </c>
      <c r="F119" s="34">
        <v>2</v>
      </c>
      <c r="G119" s="34">
        <v>2.0000000000000004</v>
      </c>
      <c r="H119" s="33" t="s">
        <v>68</v>
      </c>
      <c r="I119" s="33" t="s">
        <v>68</v>
      </c>
    </row>
    <row r="120" spans="1:9" x14ac:dyDescent="0.2">
      <c r="A120" s="33" t="s">
        <v>273</v>
      </c>
      <c r="B120" s="33" t="s">
        <v>26</v>
      </c>
      <c r="C120" s="33" t="s">
        <v>533</v>
      </c>
      <c r="D120" s="42">
        <v>7.1054273576010019E-15</v>
      </c>
      <c r="E120" s="33" t="s">
        <v>224</v>
      </c>
      <c r="F120" s="34">
        <v>37</v>
      </c>
      <c r="G120" s="34">
        <v>36.999999999999993</v>
      </c>
      <c r="H120" s="33" t="s">
        <v>68</v>
      </c>
      <c r="I120" s="33" t="s">
        <v>68</v>
      </c>
    </row>
    <row r="121" spans="1:9" x14ac:dyDescent="0.2">
      <c r="A121" s="33" t="s">
        <v>273</v>
      </c>
      <c r="B121" s="33" t="s">
        <v>26</v>
      </c>
      <c r="C121" s="33" t="s">
        <v>534</v>
      </c>
      <c r="D121" s="42">
        <v>2.2204460492503131E-16</v>
      </c>
      <c r="E121" s="33" t="s">
        <v>224</v>
      </c>
      <c r="F121" s="34">
        <v>1.2000000000000002</v>
      </c>
      <c r="G121" s="34">
        <v>1.2</v>
      </c>
      <c r="H121" s="33" t="s">
        <v>68</v>
      </c>
      <c r="I121" s="33" t="s">
        <v>68</v>
      </c>
    </row>
    <row r="122" spans="1:9" x14ac:dyDescent="0.2">
      <c r="A122" s="33" t="s">
        <v>273</v>
      </c>
      <c r="B122" s="33" t="s">
        <v>26</v>
      </c>
      <c r="C122" s="33" t="s">
        <v>535</v>
      </c>
      <c r="D122" s="42">
        <v>7.1054273576010019E-15</v>
      </c>
      <c r="E122" s="33" t="s">
        <v>224</v>
      </c>
      <c r="F122" s="34">
        <v>39.200000000000003</v>
      </c>
      <c r="G122" s="34">
        <v>39.199999999999996</v>
      </c>
      <c r="H122" s="33" t="s">
        <v>68</v>
      </c>
      <c r="I122" s="33" t="s">
        <v>68</v>
      </c>
    </row>
    <row r="123" spans="1:9" x14ac:dyDescent="0.2">
      <c r="A123" s="33" t="s">
        <v>273</v>
      </c>
      <c r="B123" s="33" t="s">
        <v>26</v>
      </c>
      <c r="C123" s="33" t="s">
        <v>536</v>
      </c>
      <c r="D123" s="42">
        <v>0</v>
      </c>
      <c r="E123" s="33" t="s">
        <v>224</v>
      </c>
      <c r="F123" s="34">
        <v>37</v>
      </c>
      <c r="G123" s="34">
        <v>37</v>
      </c>
      <c r="H123" s="33" t="s">
        <v>68</v>
      </c>
      <c r="I123" s="33" t="s">
        <v>68</v>
      </c>
    </row>
    <row r="124" spans="1:9" x14ac:dyDescent="0.2">
      <c r="A124" s="33" t="s">
        <v>273</v>
      </c>
      <c r="B124" s="33" t="s">
        <v>26</v>
      </c>
      <c r="C124" s="33" t="s">
        <v>537</v>
      </c>
      <c r="D124" s="42">
        <v>0</v>
      </c>
      <c r="E124" s="33" t="s">
        <v>224</v>
      </c>
      <c r="F124" s="34">
        <v>5.0999999999999996</v>
      </c>
      <c r="G124" s="34">
        <v>5.0999999999999996</v>
      </c>
      <c r="H124" s="33" t="s">
        <v>68</v>
      </c>
      <c r="I124" s="33" t="s">
        <v>68</v>
      </c>
    </row>
    <row r="125" spans="1:9" x14ac:dyDescent="0.2">
      <c r="A125" s="33" t="s">
        <v>273</v>
      </c>
      <c r="B125" s="33" t="s">
        <v>26</v>
      </c>
      <c r="C125" s="33" t="s">
        <v>538</v>
      </c>
      <c r="D125" s="42">
        <v>8.8817841970012523E-16</v>
      </c>
      <c r="E125" s="33" t="s">
        <v>224</v>
      </c>
      <c r="F125" s="34">
        <v>5</v>
      </c>
      <c r="G125" s="34">
        <v>4.9999999999999991</v>
      </c>
      <c r="H125" s="33" t="s">
        <v>68</v>
      </c>
      <c r="I125" s="33" t="s">
        <v>68</v>
      </c>
    </row>
    <row r="126" spans="1:9" x14ac:dyDescent="0.2">
      <c r="A126" s="33" t="s">
        <v>273</v>
      </c>
      <c r="B126" s="33" t="s">
        <v>26</v>
      </c>
      <c r="C126" s="33" t="s">
        <v>539</v>
      </c>
      <c r="D126" s="42">
        <v>0</v>
      </c>
      <c r="E126" s="33" t="s">
        <v>224</v>
      </c>
      <c r="F126" s="34">
        <v>36.1</v>
      </c>
      <c r="G126" s="34">
        <v>36.1</v>
      </c>
      <c r="H126" s="33" t="s">
        <v>68</v>
      </c>
      <c r="I126" s="33" t="s">
        <v>68</v>
      </c>
    </row>
    <row r="127" spans="1:9" x14ac:dyDescent="0.2">
      <c r="A127" s="33" t="s">
        <v>273</v>
      </c>
      <c r="B127" s="33" t="s">
        <v>26</v>
      </c>
      <c r="C127" s="33" t="s">
        <v>540</v>
      </c>
      <c r="D127" s="42">
        <v>-5.0000000000001155E-3</v>
      </c>
      <c r="E127" s="33" t="s">
        <v>224</v>
      </c>
      <c r="F127" s="34">
        <v>1</v>
      </c>
      <c r="G127" s="34">
        <v>1.0050000000000001</v>
      </c>
      <c r="H127" s="33" t="s">
        <v>68</v>
      </c>
      <c r="I127" s="33" t="s">
        <v>68</v>
      </c>
    </row>
    <row r="128" spans="1:9" x14ac:dyDescent="0.2">
      <c r="A128" s="33" t="s">
        <v>273</v>
      </c>
      <c r="B128" s="33" t="s">
        <v>26</v>
      </c>
      <c r="C128" s="33" t="s">
        <v>541</v>
      </c>
      <c r="D128" s="42">
        <v>0</v>
      </c>
      <c r="E128" s="33" t="s">
        <v>224</v>
      </c>
      <c r="F128" s="34">
        <v>26.9</v>
      </c>
      <c r="G128" s="34">
        <v>26.9</v>
      </c>
      <c r="H128" s="33" t="s">
        <v>68</v>
      </c>
      <c r="I128" s="33" t="s">
        <v>68</v>
      </c>
    </row>
    <row r="129" spans="1:9" x14ac:dyDescent="0.2">
      <c r="A129" s="33" t="s">
        <v>298</v>
      </c>
      <c r="B129" s="33" t="s">
        <v>27</v>
      </c>
      <c r="C129" s="33" t="s">
        <v>542</v>
      </c>
      <c r="D129" s="42">
        <v>-2.8421709430404007E-14</v>
      </c>
      <c r="E129" s="33" t="s">
        <v>224</v>
      </c>
      <c r="F129" s="34">
        <v>160</v>
      </c>
      <c r="G129" s="34">
        <v>160.00000000000003</v>
      </c>
      <c r="H129" s="33" t="s">
        <v>68</v>
      </c>
      <c r="I129" s="33" t="s">
        <v>526</v>
      </c>
    </row>
    <row r="130" spans="1:9" x14ac:dyDescent="0.2">
      <c r="A130" s="33" t="s">
        <v>298</v>
      </c>
      <c r="B130" s="33" t="s">
        <v>27</v>
      </c>
      <c r="C130" s="33" t="s">
        <v>543</v>
      </c>
      <c r="D130" s="42">
        <v>-5.6843418860808015E-14</v>
      </c>
      <c r="E130" s="33" t="s">
        <v>224</v>
      </c>
      <c r="F130" s="34">
        <v>299</v>
      </c>
      <c r="G130" s="34">
        <v>299.00000000000006</v>
      </c>
      <c r="H130" s="33" t="s">
        <v>68</v>
      </c>
      <c r="I130" s="33" t="s">
        <v>68</v>
      </c>
    </row>
    <row r="131" spans="1:9" x14ac:dyDescent="0.2">
      <c r="A131" s="33" t="s">
        <v>298</v>
      </c>
      <c r="B131" s="33" t="s">
        <v>27</v>
      </c>
      <c r="C131" s="33" t="s">
        <v>544</v>
      </c>
      <c r="D131" s="42">
        <v>0</v>
      </c>
      <c r="E131" s="33" t="s">
        <v>224</v>
      </c>
      <c r="F131" s="34">
        <v>289.5</v>
      </c>
      <c r="G131" s="34">
        <v>289.5</v>
      </c>
      <c r="H131" s="33" t="s">
        <v>68</v>
      </c>
      <c r="I131" s="33" t="s">
        <v>68</v>
      </c>
    </row>
    <row r="132" spans="1:9" x14ac:dyDescent="0.2">
      <c r="A132" s="33" t="s">
        <v>298</v>
      </c>
      <c r="B132" s="33" t="s">
        <v>27</v>
      </c>
      <c r="C132" s="33" t="s">
        <v>545</v>
      </c>
      <c r="D132" s="42">
        <v>0</v>
      </c>
      <c r="E132" s="33" t="s">
        <v>224</v>
      </c>
      <c r="F132" s="34">
        <v>102.5</v>
      </c>
      <c r="G132" s="34">
        <v>102.5</v>
      </c>
      <c r="H132" s="33" t="s">
        <v>68</v>
      </c>
      <c r="I132" s="33" t="s">
        <v>68</v>
      </c>
    </row>
    <row r="133" spans="1:9" x14ac:dyDescent="0.2">
      <c r="A133" s="33" t="s">
        <v>298</v>
      </c>
      <c r="B133" s="33" t="s">
        <v>27</v>
      </c>
      <c r="C133" s="33" t="s">
        <v>546</v>
      </c>
      <c r="D133" s="42">
        <v>0</v>
      </c>
      <c r="E133" s="33" t="s">
        <v>224</v>
      </c>
      <c r="F133" s="34">
        <v>139.5</v>
      </c>
      <c r="G133" s="34">
        <v>139.5</v>
      </c>
      <c r="H133" s="33" t="s">
        <v>68</v>
      </c>
      <c r="I133" s="33" t="s">
        <v>68</v>
      </c>
    </row>
    <row r="134" spans="1:9" x14ac:dyDescent="0.2">
      <c r="A134" s="33" t="s">
        <v>298</v>
      </c>
      <c r="B134" s="33" t="s">
        <v>27</v>
      </c>
      <c r="C134" s="33" t="s">
        <v>547</v>
      </c>
      <c r="D134" s="42">
        <v>-5.6843418860808015E-14</v>
      </c>
      <c r="E134" s="33" t="s">
        <v>224</v>
      </c>
      <c r="F134" s="34">
        <v>245.5</v>
      </c>
      <c r="G134" s="34">
        <v>245.50000000000006</v>
      </c>
      <c r="H134" s="33" t="s">
        <v>68</v>
      </c>
      <c r="I134" s="33" t="s">
        <v>68</v>
      </c>
    </row>
    <row r="135" spans="1:9" x14ac:dyDescent="0.2">
      <c r="A135" s="33" t="s">
        <v>298</v>
      </c>
      <c r="B135" s="33" t="s">
        <v>27</v>
      </c>
      <c r="C135" s="33" t="s">
        <v>548</v>
      </c>
      <c r="D135" s="42">
        <v>5.6843418860808015E-14</v>
      </c>
      <c r="E135" s="33" t="s">
        <v>224</v>
      </c>
      <c r="F135" s="34">
        <v>281.10000000000002</v>
      </c>
      <c r="G135" s="34">
        <v>281.09999999999997</v>
      </c>
      <c r="H135" s="33" t="s">
        <v>68</v>
      </c>
      <c r="I135" s="33" t="s">
        <v>68</v>
      </c>
    </row>
    <row r="136" spans="1:9" x14ac:dyDescent="0.2">
      <c r="A136" s="33" t="s">
        <v>298</v>
      </c>
      <c r="B136" s="33" t="s">
        <v>27</v>
      </c>
      <c r="C136" s="33" t="s">
        <v>549</v>
      </c>
      <c r="D136" s="42">
        <v>0</v>
      </c>
      <c r="E136" s="33" t="s">
        <v>224</v>
      </c>
      <c r="F136" s="34">
        <v>96</v>
      </c>
      <c r="G136" s="34">
        <v>96</v>
      </c>
      <c r="H136" s="33" t="s">
        <v>68</v>
      </c>
      <c r="I136" s="33" t="s">
        <v>68</v>
      </c>
    </row>
    <row r="137" spans="1:9" x14ac:dyDescent="0.2">
      <c r="A137" s="33" t="s">
        <v>298</v>
      </c>
      <c r="B137" s="33" t="s">
        <v>27</v>
      </c>
      <c r="C137" s="33" t="s">
        <v>550</v>
      </c>
      <c r="D137" s="42">
        <v>0</v>
      </c>
      <c r="E137" s="33" t="s">
        <v>224</v>
      </c>
      <c r="F137" s="34">
        <v>96</v>
      </c>
      <c r="G137" s="34">
        <v>96</v>
      </c>
      <c r="H137" s="33" t="s">
        <v>68</v>
      </c>
      <c r="I137" s="33" t="s">
        <v>68</v>
      </c>
    </row>
    <row r="138" spans="1:9" x14ac:dyDescent="0.2">
      <c r="A138" s="33" t="s">
        <v>298</v>
      </c>
      <c r="B138" s="33" t="s">
        <v>27</v>
      </c>
      <c r="C138" s="33" t="s">
        <v>551</v>
      </c>
      <c r="D138" s="42">
        <v>2.8421709430404007E-14</v>
      </c>
      <c r="E138" s="33" t="s">
        <v>224</v>
      </c>
      <c r="F138" s="34">
        <v>152.4</v>
      </c>
      <c r="G138" s="34">
        <v>152.39999999999998</v>
      </c>
      <c r="H138" s="33" t="s">
        <v>68</v>
      </c>
      <c r="I138" s="33" t="s">
        <v>68</v>
      </c>
    </row>
    <row r="139" spans="1:9" x14ac:dyDescent="0.2">
      <c r="A139" s="33" t="s">
        <v>299</v>
      </c>
      <c r="B139" s="33" t="s">
        <v>28</v>
      </c>
      <c r="C139" s="33" t="s">
        <v>552</v>
      </c>
      <c r="D139" s="42">
        <v>0</v>
      </c>
      <c r="E139" s="33" t="s">
        <v>224</v>
      </c>
      <c r="F139" s="34">
        <v>20</v>
      </c>
      <c r="G139" s="34">
        <v>20</v>
      </c>
      <c r="H139" s="33" t="s">
        <v>68</v>
      </c>
      <c r="I139" s="33" t="s">
        <v>553</v>
      </c>
    </row>
    <row r="140" spans="1:9" x14ac:dyDescent="0.2">
      <c r="A140" s="33" t="s">
        <v>299</v>
      </c>
      <c r="B140" s="33" t="s">
        <v>28</v>
      </c>
      <c r="C140" s="33" t="s">
        <v>554</v>
      </c>
      <c r="D140" s="42">
        <v>2.2737367544323206E-13</v>
      </c>
      <c r="E140" s="33" t="s">
        <v>224</v>
      </c>
      <c r="F140" s="34">
        <v>1680</v>
      </c>
      <c r="G140" s="34">
        <v>1679.9999999999998</v>
      </c>
      <c r="H140" s="33" t="s">
        <v>68</v>
      </c>
      <c r="I140" s="33" t="s">
        <v>509</v>
      </c>
    </row>
    <row r="141" spans="1:9" x14ac:dyDescent="0.2">
      <c r="A141" s="33" t="s">
        <v>299</v>
      </c>
      <c r="B141" s="33" t="s">
        <v>28</v>
      </c>
      <c r="C141" s="33" t="s">
        <v>555</v>
      </c>
      <c r="D141" s="42">
        <v>1.7763568394002505E-15</v>
      </c>
      <c r="E141" s="33" t="s">
        <v>224</v>
      </c>
      <c r="F141" s="34">
        <v>9</v>
      </c>
      <c r="G141" s="34">
        <v>8.9999999999999982</v>
      </c>
      <c r="H141" s="33" t="s">
        <v>68</v>
      </c>
      <c r="I141" s="33" t="s">
        <v>68</v>
      </c>
    </row>
    <row r="142" spans="1:9" x14ac:dyDescent="0.2">
      <c r="A142" s="33" t="s">
        <v>299</v>
      </c>
      <c r="B142" s="33" t="s">
        <v>28</v>
      </c>
      <c r="C142" s="33" t="s">
        <v>444</v>
      </c>
      <c r="D142" s="42">
        <v>0</v>
      </c>
      <c r="E142" s="33" t="s">
        <v>224</v>
      </c>
      <c r="F142" s="34">
        <v>34</v>
      </c>
      <c r="G142" s="34">
        <v>34</v>
      </c>
      <c r="H142" s="33" t="s">
        <v>68</v>
      </c>
      <c r="I142" s="33" t="s">
        <v>68</v>
      </c>
    </row>
    <row r="143" spans="1:9" x14ac:dyDescent="0.2">
      <c r="A143" s="33" t="s">
        <v>299</v>
      </c>
      <c r="B143" s="33" t="s">
        <v>28</v>
      </c>
      <c r="C143" s="33" t="s">
        <v>556</v>
      </c>
      <c r="D143" s="42">
        <v>0</v>
      </c>
      <c r="E143" s="33" t="s">
        <v>224</v>
      </c>
      <c r="F143" s="34">
        <v>8.4</v>
      </c>
      <c r="G143" s="34">
        <v>8.4</v>
      </c>
      <c r="H143" s="33" t="s">
        <v>68</v>
      </c>
      <c r="I143" s="33" t="s">
        <v>68</v>
      </c>
    </row>
    <row r="144" spans="1:9" x14ac:dyDescent="0.2">
      <c r="A144" s="33" t="s">
        <v>299</v>
      </c>
      <c r="B144" s="33" t="s">
        <v>28</v>
      </c>
      <c r="C144" s="33" t="s">
        <v>557</v>
      </c>
      <c r="D144" s="42">
        <v>0</v>
      </c>
      <c r="E144" s="33" t="s">
        <v>224</v>
      </c>
      <c r="F144" s="34">
        <v>1664</v>
      </c>
      <c r="G144" s="34">
        <v>1664</v>
      </c>
      <c r="H144" s="33" t="s">
        <v>68</v>
      </c>
      <c r="I144" s="33" t="s">
        <v>68</v>
      </c>
    </row>
    <row r="145" spans="1:9" x14ac:dyDescent="0.2">
      <c r="A145" s="33" t="s">
        <v>299</v>
      </c>
      <c r="B145" s="33" t="s">
        <v>28</v>
      </c>
      <c r="C145" s="33" t="s">
        <v>558</v>
      </c>
      <c r="D145" s="42">
        <v>-2.2737367544323206E-13</v>
      </c>
      <c r="E145" s="33" t="s">
        <v>224</v>
      </c>
      <c r="F145" s="34">
        <v>1712</v>
      </c>
      <c r="G145" s="34">
        <v>1712.0000000000002</v>
      </c>
      <c r="H145" s="33" t="s">
        <v>68</v>
      </c>
      <c r="I145" s="33" t="s">
        <v>68</v>
      </c>
    </row>
    <row r="146" spans="1:9" x14ac:dyDescent="0.2">
      <c r="A146" s="33" t="s">
        <v>299</v>
      </c>
      <c r="B146" s="33" t="s">
        <v>28</v>
      </c>
      <c r="C146" s="33" t="s">
        <v>559</v>
      </c>
      <c r="D146" s="42">
        <v>0</v>
      </c>
      <c r="E146" s="33" t="s">
        <v>224</v>
      </c>
      <c r="F146" s="34">
        <v>1780</v>
      </c>
      <c r="G146" s="34">
        <v>1780</v>
      </c>
      <c r="H146" s="33" t="s">
        <v>68</v>
      </c>
      <c r="I146" s="33" t="s">
        <v>68</v>
      </c>
    </row>
    <row r="147" spans="1:9" x14ac:dyDescent="0.2">
      <c r="A147" s="33" t="s">
        <v>299</v>
      </c>
      <c r="B147" s="33" t="s">
        <v>28</v>
      </c>
      <c r="C147" s="33" t="s">
        <v>560</v>
      </c>
      <c r="D147" s="42">
        <v>2.2737367544323206E-13</v>
      </c>
      <c r="E147" s="33" t="s">
        <v>224</v>
      </c>
      <c r="F147" s="34">
        <v>1162.5</v>
      </c>
      <c r="G147" s="34">
        <v>1162.4999999999998</v>
      </c>
      <c r="H147" s="33" t="s">
        <v>68</v>
      </c>
      <c r="I147" s="33" t="s">
        <v>68</v>
      </c>
    </row>
    <row r="148" spans="1:9" x14ac:dyDescent="0.2">
      <c r="A148" s="33" t="s">
        <v>300</v>
      </c>
      <c r="B148" s="33" t="s">
        <v>29</v>
      </c>
      <c r="C148" s="33" t="s">
        <v>561</v>
      </c>
      <c r="D148" s="42">
        <v>0</v>
      </c>
      <c r="E148" s="33" t="s">
        <v>224</v>
      </c>
      <c r="F148" s="34">
        <v>449.99999999999994</v>
      </c>
      <c r="G148" s="34">
        <v>449.99999999999994</v>
      </c>
      <c r="H148" s="33" t="s">
        <v>68</v>
      </c>
      <c r="I148" s="33" t="s">
        <v>68</v>
      </c>
    </row>
    <row r="149" spans="1:9" x14ac:dyDescent="0.2">
      <c r="A149" s="33" t="s">
        <v>300</v>
      </c>
      <c r="B149" s="33" t="s">
        <v>29</v>
      </c>
      <c r="C149" s="33" t="s">
        <v>562</v>
      </c>
      <c r="D149" s="42">
        <v>0</v>
      </c>
      <c r="E149" s="33" t="s">
        <v>224</v>
      </c>
      <c r="F149" s="34">
        <v>200</v>
      </c>
      <c r="G149" s="34">
        <v>200</v>
      </c>
      <c r="H149" s="33" t="s">
        <v>68</v>
      </c>
      <c r="I149" s="33" t="s">
        <v>68</v>
      </c>
    </row>
    <row r="150" spans="1:9" x14ac:dyDescent="0.2">
      <c r="A150" s="33" t="s">
        <v>300</v>
      </c>
      <c r="B150" s="33" t="s">
        <v>29</v>
      </c>
      <c r="C150" s="33" t="s">
        <v>563</v>
      </c>
      <c r="D150" s="42">
        <v>0</v>
      </c>
      <c r="E150" s="33" t="s">
        <v>224</v>
      </c>
      <c r="F150" s="34">
        <v>200</v>
      </c>
      <c r="G150" s="34">
        <v>200</v>
      </c>
      <c r="H150" s="33" t="s">
        <v>68</v>
      </c>
      <c r="I150" s="33" t="s">
        <v>68</v>
      </c>
    </row>
    <row r="151" spans="1:9" x14ac:dyDescent="0.2">
      <c r="A151" s="33" t="s">
        <v>300</v>
      </c>
      <c r="B151" s="33" t="s">
        <v>29</v>
      </c>
      <c r="C151" s="33" t="s">
        <v>564</v>
      </c>
      <c r="D151" s="42">
        <v>0</v>
      </c>
      <c r="E151" s="33" t="s">
        <v>224</v>
      </c>
      <c r="F151" s="34">
        <v>3.5</v>
      </c>
      <c r="G151" s="34">
        <v>3.5</v>
      </c>
      <c r="H151" s="33" t="s">
        <v>68</v>
      </c>
      <c r="I151" s="33" t="s">
        <v>526</v>
      </c>
    </row>
    <row r="152" spans="1:9" x14ac:dyDescent="0.2">
      <c r="A152" s="33" t="s">
        <v>300</v>
      </c>
      <c r="B152" s="33" t="s">
        <v>29</v>
      </c>
      <c r="C152" s="33" t="s">
        <v>565</v>
      </c>
      <c r="D152" s="42">
        <v>0</v>
      </c>
      <c r="E152" s="33" t="s">
        <v>224</v>
      </c>
      <c r="F152" s="34">
        <v>250</v>
      </c>
      <c r="G152" s="34">
        <v>250</v>
      </c>
      <c r="H152" s="33" t="s">
        <v>68</v>
      </c>
      <c r="I152" s="33" t="s">
        <v>68</v>
      </c>
    </row>
    <row r="153" spans="1:9" x14ac:dyDescent="0.2">
      <c r="A153" s="33" t="s">
        <v>300</v>
      </c>
      <c r="B153" s="33" t="s">
        <v>29</v>
      </c>
      <c r="C153" s="33" t="s">
        <v>566</v>
      </c>
      <c r="D153" s="42">
        <v>0</v>
      </c>
      <c r="E153" s="33" t="s">
        <v>224</v>
      </c>
      <c r="F153" s="34">
        <v>3</v>
      </c>
      <c r="G153" s="34">
        <v>3</v>
      </c>
      <c r="H153" s="33" t="s">
        <v>68</v>
      </c>
      <c r="I153" s="33" t="s">
        <v>518</v>
      </c>
    </row>
    <row r="154" spans="1:9" x14ac:dyDescent="0.2">
      <c r="A154" s="33" t="s">
        <v>300</v>
      </c>
      <c r="B154" s="33" t="s">
        <v>29</v>
      </c>
      <c r="C154" s="33" t="s">
        <v>567</v>
      </c>
      <c r="D154" s="42">
        <v>0</v>
      </c>
      <c r="E154" s="33" t="s">
        <v>224</v>
      </c>
      <c r="F154" s="34">
        <v>40</v>
      </c>
      <c r="G154" s="34">
        <v>40</v>
      </c>
      <c r="H154" s="33" t="s">
        <v>68</v>
      </c>
      <c r="I154" s="33" t="s">
        <v>68</v>
      </c>
    </row>
    <row r="155" spans="1:9" x14ac:dyDescent="0.2">
      <c r="A155" s="33" t="s">
        <v>300</v>
      </c>
      <c r="B155" s="33" t="s">
        <v>29</v>
      </c>
      <c r="C155" s="33" t="s">
        <v>568</v>
      </c>
      <c r="D155" s="42">
        <v>-2.8421709430404007E-14</v>
      </c>
      <c r="E155" s="33" t="s">
        <v>224</v>
      </c>
      <c r="F155" s="34">
        <v>251.2</v>
      </c>
      <c r="G155" s="34">
        <v>251.20000000000002</v>
      </c>
      <c r="H155" s="33" t="s">
        <v>68</v>
      </c>
      <c r="I155" s="33" t="s">
        <v>68</v>
      </c>
    </row>
    <row r="156" spans="1:9" x14ac:dyDescent="0.2">
      <c r="A156" s="33" t="s">
        <v>300</v>
      </c>
      <c r="B156" s="33" t="s">
        <v>29</v>
      </c>
      <c r="C156" s="33" t="s">
        <v>569</v>
      </c>
      <c r="D156" s="42">
        <v>5.6843418860808015E-14</v>
      </c>
      <c r="E156" s="33" t="s">
        <v>224</v>
      </c>
      <c r="F156" s="34">
        <v>256.89999999999998</v>
      </c>
      <c r="G156" s="34">
        <v>256.89999999999992</v>
      </c>
      <c r="H156" s="33" t="s">
        <v>68</v>
      </c>
      <c r="I156" s="33" t="s">
        <v>68</v>
      </c>
    </row>
    <row r="157" spans="1:9" x14ac:dyDescent="0.2">
      <c r="A157" s="33" t="s">
        <v>300</v>
      </c>
      <c r="B157" s="33" t="s">
        <v>29</v>
      </c>
      <c r="C157" s="33" t="s">
        <v>570</v>
      </c>
      <c r="D157" s="42">
        <v>0</v>
      </c>
      <c r="E157" s="33" t="s">
        <v>224</v>
      </c>
      <c r="F157" s="34">
        <v>306</v>
      </c>
      <c r="G157" s="34">
        <v>306</v>
      </c>
      <c r="H157" s="33" t="s">
        <v>68</v>
      </c>
      <c r="I157" s="33" t="s">
        <v>68</v>
      </c>
    </row>
    <row r="158" spans="1:9" x14ac:dyDescent="0.2">
      <c r="A158" s="33" t="s">
        <v>300</v>
      </c>
      <c r="B158" s="33" t="s">
        <v>29</v>
      </c>
      <c r="C158" s="33" t="s">
        <v>571</v>
      </c>
      <c r="D158" s="42">
        <v>0</v>
      </c>
      <c r="E158" s="33" t="s">
        <v>224</v>
      </c>
      <c r="F158" s="34">
        <v>131.6</v>
      </c>
      <c r="G158" s="34">
        <v>131.6</v>
      </c>
      <c r="H158" s="33" t="s">
        <v>68</v>
      </c>
      <c r="I158" s="33" t="s">
        <v>518</v>
      </c>
    </row>
    <row r="159" spans="1:9" x14ac:dyDescent="0.2">
      <c r="A159" s="33" t="s">
        <v>300</v>
      </c>
      <c r="B159" s="33" t="s">
        <v>29</v>
      </c>
      <c r="C159" s="33" t="s">
        <v>572</v>
      </c>
      <c r="D159" s="42">
        <v>7.9</v>
      </c>
      <c r="E159" s="33" t="s">
        <v>224</v>
      </c>
      <c r="F159" s="34">
        <v>10</v>
      </c>
      <c r="G159" s="34">
        <v>2.1</v>
      </c>
      <c r="H159" s="33" t="s">
        <v>68</v>
      </c>
      <c r="I159" s="33" t="s">
        <v>68</v>
      </c>
    </row>
    <row r="160" spans="1:9" x14ac:dyDescent="0.2">
      <c r="A160" s="33" t="s">
        <v>301</v>
      </c>
      <c r="B160" s="33" t="s">
        <v>30</v>
      </c>
      <c r="C160" s="33" t="s">
        <v>573</v>
      </c>
      <c r="D160" s="42">
        <v>0</v>
      </c>
      <c r="E160" s="33" t="s">
        <v>224</v>
      </c>
      <c r="F160" s="34">
        <v>40</v>
      </c>
      <c r="G160" s="34">
        <v>40</v>
      </c>
      <c r="H160" s="33" t="s">
        <v>68</v>
      </c>
      <c r="I160" s="33" t="s">
        <v>68</v>
      </c>
    </row>
    <row r="161" spans="1:9" x14ac:dyDescent="0.2">
      <c r="A161" s="33" t="s">
        <v>301</v>
      </c>
      <c r="B161" s="33" t="s">
        <v>30</v>
      </c>
      <c r="C161" s="33" t="s">
        <v>574</v>
      </c>
      <c r="D161" s="42">
        <v>0</v>
      </c>
      <c r="E161" s="33" t="s">
        <v>224</v>
      </c>
      <c r="F161" s="34">
        <v>17</v>
      </c>
      <c r="G161" s="34">
        <v>17</v>
      </c>
      <c r="H161" s="33" t="s">
        <v>68</v>
      </c>
      <c r="I161" s="33" t="s">
        <v>68</v>
      </c>
    </row>
    <row r="162" spans="1:9" x14ac:dyDescent="0.2">
      <c r="A162" s="33" t="s">
        <v>301</v>
      </c>
      <c r="B162" s="33" t="s">
        <v>30</v>
      </c>
      <c r="C162" s="33" t="s">
        <v>575</v>
      </c>
      <c r="D162" s="42">
        <v>0</v>
      </c>
      <c r="E162" s="33" t="s">
        <v>224</v>
      </c>
      <c r="F162" s="34">
        <v>33</v>
      </c>
      <c r="G162" s="34">
        <v>33</v>
      </c>
      <c r="H162" s="33" t="s">
        <v>68</v>
      </c>
      <c r="I162" s="33" t="s">
        <v>68</v>
      </c>
    </row>
    <row r="163" spans="1:9" x14ac:dyDescent="0.2">
      <c r="A163" s="33" t="s">
        <v>301</v>
      </c>
      <c r="B163" s="33" t="s">
        <v>30</v>
      </c>
      <c r="C163" s="33" t="s">
        <v>576</v>
      </c>
      <c r="D163" s="42">
        <v>0</v>
      </c>
      <c r="E163" s="33" t="s">
        <v>224</v>
      </c>
      <c r="F163" s="34">
        <v>29</v>
      </c>
      <c r="G163" s="34">
        <v>29</v>
      </c>
      <c r="H163" s="33" t="s">
        <v>68</v>
      </c>
      <c r="I163" s="33" t="s">
        <v>577</v>
      </c>
    </row>
    <row r="164" spans="1:9" x14ac:dyDescent="0.2">
      <c r="A164" s="33" t="s">
        <v>301</v>
      </c>
      <c r="B164" s="33" t="s">
        <v>30</v>
      </c>
      <c r="C164" s="33" t="s">
        <v>578</v>
      </c>
      <c r="D164" s="42">
        <v>0</v>
      </c>
      <c r="E164" s="33" t="s">
        <v>224</v>
      </c>
      <c r="F164" s="34">
        <v>24</v>
      </c>
      <c r="G164" s="34">
        <v>24</v>
      </c>
      <c r="H164" s="33" t="s">
        <v>68</v>
      </c>
      <c r="I164" s="33" t="s">
        <v>577</v>
      </c>
    </row>
    <row r="165" spans="1:9" x14ac:dyDescent="0.2">
      <c r="A165" s="33" t="s">
        <v>301</v>
      </c>
      <c r="B165" s="33" t="s">
        <v>30</v>
      </c>
      <c r="C165" s="33" t="s">
        <v>579</v>
      </c>
      <c r="D165" s="42">
        <v>0</v>
      </c>
      <c r="E165" s="33" t="s">
        <v>224</v>
      </c>
      <c r="F165" s="34">
        <v>48.5</v>
      </c>
      <c r="G165" s="34">
        <v>48.5</v>
      </c>
      <c r="H165" s="33" t="s">
        <v>68</v>
      </c>
      <c r="I165" s="33" t="s">
        <v>577</v>
      </c>
    </row>
    <row r="166" spans="1:9" x14ac:dyDescent="0.2">
      <c r="A166" s="33" t="s">
        <v>301</v>
      </c>
      <c r="B166" s="33" t="s">
        <v>30</v>
      </c>
      <c r="C166" s="33" t="s">
        <v>580</v>
      </c>
      <c r="D166" s="42">
        <v>0</v>
      </c>
      <c r="E166" s="33" t="s">
        <v>224</v>
      </c>
      <c r="F166" s="34">
        <v>16.600000000000001</v>
      </c>
      <c r="G166" s="34">
        <v>16.600000000000001</v>
      </c>
      <c r="H166" s="33" t="s">
        <v>68</v>
      </c>
      <c r="I166" s="33" t="s">
        <v>577</v>
      </c>
    </row>
    <row r="167" spans="1:9" x14ac:dyDescent="0.2">
      <c r="A167" s="33" t="s">
        <v>402</v>
      </c>
      <c r="B167" s="33" t="s">
        <v>403</v>
      </c>
      <c r="C167" s="33" t="s">
        <v>581</v>
      </c>
      <c r="D167" s="42">
        <v>-2.0000000000006679E-3</v>
      </c>
      <c r="E167" s="33" t="s">
        <v>224</v>
      </c>
      <c r="F167" s="34">
        <v>10.5</v>
      </c>
      <c r="G167" s="34">
        <v>10.502000000000001</v>
      </c>
      <c r="H167" s="33" t="s">
        <v>68</v>
      </c>
      <c r="I167" s="33" t="s">
        <v>68</v>
      </c>
    </row>
    <row r="168" spans="1:9" x14ac:dyDescent="0.2">
      <c r="A168" s="33" t="s">
        <v>331</v>
      </c>
      <c r="B168" s="33" t="s">
        <v>31</v>
      </c>
      <c r="C168" s="33" t="s">
        <v>582</v>
      </c>
      <c r="D168" s="42">
        <v>0</v>
      </c>
      <c r="E168" s="33" t="s">
        <v>224</v>
      </c>
      <c r="F168" s="34">
        <v>6</v>
      </c>
      <c r="G168" s="34">
        <v>6</v>
      </c>
      <c r="H168" s="33" t="s">
        <v>68</v>
      </c>
      <c r="I168" s="33" t="s">
        <v>68</v>
      </c>
    </row>
    <row r="169" spans="1:9" x14ac:dyDescent="0.2">
      <c r="A169" s="33" t="s">
        <v>331</v>
      </c>
      <c r="B169" s="33" t="s">
        <v>31</v>
      </c>
      <c r="C169" s="33" t="s">
        <v>436</v>
      </c>
      <c r="D169" s="42">
        <v>0</v>
      </c>
      <c r="E169" s="33" t="s">
        <v>224</v>
      </c>
      <c r="F169" s="34">
        <v>16</v>
      </c>
      <c r="G169" s="34">
        <v>16</v>
      </c>
      <c r="H169" s="33" t="s">
        <v>68</v>
      </c>
      <c r="I169" s="33" t="s">
        <v>583</v>
      </c>
    </row>
    <row r="170" spans="1:9" x14ac:dyDescent="0.2">
      <c r="A170" s="33" t="s">
        <v>331</v>
      </c>
      <c r="B170" s="33" t="s">
        <v>31</v>
      </c>
      <c r="C170" s="33" t="s">
        <v>584</v>
      </c>
      <c r="D170" s="42">
        <v>0</v>
      </c>
      <c r="E170" s="33" t="s">
        <v>224</v>
      </c>
      <c r="F170" s="34">
        <v>10</v>
      </c>
      <c r="G170" s="34">
        <v>10</v>
      </c>
      <c r="H170" s="33" t="s">
        <v>68</v>
      </c>
      <c r="I170" s="33" t="s">
        <v>68</v>
      </c>
    </row>
    <row r="171" spans="1:9" x14ac:dyDescent="0.2">
      <c r="A171" s="33" t="s">
        <v>331</v>
      </c>
      <c r="B171" s="33" t="s">
        <v>31</v>
      </c>
      <c r="C171" s="33" t="s">
        <v>585</v>
      </c>
      <c r="D171" s="42">
        <v>0</v>
      </c>
      <c r="E171" s="33" t="s">
        <v>224</v>
      </c>
      <c r="F171" s="34">
        <v>508</v>
      </c>
      <c r="G171" s="34">
        <v>508</v>
      </c>
      <c r="H171" s="33" t="s">
        <v>68</v>
      </c>
      <c r="I171" s="33" t="s">
        <v>586</v>
      </c>
    </row>
    <row r="172" spans="1:9" x14ac:dyDescent="0.2">
      <c r="A172" s="33" t="s">
        <v>331</v>
      </c>
      <c r="B172" s="33" t="s">
        <v>31</v>
      </c>
      <c r="C172" s="33" t="s">
        <v>587</v>
      </c>
      <c r="D172" s="42">
        <v>0</v>
      </c>
      <c r="E172" s="33" t="s">
        <v>224</v>
      </c>
      <c r="F172" s="34">
        <v>334.8</v>
      </c>
      <c r="G172" s="34">
        <v>334.8</v>
      </c>
      <c r="H172" s="33" t="s">
        <v>68</v>
      </c>
      <c r="I172" s="33" t="s">
        <v>586</v>
      </c>
    </row>
    <row r="173" spans="1:9" x14ac:dyDescent="0.2">
      <c r="A173" s="33" t="s">
        <v>331</v>
      </c>
      <c r="B173" s="33" t="s">
        <v>31</v>
      </c>
      <c r="C173" s="33" t="s">
        <v>588</v>
      </c>
      <c r="D173" s="42">
        <v>0</v>
      </c>
      <c r="E173" s="33" t="s">
        <v>224</v>
      </c>
      <c r="F173" s="34">
        <v>130</v>
      </c>
      <c r="G173" s="34">
        <v>130</v>
      </c>
      <c r="H173" s="33" t="s">
        <v>68</v>
      </c>
      <c r="I173" s="33" t="s">
        <v>589</v>
      </c>
    </row>
    <row r="174" spans="1:9" x14ac:dyDescent="0.2">
      <c r="A174" s="33" t="s">
        <v>331</v>
      </c>
      <c r="B174" s="33" t="s">
        <v>31</v>
      </c>
      <c r="C174" s="33" t="s">
        <v>482</v>
      </c>
      <c r="D174" s="42">
        <v>1.1368683772161603E-13</v>
      </c>
      <c r="E174" s="33" t="s">
        <v>224</v>
      </c>
      <c r="F174" s="34">
        <v>520</v>
      </c>
      <c r="G174" s="34">
        <v>519.99999999999989</v>
      </c>
      <c r="H174" s="33" t="s">
        <v>68</v>
      </c>
      <c r="I174" s="33" t="s">
        <v>577</v>
      </c>
    </row>
    <row r="175" spans="1:9" x14ac:dyDescent="0.2">
      <c r="A175" s="33" t="s">
        <v>331</v>
      </c>
      <c r="B175" s="33" t="s">
        <v>31</v>
      </c>
      <c r="C175" s="33" t="s">
        <v>483</v>
      </c>
      <c r="D175" s="42">
        <v>-5.6843418860808015E-14</v>
      </c>
      <c r="E175" s="33" t="s">
        <v>224</v>
      </c>
      <c r="F175" s="34">
        <v>300</v>
      </c>
      <c r="G175" s="34">
        <v>300.00000000000006</v>
      </c>
      <c r="H175" s="33" t="s">
        <v>68</v>
      </c>
      <c r="I175" s="33" t="s">
        <v>577</v>
      </c>
    </row>
    <row r="176" spans="1:9" x14ac:dyDescent="0.2">
      <c r="A176" s="33" t="s">
        <v>331</v>
      </c>
      <c r="B176" s="33" t="s">
        <v>31</v>
      </c>
      <c r="C176" s="33" t="s">
        <v>447</v>
      </c>
      <c r="D176" s="42">
        <v>0</v>
      </c>
      <c r="E176" s="33" t="s">
        <v>224</v>
      </c>
      <c r="F176" s="34">
        <v>132</v>
      </c>
      <c r="G176" s="34">
        <v>132</v>
      </c>
      <c r="H176" s="33" t="s">
        <v>68</v>
      </c>
      <c r="I176" s="33" t="s">
        <v>589</v>
      </c>
    </row>
    <row r="177" spans="1:9" x14ac:dyDescent="0.2">
      <c r="A177" s="33" t="s">
        <v>331</v>
      </c>
      <c r="B177" s="33" t="s">
        <v>31</v>
      </c>
      <c r="C177" s="33" t="s">
        <v>450</v>
      </c>
      <c r="D177" s="42">
        <v>-5.6843418860808015E-14</v>
      </c>
      <c r="E177" s="33" t="s">
        <v>224</v>
      </c>
      <c r="F177" s="34">
        <v>479</v>
      </c>
      <c r="G177" s="34">
        <v>479.00000000000006</v>
      </c>
      <c r="H177" s="33" t="s">
        <v>68</v>
      </c>
      <c r="I177" s="33" t="s">
        <v>590</v>
      </c>
    </row>
    <row r="178" spans="1:9" x14ac:dyDescent="0.2">
      <c r="A178" s="33" t="s">
        <v>331</v>
      </c>
      <c r="B178" s="33" t="s">
        <v>31</v>
      </c>
      <c r="C178" s="33" t="s">
        <v>591</v>
      </c>
      <c r="D178" s="42">
        <v>-5.6843418860808015E-14</v>
      </c>
      <c r="E178" s="33" t="s">
        <v>224</v>
      </c>
      <c r="F178" s="34">
        <v>455.9</v>
      </c>
      <c r="G178" s="34">
        <v>455.90000000000003</v>
      </c>
      <c r="H178" s="33" t="s">
        <v>68</v>
      </c>
      <c r="I178" s="33" t="s">
        <v>577</v>
      </c>
    </row>
    <row r="179" spans="1:9" x14ac:dyDescent="0.2">
      <c r="A179" s="33" t="s">
        <v>331</v>
      </c>
      <c r="B179" s="33" t="s">
        <v>31</v>
      </c>
      <c r="C179" s="33" t="s">
        <v>452</v>
      </c>
      <c r="D179" s="42">
        <v>0</v>
      </c>
      <c r="E179" s="33" t="s">
        <v>224</v>
      </c>
      <c r="F179" s="34">
        <v>143.5</v>
      </c>
      <c r="G179" s="34">
        <v>143.5</v>
      </c>
      <c r="H179" s="33" t="s">
        <v>68</v>
      </c>
      <c r="I179" s="33" t="s">
        <v>592</v>
      </c>
    </row>
    <row r="180" spans="1:9" x14ac:dyDescent="0.2">
      <c r="A180" s="33" t="s">
        <v>331</v>
      </c>
      <c r="B180" s="33" t="s">
        <v>31</v>
      </c>
      <c r="C180" s="33" t="s">
        <v>455</v>
      </c>
      <c r="D180" s="42">
        <v>0</v>
      </c>
      <c r="E180" s="33" t="s">
        <v>224</v>
      </c>
      <c r="F180" s="34">
        <v>550.5</v>
      </c>
      <c r="G180" s="34">
        <v>550.5</v>
      </c>
      <c r="H180" s="33" t="s">
        <v>68</v>
      </c>
      <c r="I180" s="33" t="s">
        <v>590</v>
      </c>
    </row>
    <row r="181" spans="1:9" x14ac:dyDescent="0.2">
      <c r="A181" s="33" t="s">
        <v>331</v>
      </c>
      <c r="B181" s="33" t="s">
        <v>31</v>
      </c>
      <c r="C181" s="33" t="s">
        <v>501</v>
      </c>
      <c r="D181" s="42">
        <v>0</v>
      </c>
      <c r="E181" s="33" t="s">
        <v>224</v>
      </c>
      <c r="F181" s="34">
        <v>160.9</v>
      </c>
      <c r="G181" s="34">
        <v>160.9</v>
      </c>
      <c r="H181" s="33" t="s">
        <v>68</v>
      </c>
      <c r="I181" s="33" t="s">
        <v>592</v>
      </c>
    </row>
    <row r="182" spans="1:9" x14ac:dyDescent="0.2">
      <c r="A182" s="33" t="s">
        <v>331</v>
      </c>
      <c r="B182" s="33" t="s">
        <v>31</v>
      </c>
      <c r="C182" s="33" t="s">
        <v>491</v>
      </c>
      <c r="D182" s="42">
        <v>5.6843418860808015E-14</v>
      </c>
      <c r="E182" s="33" t="s">
        <v>224</v>
      </c>
      <c r="F182" s="34">
        <v>507</v>
      </c>
      <c r="G182" s="34">
        <v>506.99999999999994</v>
      </c>
      <c r="H182" s="33" t="s">
        <v>68</v>
      </c>
      <c r="I182" s="33" t="s">
        <v>590</v>
      </c>
    </row>
    <row r="183" spans="1:9" x14ac:dyDescent="0.2">
      <c r="A183" s="33" t="s">
        <v>331</v>
      </c>
      <c r="B183" s="33" t="s">
        <v>31</v>
      </c>
      <c r="C183" s="33" t="s">
        <v>492</v>
      </c>
      <c r="D183" s="42">
        <v>0</v>
      </c>
      <c r="E183" s="33" t="s">
        <v>224</v>
      </c>
      <c r="F183" s="34">
        <v>166.4</v>
      </c>
      <c r="G183" s="34">
        <v>166.4</v>
      </c>
      <c r="H183" s="33" t="s">
        <v>68</v>
      </c>
      <c r="I183" s="33" t="s">
        <v>592</v>
      </c>
    </row>
    <row r="184" spans="1:9" x14ac:dyDescent="0.2">
      <c r="A184" s="33" t="s">
        <v>593</v>
      </c>
      <c r="B184" s="33" t="s">
        <v>594</v>
      </c>
      <c r="C184" s="33" t="s">
        <v>452</v>
      </c>
      <c r="D184" s="42">
        <v>0</v>
      </c>
      <c r="E184" s="33" t="s">
        <v>68</v>
      </c>
      <c r="F184" s="34">
        <v>11.3</v>
      </c>
      <c r="G184" s="34">
        <v>11.3</v>
      </c>
      <c r="H184" s="33" t="s">
        <v>68</v>
      </c>
      <c r="I184" s="33" t="s">
        <v>68</v>
      </c>
    </row>
    <row r="185" spans="1:9" x14ac:dyDescent="0.2">
      <c r="A185" s="33" t="s">
        <v>332</v>
      </c>
      <c r="B185" s="33" t="s">
        <v>32</v>
      </c>
      <c r="C185" s="33" t="s">
        <v>436</v>
      </c>
      <c r="D185" s="42">
        <v>-7.1054273576010019E-15</v>
      </c>
      <c r="E185" s="33" t="s">
        <v>224</v>
      </c>
      <c r="F185" s="34">
        <v>36</v>
      </c>
      <c r="G185" s="34">
        <v>36.000000000000007</v>
      </c>
      <c r="H185" s="33" t="s">
        <v>68</v>
      </c>
      <c r="I185" s="33" t="s">
        <v>583</v>
      </c>
    </row>
    <row r="186" spans="1:9" x14ac:dyDescent="0.2">
      <c r="A186" s="33" t="s">
        <v>332</v>
      </c>
      <c r="B186" s="33" t="s">
        <v>32</v>
      </c>
      <c r="C186" s="33" t="s">
        <v>585</v>
      </c>
      <c r="D186" s="42">
        <v>0</v>
      </c>
      <c r="E186" s="33" t="s">
        <v>224</v>
      </c>
      <c r="F186" s="34">
        <v>1513</v>
      </c>
      <c r="G186" s="34">
        <v>1513</v>
      </c>
      <c r="H186" s="33" t="s">
        <v>68</v>
      </c>
      <c r="I186" s="33" t="s">
        <v>586</v>
      </c>
    </row>
    <row r="187" spans="1:9" x14ac:dyDescent="0.2">
      <c r="A187" s="33" t="s">
        <v>332</v>
      </c>
      <c r="B187" s="33" t="s">
        <v>32</v>
      </c>
      <c r="C187" s="33" t="s">
        <v>587</v>
      </c>
      <c r="D187" s="42">
        <v>1.1368683772161603E-13</v>
      </c>
      <c r="E187" s="33" t="s">
        <v>224</v>
      </c>
      <c r="F187" s="34">
        <v>740.2</v>
      </c>
      <c r="G187" s="34">
        <v>740.19999999999993</v>
      </c>
      <c r="H187" s="33" t="s">
        <v>68</v>
      </c>
      <c r="I187" s="33" t="s">
        <v>586</v>
      </c>
    </row>
    <row r="188" spans="1:9" x14ac:dyDescent="0.2">
      <c r="A188" s="33" t="s">
        <v>332</v>
      </c>
      <c r="B188" s="33" t="s">
        <v>32</v>
      </c>
      <c r="C188" s="33" t="s">
        <v>588</v>
      </c>
      <c r="D188" s="42">
        <v>0</v>
      </c>
      <c r="E188" s="33" t="s">
        <v>224</v>
      </c>
      <c r="F188" s="34">
        <v>130</v>
      </c>
      <c r="G188" s="34">
        <v>130</v>
      </c>
      <c r="H188" s="33" t="s">
        <v>68</v>
      </c>
      <c r="I188" s="33" t="s">
        <v>589</v>
      </c>
    </row>
    <row r="189" spans="1:9" x14ac:dyDescent="0.2">
      <c r="A189" s="33" t="s">
        <v>332</v>
      </c>
      <c r="B189" s="33" t="s">
        <v>32</v>
      </c>
      <c r="C189" s="33" t="s">
        <v>482</v>
      </c>
      <c r="D189" s="42">
        <v>0</v>
      </c>
      <c r="E189" s="33" t="s">
        <v>224</v>
      </c>
      <c r="F189" s="34">
        <v>1300</v>
      </c>
      <c r="G189" s="34">
        <v>1300</v>
      </c>
      <c r="H189" s="33" t="s">
        <v>68</v>
      </c>
      <c r="I189" s="33" t="s">
        <v>577</v>
      </c>
    </row>
    <row r="190" spans="1:9" x14ac:dyDescent="0.2">
      <c r="A190" s="33" t="s">
        <v>332</v>
      </c>
      <c r="B190" s="33" t="s">
        <v>32</v>
      </c>
      <c r="C190" s="33" t="s">
        <v>447</v>
      </c>
      <c r="D190" s="42">
        <v>0</v>
      </c>
      <c r="E190" s="33" t="s">
        <v>224</v>
      </c>
      <c r="F190" s="34">
        <v>700</v>
      </c>
      <c r="G190" s="34">
        <v>700</v>
      </c>
      <c r="H190" s="33" t="s">
        <v>68</v>
      </c>
      <c r="I190" s="33" t="s">
        <v>577</v>
      </c>
    </row>
    <row r="191" spans="1:9" x14ac:dyDescent="0.2">
      <c r="A191" s="33" t="s">
        <v>332</v>
      </c>
      <c r="B191" s="33" t="s">
        <v>32</v>
      </c>
      <c r="C191" s="33" t="s">
        <v>595</v>
      </c>
      <c r="D191" s="42">
        <v>-2.8421709430404007E-14</v>
      </c>
      <c r="E191" s="33" t="s">
        <v>224</v>
      </c>
      <c r="F191" s="34">
        <v>150</v>
      </c>
      <c r="G191" s="34">
        <v>150.00000000000003</v>
      </c>
      <c r="H191" s="33" t="s">
        <v>68</v>
      </c>
      <c r="I191" s="33" t="s">
        <v>589</v>
      </c>
    </row>
    <row r="192" spans="1:9" x14ac:dyDescent="0.2">
      <c r="A192" s="33" t="s">
        <v>332</v>
      </c>
      <c r="B192" s="33" t="s">
        <v>32</v>
      </c>
      <c r="C192" s="33" t="s">
        <v>596</v>
      </c>
      <c r="D192" s="42">
        <v>0</v>
      </c>
      <c r="E192" s="33" t="s">
        <v>224</v>
      </c>
      <c r="F192" s="34">
        <v>3</v>
      </c>
      <c r="G192" s="34">
        <v>3</v>
      </c>
      <c r="H192" s="33" t="s">
        <v>68</v>
      </c>
      <c r="I192" s="33" t="s">
        <v>589</v>
      </c>
    </row>
    <row r="193" spans="1:9" x14ac:dyDescent="0.2">
      <c r="A193" s="33" t="s">
        <v>332</v>
      </c>
      <c r="B193" s="33" t="s">
        <v>32</v>
      </c>
      <c r="C193" s="33" t="s">
        <v>450</v>
      </c>
      <c r="D193" s="42">
        <v>0</v>
      </c>
      <c r="E193" s="33" t="s">
        <v>224</v>
      </c>
      <c r="F193" s="34">
        <v>1126.2</v>
      </c>
      <c r="G193" s="34">
        <v>1126.2</v>
      </c>
      <c r="H193" s="33" t="s">
        <v>68</v>
      </c>
      <c r="I193" s="33" t="s">
        <v>590</v>
      </c>
    </row>
    <row r="194" spans="1:9" x14ac:dyDescent="0.2">
      <c r="A194" s="33" t="s">
        <v>332</v>
      </c>
      <c r="B194" s="33" t="s">
        <v>32</v>
      </c>
      <c r="C194" s="33" t="s">
        <v>591</v>
      </c>
      <c r="D194" s="42">
        <v>0</v>
      </c>
      <c r="E194" s="33" t="s">
        <v>224</v>
      </c>
      <c r="F194" s="34">
        <v>953.1</v>
      </c>
      <c r="G194" s="34">
        <v>953.1</v>
      </c>
      <c r="H194" s="33" t="s">
        <v>68</v>
      </c>
      <c r="I194" s="33" t="s">
        <v>577</v>
      </c>
    </row>
    <row r="195" spans="1:9" x14ac:dyDescent="0.2">
      <c r="A195" s="33" t="s">
        <v>332</v>
      </c>
      <c r="B195" s="33" t="s">
        <v>32</v>
      </c>
      <c r="C195" s="33" t="s">
        <v>452</v>
      </c>
      <c r="D195" s="42">
        <v>-1.1368683772161603E-13</v>
      </c>
      <c r="E195" s="33" t="s">
        <v>224</v>
      </c>
      <c r="F195" s="34">
        <v>516.4</v>
      </c>
      <c r="G195" s="34">
        <v>516.40000000000009</v>
      </c>
      <c r="H195" s="33" t="s">
        <v>68</v>
      </c>
      <c r="I195" s="33" t="s">
        <v>592</v>
      </c>
    </row>
    <row r="196" spans="1:9" x14ac:dyDescent="0.2">
      <c r="A196" s="33" t="s">
        <v>332</v>
      </c>
      <c r="B196" s="33" t="s">
        <v>32</v>
      </c>
      <c r="C196" s="33" t="s">
        <v>581</v>
      </c>
      <c r="D196" s="42">
        <v>0</v>
      </c>
      <c r="E196" s="33" t="s">
        <v>224</v>
      </c>
      <c r="F196" s="34">
        <v>11.1</v>
      </c>
      <c r="G196" s="34">
        <v>11.1</v>
      </c>
      <c r="H196" s="33" t="s">
        <v>68</v>
      </c>
      <c r="I196" s="33" t="s">
        <v>577</v>
      </c>
    </row>
    <row r="197" spans="1:9" x14ac:dyDescent="0.2">
      <c r="A197" s="33" t="s">
        <v>332</v>
      </c>
      <c r="B197" s="33" t="s">
        <v>32</v>
      </c>
      <c r="C197" s="33" t="s">
        <v>455</v>
      </c>
      <c r="D197" s="42">
        <v>0</v>
      </c>
      <c r="E197" s="33" t="s">
        <v>224</v>
      </c>
      <c r="F197" s="34">
        <v>1082.9000000000001</v>
      </c>
      <c r="G197" s="34">
        <v>1082.9000000000001</v>
      </c>
      <c r="H197" s="33" t="s">
        <v>68</v>
      </c>
      <c r="I197" s="33" t="s">
        <v>590</v>
      </c>
    </row>
    <row r="198" spans="1:9" x14ac:dyDescent="0.2">
      <c r="A198" s="33" t="s">
        <v>332</v>
      </c>
      <c r="B198" s="33" t="s">
        <v>32</v>
      </c>
      <c r="C198" s="33" t="s">
        <v>501</v>
      </c>
      <c r="D198" s="42">
        <v>5.6843418860808015E-14</v>
      </c>
      <c r="E198" s="33" t="s">
        <v>224</v>
      </c>
      <c r="F198" s="34">
        <v>484.3</v>
      </c>
      <c r="G198" s="34">
        <v>484.29999999999995</v>
      </c>
      <c r="H198" s="33" t="s">
        <v>68</v>
      </c>
      <c r="I198" s="33" t="s">
        <v>592</v>
      </c>
    </row>
    <row r="199" spans="1:9" x14ac:dyDescent="0.2">
      <c r="A199" s="33" t="s">
        <v>332</v>
      </c>
      <c r="B199" s="33" t="s">
        <v>32</v>
      </c>
      <c r="C199" s="33" t="s">
        <v>491</v>
      </c>
      <c r="D199" s="42">
        <v>1.1368683772161603E-13</v>
      </c>
      <c r="E199" s="33" t="s">
        <v>224</v>
      </c>
      <c r="F199" s="34">
        <v>1022.1</v>
      </c>
      <c r="G199" s="34">
        <v>1022.0999999999999</v>
      </c>
      <c r="H199" s="33" t="s">
        <v>68</v>
      </c>
      <c r="I199" s="33" t="s">
        <v>590</v>
      </c>
    </row>
    <row r="200" spans="1:9" x14ac:dyDescent="0.2">
      <c r="A200" s="33" t="s">
        <v>332</v>
      </c>
      <c r="B200" s="33" t="s">
        <v>32</v>
      </c>
      <c r="C200" s="33" t="s">
        <v>492</v>
      </c>
      <c r="D200" s="42">
        <v>0</v>
      </c>
      <c r="E200" s="33" t="s">
        <v>224</v>
      </c>
      <c r="F200" s="34">
        <v>488.4</v>
      </c>
      <c r="G200" s="34">
        <v>488.4</v>
      </c>
      <c r="H200" s="33" t="s">
        <v>68</v>
      </c>
      <c r="I200" s="33" t="s">
        <v>592</v>
      </c>
    </row>
    <row r="201" spans="1:9" x14ac:dyDescent="0.2">
      <c r="A201" s="33" t="s">
        <v>597</v>
      </c>
      <c r="B201" s="33" t="s">
        <v>598</v>
      </c>
      <c r="C201" s="33" t="s">
        <v>452</v>
      </c>
      <c r="D201" s="42">
        <v>0</v>
      </c>
      <c r="E201" s="33" t="s">
        <v>68</v>
      </c>
      <c r="F201" s="34">
        <v>36.700000000000003</v>
      </c>
      <c r="G201" s="34">
        <v>36.700000000000003</v>
      </c>
      <c r="H201" s="33" t="s">
        <v>68</v>
      </c>
      <c r="I201" s="33" t="s">
        <v>68</v>
      </c>
    </row>
    <row r="202" spans="1:9" x14ac:dyDescent="0.2">
      <c r="A202" s="33" t="s">
        <v>333</v>
      </c>
      <c r="B202" s="33" t="s">
        <v>225</v>
      </c>
      <c r="C202" s="33" t="s">
        <v>582</v>
      </c>
      <c r="D202" s="42">
        <v>0</v>
      </c>
      <c r="E202" s="33" t="s">
        <v>224</v>
      </c>
      <c r="F202" s="34">
        <v>5</v>
      </c>
      <c r="G202" s="34">
        <v>5</v>
      </c>
      <c r="H202" s="33" t="s">
        <v>68</v>
      </c>
      <c r="I202" s="33" t="s">
        <v>68</v>
      </c>
    </row>
    <row r="203" spans="1:9" x14ac:dyDescent="0.2">
      <c r="A203" s="33" t="s">
        <v>333</v>
      </c>
      <c r="B203" s="33" t="s">
        <v>225</v>
      </c>
      <c r="C203" s="33" t="s">
        <v>436</v>
      </c>
      <c r="D203" s="42">
        <v>0</v>
      </c>
      <c r="E203" s="33" t="s">
        <v>224</v>
      </c>
      <c r="F203" s="34">
        <v>83</v>
      </c>
      <c r="G203" s="34">
        <v>83</v>
      </c>
      <c r="H203" s="33" t="s">
        <v>68</v>
      </c>
      <c r="I203" s="33" t="s">
        <v>583</v>
      </c>
    </row>
    <row r="204" spans="1:9" x14ac:dyDescent="0.2">
      <c r="A204" s="33" t="s">
        <v>333</v>
      </c>
      <c r="B204" s="33" t="s">
        <v>225</v>
      </c>
      <c r="C204" s="33" t="s">
        <v>471</v>
      </c>
      <c r="D204" s="42">
        <v>0</v>
      </c>
      <c r="E204" s="33" t="s">
        <v>224</v>
      </c>
      <c r="F204" s="34">
        <v>10</v>
      </c>
      <c r="G204" s="34">
        <v>10</v>
      </c>
      <c r="H204" s="33" t="s">
        <v>68</v>
      </c>
      <c r="I204" s="33" t="s">
        <v>464</v>
      </c>
    </row>
    <row r="205" spans="1:9" x14ac:dyDescent="0.2">
      <c r="A205" s="33" t="s">
        <v>333</v>
      </c>
      <c r="B205" s="33" t="s">
        <v>225</v>
      </c>
      <c r="C205" s="33" t="s">
        <v>599</v>
      </c>
      <c r="D205" s="42">
        <v>-3.5527136788005009E-15</v>
      </c>
      <c r="E205" s="33" t="s">
        <v>224</v>
      </c>
      <c r="F205" s="34">
        <v>20</v>
      </c>
      <c r="G205" s="34">
        <v>20.000000000000004</v>
      </c>
      <c r="H205" s="33" t="s">
        <v>68</v>
      </c>
      <c r="I205" s="33" t="s">
        <v>68</v>
      </c>
    </row>
    <row r="206" spans="1:9" x14ac:dyDescent="0.2">
      <c r="A206" s="33" t="s">
        <v>333</v>
      </c>
      <c r="B206" s="33" t="s">
        <v>225</v>
      </c>
      <c r="C206" s="33" t="s">
        <v>585</v>
      </c>
      <c r="D206" s="42">
        <v>-4.5474735088646412E-13</v>
      </c>
      <c r="E206" s="33" t="s">
        <v>224</v>
      </c>
      <c r="F206" s="34">
        <v>3089.2</v>
      </c>
      <c r="G206" s="34">
        <v>3089.2000000000003</v>
      </c>
      <c r="H206" s="33" t="s">
        <v>68</v>
      </c>
      <c r="I206" s="33" t="s">
        <v>586</v>
      </c>
    </row>
    <row r="207" spans="1:9" x14ac:dyDescent="0.2">
      <c r="A207" s="33" t="s">
        <v>333</v>
      </c>
      <c r="B207" s="33" t="s">
        <v>225</v>
      </c>
      <c r="C207" s="33" t="s">
        <v>600</v>
      </c>
      <c r="D207" s="42">
        <v>-5.6843418860808015E-14</v>
      </c>
      <c r="E207" s="33" t="s">
        <v>224</v>
      </c>
      <c r="F207" s="34">
        <v>507.9</v>
      </c>
      <c r="G207" s="34">
        <v>507.90000000000003</v>
      </c>
      <c r="H207" s="33" t="s">
        <v>68</v>
      </c>
      <c r="I207" s="33" t="s">
        <v>589</v>
      </c>
    </row>
    <row r="208" spans="1:9" x14ac:dyDescent="0.2">
      <c r="A208" s="33" t="s">
        <v>333</v>
      </c>
      <c r="B208" s="33" t="s">
        <v>225</v>
      </c>
      <c r="C208" s="33" t="s">
        <v>601</v>
      </c>
      <c r="D208" s="42">
        <v>0</v>
      </c>
      <c r="E208" s="33" t="s">
        <v>224</v>
      </c>
      <c r="F208" s="34">
        <v>2927.8</v>
      </c>
      <c r="G208" s="34">
        <v>2927.8</v>
      </c>
      <c r="H208" s="33" t="s">
        <v>68</v>
      </c>
      <c r="I208" s="33" t="s">
        <v>586</v>
      </c>
    </row>
    <row r="209" spans="1:9" x14ac:dyDescent="0.2">
      <c r="A209" s="33" t="s">
        <v>333</v>
      </c>
      <c r="B209" s="33" t="s">
        <v>225</v>
      </c>
      <c r="C209" s="33" t="s">
        <v>482</v>
      </c>
      <c r="D209" s="42">
        <v>4.5474735088646412E-13</v>
      </c>
      <c r="E209" s="33" t="s">
        <v>224</v>
      </c>
      <c r="F209" s="34">
        <v>3000</v>
      </c>
      <c r="G209" s="34">
        <v>2999.9999999999995</v>
      </c>
      <c r="H209" s="33" t="s">
        <v>68</v>
      </c>
      <c r="I209" s="33" t="s">
        <v>577</v>
      </c>
    </row>
    <row r="210" spans="1:9" x14ac:dyDescent="0.2">
      <c r="A210" s="33" t="s">
        <v>333</v>
      </c>
      <c r="B210" s="33" t="s">
        <v>225</v>
      </c>
      <c r="C210" s="33" t="s">
        <v>447</v>
      </c>
      <c r="D210" s="42">
        <v>0</v>
      </c>
      <c r="E210" s="33" t="s">
        <v>224</v>
      </c>
      <c r="F210" s="34">
        <v>2350</v>
      </c>
      <c r="G210" s="34">
        <v>2350</v>
      </c>
      <c r="H210" s="33" t="s">
        <v>68</v>
      </c>
      <c r="I210" s="33" t="s">
        <v>577</v>
      </c>
    </row>
    <row r="211" spans="1:9" x14ac:dyDescent="0.2">
      <c r="A211" s="33" t="s">
        <v>333</v>
      </c>
      <c r="B211" s="33" t="s">
        <v>225</v>
      </c>
      <c r="C211" s="33" t="s">
        <v>595</v>
      </c>
      <c r="D211" s="42">
        <v>0</v>
      </c>
      <c r="E211" s="33" t="s">
        <v>224</v>
      </c>
      <c r="F211" s="34">
        <v>534</v>
      </c>
      <c r="G211" s="34">
        <v>534</v>
      </c>
      <c r="H211" s="33" t="s">
        <v>68</v>
      </c>
      <c r="I211" s="33" t="s">
        <v>589</v>
      </c>
    </row>
    <row r="212" spans="1:9" x14ac:dyDescent="0.2">
      <c r="A212" s="33" t="s">
        <v>333</v>
      </c>
      <c r="B212" s="33" t="s">
        <v>225</v>
      </c>
      <c r="C212" s="33" t="s">
        <v>596</v>
      </c>
      <c r="D212" s="42">
        <v>3.5527136788005009E-15</v>
      </c>
      <c r="E212" s="33" t="s">
        <v>224</v>
      </c>
      <c r="F212" s="34">
        <v>23.6</v>
      </c>
      <c r="G212" s="34">
        <v>23.599999999999998</v>
      </c>
      <c r="H212" s="33" t="s">
        <v>68</v>
      </c>
      <c r="I212" s="33" t="s">
        <v>589</v>
      </c>
    </row>
    <row r="213" spans="1:9" x14ac:dyDescent="0.2">
      <c r="A213" s="33" t="s">
        <v>333</v>
      </c>
      <c r="B213" s="33" t="s">
        <v>225</v>
      </c>
      <c r="C213" s="33" t="s">
        <v>602</v>
      </c>
      <c r="D213" s="42">
        <v>-1.4210854715202004E-14</v>
      </c>
      <c r="E213" s="33" t="s">
        <v>224</v>
      </c>
      <c r="F213" s="34">
        <v>102</v>
      </c>
      <c r="G213" s="34">
        <v>102.00000000000001</v>
      </c>
      <c r="H213" s="33" t="s">
        <v>68</v>
      </c>
      <c r="I213" s="33" t="s">
        <v>577</v>
      </c>
    </row>
    <row r="214" spans="1:9" x14ac:dyDescent="0.2">
      <c r="A214" s="33" t="s">
        <v>333</v>
      </c>
      <c r="B214" s="33" t="s">
        <v>225</v>
      </c>
      <c r="C214" s="33" t="s">
        <v>450</v>
      </c>
      <c r="D214" s="42">
        <v>0</v>
      </c>
      <c r="E214" s="33" t="s">
        <v>224</v>
      </c>
      <c r="F214" s="34">
        <v>2238</v>
      </c>
      <c r="G214" s="34">
        <v>2238</v>
      </c>
      <c r="H214" s="33" t="s">
        <v>68</v>
      </c>
      <c r="I214" s="33" t="s">
        <v>590</v>
      </c>
    </row>
    <row r="215" spans="1:9" x14ac:dyDescent="0.2">
      <c r="A215" s="33" t="s">
        <v>333</v>
      </c>
      <c r="B215" s="33" t="s">
        <v>225</v>
      </c>
      <c r="C215" s="33" t="s">
        <v>451</v>
      </c>
      <c r="D215" s="42">
        <v>0</v>
      </c>
      <c r="E215" s="33" t="s">
        <v>224</v>
      </c>
      <c r="F215" s="34">
        <v>220.5</v>
      </c>
      <c r="G215" s="34">
        <v>220.5</v>
      </c>
      <c r="H215" s="33" t="s">
        <v>68</v>
      </c>
      <c r="I215" s="33" t="s">
        <v>475</v>
      </c>
    </row>
    <row r="216" spans="1:9" x14ac:dyDescent="0.2">
      <c r="A216" s="33" t="s">
        <v>333</v>
      </c>
      <c r="B216" s="33" t="s">
        <v>225</v>
      </c>
      <c r="C216" s="33" t="s">
        <v>591</v>
      </c>
      <c r="D216" s="42">
        <v>-2.2737367544323206E-13</v>
      </c>
      <c r="E216" s="33" t="s">
        <v>224</v>
      </c>
      <c r="F216" s="34">
        <v>1569.3</v>
      </c>
      <c r="G216" s="34">
        <v>1569.3000000000002</v>
      </c>
      <c r="H216" s="33" t="s">
        <v>68</v>
      </c>
      <c r="I216" s="33" t="s">
        <v>577</v>
      </c>
    </row>
    <row r="217" spans="1:9" x14ac:dyDescent="0.2">
      <c r="A217" s="33" t="s">
        <v>333</v>
      </c>
      <c r="B217" s="33" t="s">
        <v>225</v>
      </c>
      <c r="C217" s="33" t="s">
        <v>603</v>
      </c>
      <c r="D217" s="42">
        <v>-2.2737367544323206E-13</v>
      </c>
      <c r="E217" s="33" t="s">
        <v>224</v>
      </c>
      <c r="F217" s="34">
        <v>1763</v>
      </c>
      <c r="G217" s="34">
        <v>1763.0000000000002</v>
      </c>
      <c r="H217" s="33" t="s">
        <v>68</v>
      </c>
      <c r="I217" s="33" t="s">
        <v>68</v>
      </c>
    </row>
    <row r="218" spans="1:9" x14ac:dyDescent="0.2">
      <c r="A218" s="33" t="s">
        <v>333</v>
      </c>
      <c r="B218" s="33" t="s">
        <v>225</v>
      </c>
      <c r="C218" s="33" t="s">
        <v>497</v>
      </c>
      <c r="D218" s="42">
        <v>1.1368683772161603E-13</v>
      </c>
      <c r="E218" s="33" t="s">
        <v>224</v>
      </c>
      <c r="F218" s="34">
        <v>567</v>
      </c>
      <c r="G218" s="34">
        <v>566.99999999999989</v>
      </c>
      <c r="H218" s="33" t="s">
        <v>68</v>
      </c>
      <c r="I218" s="33" t="s">
        <v>68</v>
      </c>
    </row>
    <row r="219" spans="1:9" x14ac:dyDescent="0.2">
      <c r="A219" s="33" t="s">
        <v>333</v>
      </c>
      <c r="B219" s="33" t="s">
        <v>225</v>
      </c>
      <c r="C219" s="33" t="s">
        <v>455</v>
      </c>
      <c r="D219" s="42">
        <v>-2.2737367544323206E-13</v>
      </c>
      <c r="E219" s="33" t="s">
        <v>224</v>
      </c>
      <c r="F219" s="34">
        <v>1206.5999999999999</v>
      </c>
      <c r="G219" s="34">
        <v>1206.6000000000001</v>
      </c>
      <c r="H219" s="33" t="s">
        <v>68</v>
      </c>
      <c r="I219" s="33" t="s">
        <v>590</v>
      </c>
    </row>
    <row r="220" spans="1:9" x14ac:dyDescent="0.2">
      <c r="A220" s="33" t="s">
        <v>333</v>
      </c>
      <c r="B220" s="33" t="s">
        <v>225</v>
      </c>
      <c r="C220" s="33" t="s">
        <v>489</v>
      </c>
      <c r="D220" s="42">
        <v>-4.5474735088646412E-13</v>
      </c>
      <c r="E220" s="33" t="s">
        <v>224</v>
      </c>
      <c r="F220" s="34">
        <v>2420</v>
      </c>
      <c r="G220" s="34">
        <v>2420.0000000000005</v>
      </c>
      <c r="H220" s="33" t="s">
        <v>68</v>
      </c>
      <c r="I220" s="33" t="s">
        <v>590</v>
      </c>
    </row>
    <row r="221" spans="1:9" x14ac:dyDescent="0.2">
      <c r="A221" s="33" t="s">
        <v>333</v>
      </c>
      <c r="B221" s="33" t="s">
        <v>225</v>
      </c>
      <c r="C221" s="33" t="s">
        <v>490</v>
      </c>
      <c r="D221" s="42">
        <v>5.6843418860808015E-14</v>
      </c>
      <c r="E221" s="33" t="s">
        <v>224</v>
      </c>
      <c r="F221" s="34">
        <v>384.6</v>
      </c>
      <c r="G221" s="34">
        <v>384.59999999999997</v>
      </c>
      <c r="H221" s="33" t="s">
        <v>68</v>
      </c>
      <c r="I221" s="33" t="s">
        <v>592</v>
      </c>
    </row>
    <row r="222" spans="1:9" x14ac:dyDescent="0.2">
      <c r="A222" s="33" t="s">
        <v>333</v>
      </c>
      <c r="B222" s="33" t="s">
        <v>225</v>
      </c>
      <c r="C222" s="33" t="s">
        <v>604</v>
      </c>
      <c r="D222" s="42">
        <v>-7.1054273576010019E-15</v>
      </c>
      <c r="E222" s="33" t="s">
        <v>224</v>
      </c>
      <c r="F222" s="34">
        <v>36.9</v>
      </c>
      <c r="G222" s="34">
        <v>36.900000000000006</v>
      </c>
      <c r="H222" s="33" t="s">
        <v>68</v>
      </c>
      <c r="I222" s="33" t="s">
        <v>592</v>
      </c>
    </row>
    <row r="223" spans="1:9" x14ac:dyDescent="0.2">
      <c r="A223" s="33" t="s">
        <v>333</v>
      </c>
      <c r="B223" s="33" t="s">
        <v>225</v>
      </c>
      <c r="C223" s="33" t="s">
        <v>491</v>
      </c>
      <c r="D223" s="42">
        <v>2.2737367544323206E-13</v>
      </c>
      <c r="E223" s="33" t="s">
        <v>224</v>
      </c>
      <c r="F223" s="34">
        <v>1847.5</v>
      </c>
      <c r="G223" s="34">
        <v>1847.4999999999998</v>
      </c>
      <c r="H223" s="33" t="s">
        <v>68</v>
      </c>
      <c r="I223" s="33" t="s">
        <v>590</v>
      </c>
    </row>
    <row r="224" spans="1:9" x14ac:dyDescent="0.2">
      <c r="A224" s="33" t="s">
        <v>333</v>
      </c>
      <c r="B224" s="33" t="s">
        <v>225</v>
      </c>
      <c r="C224" s="33" t="s">
        <v>459</v>
      </c>
      <c r="D224" s="42">
        <v>2.2737367544323206E-13</v>
      </c>
      <c r="E224" s="33" t="s">
        <v>224</v>
      </c>
      <c r="F224" s="34">
        <v>1834</v>
      </c>
      <c r="G224" s="34">
        <v>1833.9999999999998</v>
      </c>
      <c r="H224" s="33" t="s">
        <v>68</v>
      </c>
      <c r="I224" s="33" t="s">
        <v>590</v>
      </c>
    </row>
    <row r="225" spans="1:9" x14ac:dyDescent="0.2">
      <c r="A225" s="33" t="s">
        <v>333</v>
      </c>
      <c r="B225" s="33" t="s">
        <v>225</v>
      </c>
      <c r="C225" s="33" t="s">
        <v>605</v>
      </c>
      <c r="D225" s="42">
        <v>-5.6843418860808015E-14</v>
      </c>
      <c r="E225" s="33" t="s">
        <v>224</v>
      </c>
      <c r="F225" s="34">
        <v>251.8</v>
      </c>
      <c r="G225" s="34">
        <v>251.80000000000007</v>
      </c>
      <c r="H225" s="33" t="s">
        <v>68</v>
      </c>
      <c r="I225" s="33" t="s">
        <v>592</v>
      </c>
    </row>
    <row r="226" spans="1:9" x14ac:dyDescent="0.2">
      <c r="A226" s="33" t="s">
        <v>606</v>
      </c>
      <c r="B226" s="33" t="s">
        <v>607</v>
      </c>
      <c r="C226" s="33" t="s">
        <v>497</v>
      </c>
      <c r="D226" s="42">
        <v>0</v>
      </c>
      <c r="E226" s="33" t="s">
        <v>68</v>
      </c>
      <c r="F226" s="34">
        <v>95.7</v>
      </c>
      <c r="G226" s="34">
        <v>95.7</v>
      </c>
      <c r="H226" s="33" t="s">
        <v>68</v>
      </c>
      <c r="I226" s="33" t="s">
        <v>68</v>
      </c>
    </row>
    <row r="227" spans="1:9" x14ac:dyDescent="0.2">
      <c r="A227" s="33" t="s">
        <v>334</v>
      </c>
      <c r="B227" s="33" t="s">
        <v>34</v>
      </c>
      <c r="C227" s="33" t="s">
        <v>436</v>
      </c>
      <c r="D227" s="42">
        <v>0</v>
      </c>
      <c r="E227" s="33" t="s">
        <v>224</v>
      </c>
      <c r="F227" s="34">
        <v>10</v>
      </c>
      <c r="G227" s="34">
        <v>10</v>
      </c>
      <c r="H227" s="33" t="s">
        <v>68</v>
      </c>
      <c r="I227" s="33" t="s">
        <v>608</v>
      </c>
    </row>
    <row r="228" spans="1:9" x14ac:dyDescent="0.2">
      <c r="A228" s="33" t="s">
        <v>334</v>
      </c>
      <c r="B228" s="33" t="s">
        <v>34</v>
      </c>
      <c r="C228" s="33" t="s">
        <v>585</v>
      </c>
      <c r="D228" s="42">
        <v>0</v>
      </c>
      <c r="E228" s="33" t="s">
        <v>224</v>
      </c>
      <c r="F228" s="34">
        <v>180</v>
      </c>
      <c r="G228" s="34">
        <v>180</v>
      </c>
      <c r="H228" s="33" t="s">
        <v>68</v>
      </c>
      <c r="I228" s="33" t="s">
        <v>586</v>
      </c>
    </row>
    <row r="229" spans="1:9" x14ac:dyDescent="0.2">
      <c r="A229" s="33" t="s">
        <v>334</v>
      </c>
      <c r="B229" s="33" t="s">
        <v>34</v>
      </c>
      <c r="C229" s="33" t="s">
        <v>482</v>
      </c>
      <c r="D229" s="42">
        <v>5.6843418860808015E-14</v>
      </c>
      <c r="E229" s="33" t="s">
        <v>224</v>
      </c>
      <c r="F229" s="34">
        <v>181</v>
      </c>
      <c r="G229" s="34">
        <v>180.99999999999994</v>
      </c>
      <c r="H229" s="33" t="s">
        <v>68</v>
      </c>
      <c r="I229" s="33" t="s">
        <v>577</v>
      </c>
    </row>
    <row r="230" spans="1:9" x14ac:dyDescent="0.2">
      <c r="A230" s="33" t="s">
        <v>334</v>
      </c>
      <c r="B230" s="33" t="s">
        <v>34</v>
      </c>
      <c r="C230" s="33" t="s">
        <v>450</v>
      </c>
      <c r="D230" s="42">
        <v>2.8421709430404007E-14</v>
      </c>
      <c r="E230" s="33" t="s">
        <v>224</v>
      </c>
      <c r="F230" s="34">
        <v>186.3</v>
      </c>
      <c r="G230" s="34">
        <v>186.29999999999998</v>
      </c>
      <c r="H230" s="33" t="s">
        <v>68</v>
      </c>
      <c r="I230" s="33" t="s">
        <v>590</v>
      </c>
    </row>
    <row r="231" spans="1:9" x14ac:dyDescent="0.2">
      <c r="A231" s="33" t="s">
        <v>334</v>
      </c>
      <c r="B231" s="33" t="s">
        <v>34</v>
      </c>
      <c r="C231" s="33" t="s">
        <v>452</v>
      </c>
      <c r="D231" s="42">
        <v>0</v>
      </c>
      <c r="E231" s="33" t="s">
        <v>224</v>
      </c>
      <c r="F231" s="34">
        <v>12.1</v>
      </c>
      <c r="G231" s="34">
        <v>12.1</v>
      </c>
      <c r="H231" s="33" t="s">
        <v>68</v>
      </c>
      <c r="I231" s="33" t="s">
        <v>592</v>
      </c>
    </row>
    <row r="232" spans="1:9" x14ac:dyDescent="0.2">
      <c r="A232" s="33" t="s">
        <v>334</v>
      </c>
      <c r="B232" s="33" t="s">
        <v>34</v>
      </c>
      <c r="C232" s="33" t="s">
        <v>499</v>
      </c>
      <c r="D232" s="42">
        <v>0</v>
      </c>
      <c r="E232" s="33" t="s">
        <v>224</v>
      </c>
      <c r="F232" s="34">
        <v>85.8</v>
      </c>
      <c r="G232" s="34">
        <v>85.8</v>
      </c>
      <c r="H232" s="33" t="s">
        <v>68</v>
      </c>
      <c r="I232" s="33" t="s">
        <v>590</v>
      </c>
    </row>
    <row r="233" spans="1:9" x14ac:dyDescent="0.2">
      <c r="A233" s="33" t="s">
        <v>334</v>
      </c>
      <c r="B233" s="33" t="s">
        <v>34</v>
      </c>
      <c r="C233" s="33" t="s">
        <v>490</v>
      </c>
      <c r="D233" s="42">
        <v>3.5527136788005009E-15</v>
      </c>
      <c r="E233" s="33" t="s">
        <v>224</v>
      </c>
      <c r="F233" s="34">
        <v>31.6</v>
      </c>
      <c r="G233" s="34">
        <v>31.599999999999998</v>
      </c>
      <c r="H233" s="33" t="s">
        <v>68</v>
      </c>
      <c r="I233" s="33" t="s">
        <v>592</v>
      </c>
    </row>
    <row r="234" spans="1:9" x14ac:dyDescent="0.2">
      <c r="A234" s="33" t="s">
        <v>334</v>
      </c>
      <c r="B234" s="33" t="s">
        <v>34</v>
      </c>
      <c r="C234" s="33" t="s">
        <v>458</v>
      </c>
      <c r="D234" s="42">
        <v>1.4210854715202004E-14</v>
      </c>
      <c r="E234" s="33" t="s">
        <v>224</v>
      </c>
      <c r="F234" s="34">
        <v>80.7</v>
      </c>
      <c r="G234" s="34">
        <v>80.699999999999989</v>
      </c>
      <c r="H234" s="33" t="s">
        <v>68</v>
      </c>
      <c r="I234" s="33" t="s">
        <v>590</v>
      </c>
    </row>
    <row r="235" spans="1:9" x14ac:dyDescent="0.2">
      <c r="A235" s="33" t="s">
        <v>334</v>
      </c>
      <c r="B235" s="33" t="s">
        <v>34</v>
      </c>
      <c r="C235" s="33" t="s">
        <v>492</v>
      </c>
      <c r="D235" s="42">
        <v>7.1054273576010019E-15</v>
      </c>
      <c r="E235" s="33" t="s">
        <v>224</v>
      </c>
      <c r="F235" s="34">
        <v>31.1</v>
      </c>
      <c r="G235" s="34">
        <v>31.099999999999994</v>
      </c>
      <c r="H235" s="33" t="s">
        <v>68</v>
      </c>
      <c r="I235" s="33" t="s">
        <v>592</v>
      </c>
    </row>
    <row r="236" spans="1:9" x14ac:dyDescent="0.2">
      <c r="A236" s="33" t="s">
        <v>609</v>
      </c>
      <c r="B236" s="33" t="s">
        <v>610</v>
      </c>
      <c r="C236" s="33" t="s">
        <v>450</v>
      </c>
      <c r="D236" s="42">
        <v>4.4408920985006262E-16</v>
      </c>
      <c r="E236" s="33" t="s">
        <v>68</v>
      </c>
      <c r="F236" s="34">
        <v>3.7</v>
      </c>
      <c r="G236" s="34">
        <v>3.6999999999999997</v>
      </c>
      <c r="H236" s="33" t="s">
        <v>68</v>
      </c>
      <c r="I236" s="33" t="s">
        <v>68</v>
      </c>
    </row>
    <row r="237" spans="1:9" x14ac:dyDescent="0.2">
      <c r="A237" s="33" t="s">
        <v>335</v>
      </c>
      <c r="B237" s="33" t="s">
        <v>35</v>
      </c>
      <c r="C237" s="33" t="s">
        <v>436</v>
      </c>
      <c r="D237" s="42">
        <v>0</v>
      </c>
      <c r="E237" s="33" t="s">
        <v>224</v>
      </c>
      <c r="F237" s="34">
        <v>9</v>
      </c>
      <c r="G237" s="34">
        <v>9</v>
      </c>
      <c r="H237" s="33" t="s">
        <v>68</v>
      </c>
      <c r="I237" s="33" t="s">
        <v>608</v>
      </c>
    </row>
    <row r="238" spans="1:9" x14ac:dyDescent="0.2">
      <c r="A238" s="33" t="s">
        <v>335</v>
      </c>
      <c r="B238" s="33" t="s">
        <v>35</v>
      </c>
      <c r="C238" s="33" t="s">
        <v>585</v>
      </c>
      <c r="D238" s="42">
        <v>0</v>
      </c>
      <c r="E238" s="33" t="s">
        <v>224</v>
      </c>
      <c r="F238" s="34">
        <v>188</v>
      </c>
      <c r="G238" s="34">
        <v>188</v>
      </c>
      <c r="H238" s="33" t="s">
        <v>68</v>
      </c>
      <c r="I238" s="33" t="s">
        <v>586</v>
      </c>
    </row>
    <row r="239" spans="1:9" x14ac:dyDescent="0.2">
      <c r="A239" s="33" t="s">
        <v>335</v>
      </c>
      <c r="B239" s="33" t="s">
        <v>35</v>
      </c>
      <c r="C239" s="33" t="s">
        <v>479</v>
      </c>
      <c r="D239" s="42">
        <v>0</v>
      </c>
      <c r="E239" s="33" t="s">
        <v>224</v>
      </c>
      <c r="F239" s="34">
        <v>26.2</v>
      </c>
      <c r="G239" s="34">
        <v>26.2</v>
      </c>
      <c r="H239" s="33" t="s">
        <v>68</v>
      </c>
      <c r="I239" s="33" t="s">
        <v>586</v>
      </c>
    </row>
    <row r="240" spans="1:9" x14ac:dyDescent="0.2">
      <c r="A240" s="33" t="s">
        <v>335</v>
      </c>
      <c r="B240" s="33" t="s">
        <v>35</v>
      </c>
      <c r="C240" s="33" t="s">
        <v>494</v>
      </c>
      <c r="D240" s="42">
        <v>0</v>
      </c>
      <c r="E240" s="33" t="s">
        <v>224</v>
      </c>
      <c r="F240" s="34">
        <v>134.1</v>
      </c>
      <c r="G240" s="34">
        <v>134.1</v>
      </c>
      <c r="H240" s="33" t="s">
        <v>68</v>
      </c>
      <c r="I240" s="33" t="s">
        <v>68</v>
      </c>
    </row>
    <row r="241" spans="1:9" x14ac:dyDescent="0.2">
      <c r="A241" s="33" t="s">
        <v>335</v>
      </c>
      <c r="B241" s="33" t="s">
        <v>35</v>
      </c>
      <c r="C241" s="33" t="s">
        <v>482</v>
      </c>
      <c r="D241" s="42">
        <v>5.6843418860808015E-14</v>
      </c>
      <c r="E241" s="33" t="s">
        <v>224</v>
      </c>
      <c r="F241" s="34">
        <v>330</v>
      </c>
      <c r="G241" s="34">
        <v>329.99999999999994</v>
      </c>
      <c r="H241" s="33" t="s">
        <v>68</v>
      </c>
      <c r="I241" s="33" t="s">
        <v>577</v>
      </c>
    </row>
    <row r="242" spans="1:9" x14ac:dyDescent="0.2">
      <c r="A242" s="33" t="s">
        <v>335</v>
      </c>
      <c r="B242" s="33" t="s">
        <v>35</v>
      </c>
      <c r="C242" s="33" t="s">
        <v>450</v>
      </c>
      <c r="D242" s="42">
        <v>0</v>
      </c>
      <c r="E242" s="33" t="s">
        <v>224</v>
      </c>
      <c r="F242" s="34">
        <v>227.3</v>
      </c>
      <c r="G242" s="34">
        <v>227.3</v>
      </c>
      <c r="H242" s="33" t="s">
        <v>68</v>
      </c>
      <c r="I242" s="33" t="s">
        <v>590</v>
      </c>
    </row>
    <row r="243" spans="1:9" x14ac:dyDescent="0.2">
      <c r="A243" s="33" t="s">
        <v>335</v>
      </c>
      <c r="B243" s="33" t="s">
        <v>35</v>
      </c>
      <c r="C243" s="33" t="s">
        <v>451</v>
      </c>
      <c r="D243" s="42">
        <v>0</v>
      </c>
      <c r="E243" s="33" t="s">
        <v>224</v>
      </c>
      <c r="F243" s="34">
        <v>106</v>
      </c>
      <c r="G243" s="34">
        <v>106</v>
      </c>
      <c r="H243" s="33" t="s">
        <v>68</v>
      </c>
      <c r="I243" s="33" t="s">
        <v>68</v>
      </c>
    </row>
    <row r="244" spans="1:9" x14ac:dyDescent="0.2">
      <c r="A244" s="33" t="s">
        <v>335</v>
      </c>
      <c r="B244" s="33" t="s">
        <v>35</v>
      </c>
      <c r="C244" s="33" t="s">
        <v>452</v>
      </c>
      <c r="D244" s="42">
        <v>0</v>
      </c>
      <c r="E244" s="33" t="s">
        <v>224</v>
      </c>
      <c r="F244" s="34">
        <v>44.6</v>
      </c>
      <c r="G244" s="34">
        <v>44.6</v>
      </c>
      <c r="H244" s="33" t="s">
        <v>68</v>
      </c>
      <c r="I244" s="33" t="s">
        <v>68</v>
      </c>
    </row>
    <row r="245" spans="1:9" x14ac:dyDescent="0.2">
      <c r="A245" s="33" t="s">
        <v>335</v>
      </c>
      <c r="B245" s="33" t="s">
        <v>35</v>
      </c>
      <c r="C245" s="33" t="s">
        <v>499</v>
      </c>
      <c r="D245" s="42">
        <v>2.8421709430404007E-14</v>
      </c>
      <c r="E245" s="33" t="s">
        <v>224</v>
      </c>
      <c r="F245" s="34">
        <v>238.4</v>
      </c>
      <c r="G245" s="34">
        <v>238.39999999999998</v>
      </c>
      <c r="H245" s="33" t="s">
        <v>68</v>
      </c>
      <c r="I245" s="33" t="s">
        <v>590</v>
      </c>
    </row>
    <row r="246" spans="1:9" x14ac:dyDescent="0.2">
      <c r="A246" s="33" t="s">
        <v>335</v>
      </c>
      <c r="B246" s="33" t="s">
        <v>35</v>
      </c>
      <c r="C246" s="33" t="s">
        <v>490</v>
      </c>
      <c r="D246" s="42">
        <v>0</v>
      </c>
      <c r="E246" s="33" t="s">
        <v>224</v>
      </c>
      <c r="F246" s="34">
        <v>10.6</v>
      </c>
      <c r="G246" s="34">
        <v>10.6</v>
      </c>
      <c r="H246" s="33" t="s">
        <v>68</v>
      </c>
      <c r="I246" s="33" t="s">
        <v>592</v>
      </c>
    </row>
    <row r="247" spans="1:9" x14ac:dyDescent="0.2">
      <c r="A247" s="33" t="s">
        <v>335</v>
      </c>
      <c r="B247" s="33" t="s">
        <v>35</v>
      </c>
      <c r="C247" s="33" t="s">
        <v>458</v>
      </c>
      <c r="D247" s="42">
        <v>-2.8421709430404007E-14</v>
      </c>
      <c r="E247" s="33" t="s">
        <v>224</v>
      </c>
      <c r="F247" s="34">
        <v>222</v>
      </c>
      <c r="G247" s="34">
        <v>222.00000000000003</v>
      </c>
      <c r="H247" s="33" t="s">
        <v>68</v>
      </c>
      <c r="I247" s="33" t="s">
        <v>590</v>
      </c>
    </row>
    <row r="248" spans="1:9" x14ac:dyDescent="0.2">
      <c r="A248" s="33" t="s">
        <v>611</v>
      </c>
      <c r="B248" s="33" t="s">
        <v>612</v>
      </c>
      <c r="C248" s="33" t="s">
        <v>451</v>
      </c>
      <c r="D248" s="42">
        <v>8.8817841970012523E-16</v>
      </c>
      <c r="E248" s="33" t="s">
        <v>68</v>
      </c>
      <c r="F248" s="34">
        <v>5.2</v>
      </c>
      <c r="G248" s="34">
        <v>5.1999999999999993</v>
      </c>
      <c r="H248" s="33" t="s">
        <v>68</v>
      </c>
      <c r="I248" s="33" t="s">
        <v>68</v>
      </c>
    </row>
    <row r="249" spans="1:9" x14ac:dyDescent="0.2">
      <c r="A249" s="33" t="s">
        <v>336</v>
      </c>
      <c r="B249" s="33" t="s">
        <v>36</v>
      </c>
      <c r="C249" s="33" t="s">
        <v>436</v>
      </c>
      <c r="D249" s="42">
        <v>0</v>
      </c>
      <c r="E249" s="33" t="s">
        <v>224</v>
      </c>
      <c r="F249" s="34">
        <v>3</v>
      </c>
      <c r="G249" s="34">
        <v>3</v>
      </c>
      <c r="H249" s="33" t="s">
        <v>68</v>
      </c>
      <c r="I249" s="33" t="s">
        <v>608</v>
      </c>
    </row>
    <row r="250" spans="1:9" x14ac:dyDescent="0.2">
      <c r="A250" s="33" t="s">
        <v>336</v>
      </c>
      <c r="B250" s="33" t="s">
        <v>36</v>
      </c>
      <c r="C250" s="33" t="s">
        <v>585</v>
      </c>
      <c r="D250" s="42">
        <v>0</v>
      </c>
      <c r="E250" s="33" t="s">
        <v>224</v>
      </c>
      <c r="F250" s="34">
        <v>40.6</v>
      </c>
      <c r="G250" s="34">
        <v>40.6</v>
      </c>
      <c r="H250" s="33" t="s">
        <v>68</v>
      </c>
      <c r="I250" s="33" t="s">
        <v>586</v>
      </c>
    </row>
    <row r="251" spans="1:9" x14ac:dyDescent="0.2">
      <c r="A251" s="33" t="s">
        <v>336</v>
      </c>
      <c r="B251" s="33" t="s">
        <v>36</v>
      </c>
      <c r="C251" s="33" t="s">
        <v>482</v>
      </c>
      <c r="D251" s="42">
        <v>0</v>
      </c>
      <c r="E251" s="33" t="s">
        <v>224</v>
      </c>
      <c r="F251" s="34">
        <v>41</v>
      </c>
      <c r="G251" s="34">
        <v>41</v>
      </c>
      <c r="H251" s="33" t="s">
        <v>68</v>
      </c>
      <c r="I251" s="33" t="s">
        <v>577</v>
      </c>
    </row>
    <row r="252" spans="1:9" x14ac:dyDescent="0.2">
      <c r="A252" s="33" t="s">
        <v>336</v>
      </c>
      <c r="B252" s="33" t="s">
        <v>36</v>
      </c>
      <c r="C252" s="33" t="s">
        <v>450</v>
      </c>
      <c r="D252" s="42">
        <v>0</v>
      </c>
      <c r="E252" s="33" t="s">
        <v>224</v>
      </c>
      <c r="F252" s="34">
        <v>33</v>
      </c>
      <c r="G252" s="34">
        <v>33</v>
      </c>
      <c r="H252" s="33" t="s">
        <v>68</v>
      </c>
      <c r="I252" s="33" t="s">
        <v>590</v>
      </c>
    </row>
    <row r="253" spans="1:9" x14ac:dyDescent="0.2">
      <c r="A253" s="33" t="s">
        <v>336</v>
      </c>
      <c r="B253" s="33" t="s">
        <v>36</v>
      </c>
      <c r="C253" s="33" t="s">
        <v>486</v>
      </c>
      <c r="D253" s="42">
        <v>0</v>
      </c>
      <c r="E253" s="33" t="s">
        <v>224</v>
      </c>
      <c r="F253" s="34">
        <v>20</v>
      </c>
      <c r="G253" s="34">
        <v>20</v>
      </c>
      <c r="H253" s="33" t="s">
        <v>68</v>
      </c>
      <c r="I253" s="33" t="s">
        <v>68</v>
      </c>
    </row>
    <row r="254" spans="1:9" x14ac:dyDescent="0.2">
      <c r="A254" s="33" t="s">
        <v>336</v>
      </c>
      <c r="B254" s="33" t="s">
        <v>36</v>
      </c>
      <c r="C254" s="33" t="s">
        <v>499</v>
      </c>
      <c r="D254" s="42">
        <v>0</v>
      </c>
      <c r="E254" s="33" t="s">
        <v>224</v>
      </c>
      <c r="F254" s="34">
        <v>31.6</v>
      </c>
      <c r="G254" s="34">
        <v>31.6</v>
      </c>
      <c r="H254" s="33" t="s">
        <v>68</v>
      </c>
      <c r="I254" s="33" t="s">
        <v>590</v>
      </c>
    </row>
    <row r="255" spans="1:9" x14ac:dyDescent="0.2">
      <c r="A255" s="33" t="s">
        <v>336</v>
      </c>
      <c r="B255" s="33" t="s">
        <v>36</v>
      </c>
      <c r="C255" s="33" t="s">
        <v>458</v>
      </c>
      <c r="D255" s="42">
        <v>3.5527136788005009E-15</v>
      </c>
      <c r="E255" s="33" t="s">
        <v>224</v>
      </c>
      <c r="F255" s="34">
        <v>25.1</v>
      </c>
      <c r="G255" s="34">
        <v>25.099999999999998</v>
      </c>
      <c r="H255" s="33" t="s">
        <v>68</v>
      </c>
      <c r="I255" s="33" t="s">
        <v>590</v>
      </c>
    </row>
    <row r="256" spans="1:9" x14ac:dyDescent="0.2">
      <c r="A256" s="33" t="s">
        <v>613</v>
      </c>
      <c r="B256" s="33" t="s">
        <v>614</v>
      </c>
      <c r="C256" s="33" t="s">
        <v>486</v>
      </c>
      <c r="D256" s="42">
        <v>0</v>
      </c>
      <c r="E256" s="33" t="s">
        <v>68</v>
      </c>
      <c r="F256" s="34">
        <v>2.2000000000000002</v>
      </c>
      <c r="G256" s="34">
        <v>2.2000000000000002</v>
      </c>
      <c r="H256" s="33" t="s">
        <v>68</v>
      </c>
      <c r="I256" s="33" t="s">
        <v>68</v>
      </c>
    </row>
    <row r="257" spans="1:9" x14ac:dyDescent="0.2">
      <c r="A257" s="33" t="s">
        <v>337</v>
      </c>
      <c r="B257" s="33" t="s">
        <v>37</v>
      </c>
      <c r="C257" s="33" t="s">
        <v>436</v>
      </c>
      <c r="D257" s="42">
        <v>0</v>
      </c>
      <c r="E257" s="33" t="s">
        <v>224</v>
      </c>
      <c r="F257" s="34">
        <v>2.8</v>
      </c>
      <c r="G257" s="34">
        <v>2.8</v>
      </c>
      <c r="H257" s="33" t="s">
        <v>68</v>
      </c>
      <c r="I257" s="33" t="s">
        <v>608</v>
      </c>
    </row>
    <row r="258" spans="1:9" x14ac:dyDescent="0.2">
      <c r="A258" s="33" t="s">
        <v>337</v>
      </c>
      <c r="B258" s="33" t="s">
        <v>37</v>
      </c>
      <c r="C258" s="33" t="s">
        <v>585</v>
      </c>
      <c r="D258" s="42">
        <v>0</v>
      </c>
      <c r="E258" s="33" t="s">
        <v>224</v>
      </c>
      <c r="F258" s="34">
        <v>44</v>
      </c>
      <c r="G258" s="34">
        <v>44</v>
      </c>
      <c r="H258" s="33" t="s">
        <v>68</v>
      </c>
      <c r="I258" s="33" t="s">
        <v>586</v>
      </c>
    </row>
    <row r="259" spans="1:9" x14ac:dyDescent="0.2">
      <c r="A259" s="33" t="s">
        <v>337</v>
      </c>
      <c r="B259" s="33" t="s">
        <v>37</v>
      </c>
      <c r="C259" s="33" t="s">
        <v>482</v>
      </c>
      <c r="D259" s="42">
        <v>7.1054273576010019E-15</v>
      </c>
      <c r="E259" s="33" t="s">
        <v>224</v>
      </c>
      <c r="F259" s="34">
        <v>48.5</v>
      </c>
      <c r="G259" s="34">
        <v>48.499999999999993</v>
      </c>
      <c r="H259" s="33" t="s">
        <v>68</v>
      </c>
      <c r="I259" s="33" t="s">
        <v>577</v>
      </c>
    </row>
    <row r="260" spans="1:9" x14ac:dyDescent="0.2">
      <c r="A260" s="33" t="s">
        <v>337</v>
      </c>
      <c r="B260" s="33" t="s">
        <v>37</v>
      </c>
      <c r="C260" s="33" t="s">
        <v>450</v>
      </c>
      <c r="D260" s="42">
        <v>0</v>
      </c>
      <c r="E260" s="33" t="s">
        <v>224</v>
      </c>
      <c r="F260" s="34">
        <v>34.5</v>
      </c>
      <c r="G260" s="34">
        <v>34.5</v>
      </c>
      <c r="H260" s="33" t="s">
        <v>68</v>
      </c>
      <c r="I260" s="33" t="s">
        <v>590</v>
      </c>
    </row>
    <row r="261" spans="1:9" x14ac:dyDescent="0.2">
      <c r="A261" s="33" t="s">
        <v>337</v>
      </c>
      <c r="B261" s="33" t="s">
        <v>37</v>
      </c>
      <c r="C261" s="33" t="s">
        <v>451</v>
      </c>
      <c r="D261" s="42">
        <v>0</v>
      </c>
      <c r="E261" s="33" t="s">
        <v>224</v>
      </c>
      <c r="F261" s="34">
        <v>21</v>
      </c>
      <c r="G261" s="34">
        <v>21</v>
      </c>
      <c r="H261" s="33" t="s">
        <v>68</v>
      </c>
      <c r="I261" s="33" t="s">
        <v>68</v>
      </c>
    </row>
    <row r="262" spans="1:9" x14ac:dyDescent="0.2">
      <c r="A262" s="33" t="s">
        <v>337</v>
      </c>
      <c r="B262" s="33" t="s">
        <v>37</v>
      </c>
      <c r="C262" s="33" t="s">
        <v>499</v>
      </c>
      <c r="D262" s="42">
        <v>0</v>
      </c>
      <c r="E262" s="33" t="s">
        <v>224</v>
      </c>
      <c r="F262" s="34">
        <v>38.200000000000003</v>
      </c>
      <c r="G262" s="34">
        <v>38.200000000000003</v>
      </c>
      <c r="H262" s="33" t="s">
        <v>68</v>
      </c>
      <c r="I262" s="33" t="s">
        <v>590</v>
      </c>
    </row>
    <row r="263" spans="1:9" x14ac:dyDescent="0.2">
      <c r="A263" s="33" t="s">
        <v>337</v>
      </c>
      <c r="B263" s="33" t="s">
        <v>37</v>
      </c>
      <c r="C263" s="33" t="s">
        <v>458</v>
      </c>
      <c r="D263" s="42">
        <v>3.5527136788005009E-15</v>
      </c>
      <c r="E263" s="33" t="s">
        <v>224</v>
      </c>
      <c r="F263" s="34">
        <v>30</v>
      </c>
      <c r="G263" s="34">
        <v>29.999999999999996</v>
      </c>
      <c r="H263" s="33" t="s">
        <v>68</v>
      </c>
      <c r="I263" s="33" t="s">
        <v>590</v>
      </c>
    </row>
    <row r="264" spans="1:9" x14ac:dyDescent="0.2">
      <c r="A264" s="33" t="s">
        <v>615</v>
      </c>
      <c r="B264" s="33" t="s">
        <v>616</v>
      </c>
      <c r="C264" s="33" t="s">
        <v>451</v>
      </c>
      <c r="D264" s="42">
        <v>0</v>
      </c>
      <c r="E264" s="33" t="s">
        <v>68</v>
      </c>
      <c r="F264" s="34">
        <v>2.2000000000000002</v>
      </c>
      <c r="G264" s="34">
        <v>2.2000000000000002</v>
      </c>
      <c r="H264" s="33" t="s">
        <v>68</v>
      </c>
      <c r="I264" s="33" t="s">
        <v>68</v>
      </c>
    </row>
    <row r="265" spans="1:9" x14ac:dyDescent="0.2">
      <c r="A265" s="33" t="s">
        <v>338</v>
      </c>
      <c r="B265" s="33" t="s">
        <v>38</v>
      </c>
      <c r="C265" s="33" t="s">
        <v>436</v>
      </c>
      <c r="D265" s="42">
        <v>0</v>
      </c>
      <c r="E265" s="33" t="s">
        <v>224</v>
      </c>
      <c r="F265" s="34">
        <v>2.8</v>
      </c>
      <c r="G265" s="34">
        <v>2.8</v>
      </c>
      <c r="H265" s="33" t="s">
        <v>68</v>
      </c>
      <c r="I265" s="33" t="s">
        <v>608</v>
      </c>
    </row>
    <row r="266" spans="1:9" x14ac:dyDescent="0.2">
      <c r="A266" s="33" t="s">
        <v>338</v>
      </c>
      <c r="B266" s="33" t="s">
        <v>38</v>
      </c>
      <c r="C266" s="33" t="s">
        <v>585</v>
      </c>
      <c r="D266" s="42">
        <v>0</v>
      </c>
      <c r="E266" s="33" t="s">
        <v>224</v>
      </c>
      <c r="F266" s="34">
        <v>47.5</v>
      </c>
      <c r="G266" s="34">
        <v>47.5</v>
      </c>
      <c r="H266" s="33" t="s">
        <v>68</v>
      </c>
      <c r="I266" s="33" t="s">
        <v>586</v>
      </c>
    </row>
    <row r="267" spans="1:9" x14ac:dyDescent="0.2">
      <c r="A267" s="33" t="s">
        <v>338</v>
      </c>
      <c r="B267" s="33" t="s">
        <v>38</v>
      </c>
      <c r="C267" s="33" t="s">
        <v>482</v>
      </c>
      <c r="D267" s="42">
        <v>0</v>
      </c>
      <c r="E267" s="33" t="s">
        <v>224</v>
      </c>
      <c r="F267" s="34">
        <v>52</v>
      </c>
      <c r="G267" s="34">
        <v>52</v>
      </c>
      <c r="H267" s="33" t="s">
        <v>68</v>
      </c>
      <c r="I267" s="33" t="s">
        <v>577</v>
      </c>
    </row>
    <row r="268" spans="1:9" x14ac:dyDescent="0.2">
      <c r="A268" s="33" t="s">
        <v>338</v>
      </c>
      <c r="B268" s="33" t="s">
        <v>38</v>
      </c>
      <c r="C268" s="33" t="s">
        <v>450</v>
      </c>
      <c r="D268" s="42">
        <v>0</v>
      </c>
      <c r="E268" s="33" t="s">
        <v>224</v>
      </c>
      <c r="F268" s="34">
        <v>66.3</v>
      </c>
      <c r="G268" s="34">
        <v>66.3</v>
      </c>
      <c r="H268" s="33" t="s">
        <v>68</v>
      </c>
      <c r="I268" s="33" t="s">
        <v>590</v>
      </c>
    </row>
    <row r="269" spans="1:9" x14ac:dyDescent="0.2">
      <c r="A269" s="33" t="s">
        <v>338</v>
      </c>
      <c r="B269" s="33" t="s">
        <v>38</v>
      </c>
      <c r="C269" s="33" t="s">
        <v>499</v>
      </c>
      <c r="D269" s="42">
        <v>0</v>
      </c>
      <c r="E269" s="33" t="s">
        <v>224</v>
      </c>
      <c r="F269" s="34">
        <v>39.200000000000003</v>
      </c>
      <c r="G269" s="34">
        <v>39.200000000000003</v>
      </c>
      <c r="H269" s="33" t="s">
        <v>68</v>
      </c>
      <c r="I269" s="33" t="s">
        <v>590</v>
      </c>
    </row>
    <row r="270" spans="1:9" x14ac:dyDescent="0.2">
      <c r="A270" s="33" t="s">
        <v>338</v>
      </c>
      <c r="B270" s="33" t="s">
        <v>38</v>
      </c>
      <c r="C270" s="33" t="s">
        <v>458</v>
      </c>
      <c r="D270" s="42">
        <v>7.1054273576010019E-15</v>
      </c>
      <c r="E270" s="33" t="s">
        <v>224</v>
      </c>
      <c r="F270" s="34">
        <v>30.6</v>
      </c>
      <c r="G270" s="34">
        <v>30.599999999999994</v>
      </c>
      <c r="H270" s="33" t="s">
        <v>68</v>
      </c>
      <c r="I270" s="33" t="s">
        <v>590</v>
      </c>
    </row>
    <row r="271" spans="1:9" x14ac:dyDescent="0.2">
      <c r="A271" s="33" t="s">
        <v>617</v>
      </c>
      <c r="B271" s="33" t="s">
        <v>618</v>
      </c>
      <c r="C271" s="33" t="s">
        <v>450</v>
      </c>
      <c r="D271" s="42">
        <v>0</v>
      </c>
      <c r="E271" s="33" t="s">
        <v>68</v>
      </c>
      <c r="F271" s="34">
        <v>2.2000000000000002</v>
      </c>
      <c r="G271" s="34">
        <v>2.2000000000000002</v>
      </c>
      <c r="H271" s="33" t="s">
        <v>68</v>
      </c>
      <c r="I271" s="33" t="s">
        <v>68</v>
      </c>
    </row>
    <row r="272" spans="1:9" x14ac:dyDescent="0.2">
      <c r="A272" s="33" t="s">
        <v>339</v>
      </c>
      <c r="B272" s="33" t="s">
        <v>39</v>
      </c>
      <c r="C272" s="33" t="s">
        <v>436</v>
      </c>
      <c r="D272" s="42">
        <v>0</v>
      </c>
      <c r="E272" s="33" t="s">
        <v>224</v>
      </c>
      <c r="F272" s="34">
        <v>10</v>
      </c>
      <c r="G272" s="34">
        <v>10</v>
      </c>
      <c r="H272" s="33" t="s">
        <v>68</v>
      </c>
      <c r="I272" s="33" t="s">
        <v>608</v>
      </c>
    </row>
    <row r="273" spans="1:9" x14ac:dyDescent="0.2">
      <c r="A273" s="33" t="s">
        <v>339</v>
      </c>
      <c r="B273" s="33" t="s">
        <v>39</v>
      </c>
      <c r="C273" s="33" t="s">
        <v>585</v>
      </c>
      <c r="D273" s="42">
        <v>-7.1054273576010019E-15</v>
      </c>
      <c r="E273" s="33" t="s">
        <v>224</v>
      </c>
      <c r="F273" s="34">
        <v>43.4</v>
      </c>
      <c r="G273" s="34">
        <v>43.400000000000006</v>
      </c>
      <c r="H273" s="33" t="s">
        <v>68</v>
      </c>
      <c r="I273" s="33" t="s">
        <v>586</v>
      </c>
    </row>
    <row r="274" spans="1:9" x14ac:dyDescent="0.2">
      <c r="A274" s="33" t="s">
        <v>339</v>
      </c>
      <c r="B274" s="33" t="s">
        <v>39</v>
      </c>
      <c r="C274" s="33" t="s">
        <v>482</v>
      </c>
      <c r="D274" s="42">
        <v>0</v>
      </c>
      <c r="E274" s="33" t="s">
        <v>224</v>
      </c>
      <c r="F274" s="34">
        <v>46</v>
      </c>
      <c r="G274" s="34">
        <v>46</v>
      </c>
      <c r="H274" s="33" t="s">
        <v>68</v>
      </c>
      <c r="I274" s="33" t="s">
        <v>577</v>
      </c>
    </row>
    <row r="275" spans="1:9" x14ac:dyDescent="0.2">
      <c r="A275" s="33" t="s">
        <v>339</v>
      </c>
      <c r="B275" s="33" t="s">
        <v>39</v>
      </c>
      <c r="C275" s="33" t="s">
        <v>450</v>
      </c>
      <c r="D275" s="42">
        <v>0</v>
      </c>
      <c r="E275" s="33" t="s">
        <v>224</v>
      </c>
      <c r="F275" s="34">
        <v>67.5</v>
      </c>
      <c r="G275" s="34">
        <v>67.5</v>
      </c>
      <c r="H275" s="33" t="s">
        <v>68</v>
      </c>
      <c r="I275" s="33" t="s">
        <v>590</v>
      </c>
    </row>
    <row r="276" spans="1:9" x14ac:dyDescent="0.2">
      <c r="A276" s="33" t="s">
        <v>339</v>
      </c>
      <c r="B276" s="33" t="s">
        <v>39</v>
      </c>
      <c r="C276" s="33" t="s">
        <v>581</v>
      </c>
      <c r="D276" s="42">
        <v>-1.7763568394002505E-15</v>
      </c>
      <c r="E276" s="33" t="s">
        <v>224</v>
      </c>
      <c r="F276" s="34">
        <v>10.5</v>
      </c>
      <c r="G276" s="34">
        <v>10.500000000000002</v>
      </c>
      <c r="H276" s="33" t="s">
        <v>68</v>
      </c>
      <c r="I276" s="33" t="s">
        <v>577</v>
      </c>
    </row>
    <row r="277" spans="1:9" x14ac:dyDescent="0.2">
      <c r="A277" s="33" t="s">
        <v>339</v>
      </c>
      <c r="B277" s="33" t="s">
        <v>39</v>
      </c>
      <c r="C277" s="33" t="s">
        <v>499</v>
      </c>
      <c r="D277" s="42">
        <v>0</v>
      </c>
      <c r="E277" s="33" t="s">
        <v>224</v>
      </c>
      <c r="F277" s="34">
        <v>41.2</v>
      </c>
      <c r="G277" s="34">
        <v>41.2</v>
      </c>
      <c r="H277" s="33" t="s">
        <v>68</v>
      </c>
      <c r="I277" s="33" t="s">
        <v>590</v>
      </c>
    </row>
    <row r="278" spans="1:9" x14ac:dyDescent="0.2">
      <c r="A278" s="33" t="s">
        <v>339</v>
      </c>
      <c r="B278" s="33" t="s">
        <v>39</v>
      </c>
      <c r="C278" s="33" t="s">
        <v>458</v>
      </c>
      <c r="D278" s="42">
        <v>7.1054273576010019E-15</v>
      </c>
      <c r="E278" s="33" t="s">
        <v>224</v>
      </c>
      <c r="F278" s="34">
        <v>31.1</v>
      </c>
      <c r="G278" s="34">
        <v>31.099999999999994</v>
      </c>
      <c r="H278" s="33" t="s">
        <v>68</v>
      </c>
      <c r="I278" s="33" t="s">
        <v>590</v>
      </c>
    </row>
    <row r="279" spans="1:9" x14ac:dyDescent="0.2">
      <c r="A279" s="33" t="s">
        <v>619</v>
      </c>
      <c r="B279" s="33" t="s">
        <v>620</v>
      </c>
      <c r="C279" s="33" t="s">
        <v>450</v>
      </c>
      <c r="D279" s="42">
        <v>4.4408920985006262E-16</v>
      </c>
      <c r="E279" s="33" t="s">
        <v>68</v>
      </c>
      <c r="F279" s="34">
        <v>2.2000000000000002</v>
      </c>
      <c r="G279" s="34">
        <v>2.1999999999999997</v>
      </c>
      <c r="H279" s="33" t="s">
        <v>68</v>
      </c>
      <c r="I279" s="33" t="s">
        <v>68</v>
      </c>
    </row>
    <row r="280" spans="1:9" x14ac:dyDescent="0.2">
      <c r="A280" s="33" t="s">
        <v>340</v>
      </c>
      <c r="B280" s="33" t="s">
        <v>40</v>
      </c>
      <c r="C280" s="33" t="s">
        <v>436</v>
      </c>
      <c r="D280" s="42">
        <v>0</v>
      </c>
      <c r="E280" s="33" t="s">
        <v>224</v>
      </c>
      <c r="F280" s="34">
        <v>3</v>
      </c>
      <c r="G280" s="34">
        <v>3</v>
      </c>
      <c r="H280" s="33" t="s">
        <v>68</v>
      </c>
      <c r="I280" s="33" t="s">
        <v>608</v>
      </c>
    </row>
    <row r="281" spans="1:9" x14ac:dyDescent="0.2">
      <c r="A281" s="33" t="s">
        <v>340</v>
      </c>
      <c r="B281" s="33" t="s">
        <v>40</v>
      </c>
      <c r="C281" s="33" t="s">
        <v>585</v>
      </c>
      <c r="D281" s="42">
        <v>0</v>
      </c>
      <c r="E281" s="33" t="s">
        <v>224</v>
      </c>
      <c r="F281" s="34">
        <v>48.2</v>
      </c>
      <c r="G281" s="34">
        <v>48.2</v>
      </c>
      <c r="H281" s="33" t="s">
        <v>68</v>
      </c>
      <c r="I281" s="33" t="s">
        <v>586</v>
      </c>
    </row>
    <row r="282" spans="1:9" x14ac:dyDescent="0.2">
      <c r="A282" s="33" t="s">
        <v>340</v>
      </c>
      <c r="B282" s="33" t="s">
        <v>40</v>
      </c>
      <c r="C282" s="33" t="s">
        <v>482</v>
      </c>
      <c r="D282" s="42">
        <v>0</v>
      </c>
      <c r="E282" s="33" t="s">
        <v>224</v>
      </c>
      <c r="F282" s="34">
        <v>51</v>
      </c>
      <c r="G282" s="34">
        <v>51</v>
      </c>
      <c r="H282" s="33" t="s">
        <v>68</v>
      </c>
      <c r="I282" s="33" t="s">
        <v>577</v>
      </c>
    </row>
    <row r="283" spans="1:9" x14ac:dyDescent="0.2">
      <c r="A283" s="33" t="s">
        <v>340</v>
      </c>
      <c r="B283" s="33" t="s">
        <v>40</v>
      </c>
      <c r="C283" s="33" t="s">
        <v>450</v>
      </c>
      <c r="D283" s="42">
        <v>0</v>
      </c>
      <c r="E283" s="33" t="s">
        <v>224</v>
      </c>
      <c r="F283" s="34">
        <v>74.3</v>
      </c>
      <c r="G283" s="34">
        <v>74.3</v>
      </c>
      <c r="H283" s="33" t="s">
        <v>68</v>
      </c>
      <c r="I283" s="33" t="s">
        <v>590</v>
      </c>
    </row>
    <row r="284" spans="1:9" x14ac:dyDescent="0.2">
      <c r="A284" s="33" t="s">
        <v>340</v>
      </c>
      <c r="B284" s="33" t="s">
        <v>40</v>
      </c>
      <c r="C284" s="33" t="s">
        <v>499</v>
      </c>
      <c r="D284" s="42">
        <v>0</v>
      </c>
      <c r="E284" s="33" t="s">
        <v>224</v>
      </c>
      <c r="F284" s="34">
        <v>34.200000000000003</v>
      </c>
      <c r="G284" s="34">
        <v>34.200000000000003</v>
      </c>
      <c r="H284" s="33" t="s">
        <v>68</v>
      </c>
      <c r="I284" s="33" t="s">
        <v>590</v>
      </c>
    </row>
    <row r="285" spans="1:9" x14ac:dyDescent="0.2">
      <c r="A285" s="33" t="s">
        <v>340</v>
      </c>
      <c r="B285" s="33" t="s">
        <v>40</v>
      </c>
      <c r="C285" s="33" t="s">
        <v>458</v>
      </c>
      <c r="D285" s="42">
        <v>7.1054273576010019E-15</v>
      </c>
      <c r="E285" s="33" t="s">
        <v>224</v>
      </c>
      <c r="F285" s="34">
        <v>30.6</v>
      </c>
      <c r="G285" s="34">
        <v>30.599999999999994</v>
      </c>
      <c r="H285" s="33" t="s">
        <v>68</v>
      </c>
      <c r="I285" s="33" t="s">
        <v>590</v>
      </c>
    </row>
    <row r="286" spans="1:9" x14ac:dyDescent="0.2">
      <c r="A286" s="33" t="s">
        <v>621</v>
      </c>
      <c r="B286" s="33" t="s">
        <v>622</v>
      </c>
      <c r="C286" s="33" t="s">
        <v>450</v>
      </c>
      <c r="D286" s="42">
        <v>0</v>
      </c>
      <c r="E286" s="33" t="s">
        <v>68</v>
      </c>
      <c r="F286" s="34">
        <v>2.4</v>
      </c>
      <c r="G286" s="34">
        <v>2.4</v>
      </c>
      <c r="H286" s="33" t="s">
        <v>68</v>
      </c>
      <c r="I286" s="33" t="s">
        <v>68</v>
      </c>
    </row>
    <row r="287" spans="1:9" x14ac:dyDescent="0.2">
      <c r="A287" s="33" t="s">
        <v>341</v>
      </c>
      <c r="B287" s="33" t="s">
        <v>41</v>
      </c>
      <c r="C287" s="33" t="s">
        <v>582</v>
      </c>
      <c r="D287" s="42">
        <v>0</v>
      </c>
      <c r="E287" s="33" t="s">
        <v>224</v>
      </c>
      <c r="F287" s="34">
        <v>3.4</v>
      </c>
      <c r="G287" s="34">
        <v>3.4</v>
      </c>
      <c r="H287" s="33" t="s">
        <v>68</v>
      </c>
      <c r="I287" s="33" t="s">
        <v>68</v>
      </c>
    </row>
    <row r="288" spans="1:9" x14ac:dyDescent="0.2">
      <c r="A288" s="33" t="s">
        <v>341</v>
      </c>
      <c r="B288" s="33" t="s">
        <v>41</v>
      </c>
      <c r="C288" s="33" t="s">
        <v>436</v>
      </c>
      <c r="D288" s="42">
        <v>0</v>
      </c>
      <c r="E288" s="33" t="s">
        <v>224</v>
      </c>
      <c r="F288" s="34">
        <v>6</v>
      </c>
      <c r="G288" s="34">
        <v>6</v>
      </c>
      <c r="H288" s="33" t="s">
        <v>68</v>
      </c>
      <c r="I288" s="33" t="s">
        <v>68</v>
      </c>
    </row>
    <row r="289" spans="1:9" x14ac:dyDescent="0.2">
      <c r="A289" s="33" t="s">
        <v>341</v>
      </c>
      <c r="B289" s="33" t="s">
        <v>41</v>
      </c>
      <c r="C289" s="33" t="s">
        <v>584</v>
      </c>
      <c r="D289" s="42">
        <v>0</v>
      </c>
      <c r="E289" s="33" t="s">
        <v>224</v>
      </c>
      <c r="F289" s="34">
        <v>2</v>
      </c>
      <c r="G289" s="34">
        <v>2</v>
      </c>
      <c r="H289" s="33" t="s">
        <v>68</v>
      </c>
      <c r="I289" s="33" t="s">
        <v>68</v>
      </c>
    </row>
    <row r="290" spans="1:9" x14ac:dyDescent="0.2">
      <c r="A290" s="33" t="s">
        <v>341</v>
      </c>
      <c r="B290" s="33" t="s">
        <v>41</v>
      </c>
      <c r="C290" s="33" t="s">
        <v>599</v>
      </c>
      <c r="D290" s="42">
        <v>0</v>
      </c>
      <c r="E290" s="33" t="s">
        <v>224</v>
      </c>
      <c r="F290" s="34">
        <v>2</v>
      </c>
      <c r="G290" s="34">
        <v>2</v>
      </c>
      <c r="H290" s="33" t="s">
        <v>68</v>
      </c>
      <c r="I290" s="33" t="s">
        <v>68</v>
      </c>
    </row>
    <row r="291" spans="1:9" x14ac:dyDescent="0.2">
      <c r="A291" s="33" t="s">
        <v>341</v>
      </c>
      <c r="B291" s="33" t="s">
        <v>41</v>
      </c>
      <c r="C291" s="33" t="s">
        <v>585</v>
      </c>
      <c r="D291" s="42">
        <v>0</v>
      </c>
      <c r="E291" s="33" t="s">
        <v>224</v>
      </c>
      <c r="F291" s="34">
        <v>374</v>
      </c>
      <c r="G291" s="34">
        <v>374</v>
      </c>
      <c r="H291" s="33" t="s">
        <v>68</v>
      </c>
      <c r="I291" s="33" t="s">
        <v>586</v>
      </c>
    </row>
    <row r="292" spans="1:9" x14ac:dyDescent="0.2">
      <c r="A292" s="33" t="s">
        <v>341</v>
      </c>
      <c r="B292" s="33" t="s">
        <v>41</v>
      </c>
      <c r="C292" s="33" t="s">
        <v>482</v>
      </c>
      <c r="D292" s="42">
        <v>1.1368683772161603E-13</v>
      </c>
      <c r="E292" s="33" t="s">
        <v>224</v>
      </c>
      <c r="F292" s="34">
        <v>340</v>
      </c>
      <c r="G292" s="34">
        <v>339.99999999999989</v>
      </c>
      <c r="H292" s="33" t="s">
        <v>68</v>
      </c>
      <c r="I292" s="33" t="s">
        <v>577</v>
      </c>
    </row>
    <row r="293" spans="1:9" x14ac:dyDescent="0.2">
      <c r="A293" s="33" t="s">
        <v>341</v>
      </c>
      <c r="B293" s="33" t="s">
        <v>41</v>
      </c>
      <c r="C293" s="33" t="s">
        <v>450</v>
      </c>
      <c r="D293" s="42">
        <v>0</v>
      </c>
      <c r="E293" s="33" t="s">
        <v>224</v>
      </c>
      <c r="F293" s="34">
        <v>343.5</v>
      </c>
      <c r="G293" s="34">
        <v>343.5</v>
      </c>
      <c r="H293" s="33" t="s">
        <v>68</v>
      </c>
      <c r="I293" s="33" t="s">
        <v>590</v>
      </c>
    </row>
    <row r="294" spans="1:9" x14ac:dyDescent="0.2">
      <c r="A294" s="33" t="s">
        <v>341</v>
      </c>
      <c r="B294" s="33" t="s">
        <v>41</v>
      </c>
      <c r="C294" s="33" t="s">
        <v>486</v>
      </c>
      <c r="D294" s="42">
        <v>0</v>
      </c>
      <c r="E294" s="33" t="s">
        <v>224</v>
      </c>
      <c r="F294" s="34">
        <v>31</v>
      </c>
      <c r="G294" s="34">
        <v>31</v>
      </c>
      <c r="H294" s="33" t="s">
        <v>68</v>
      </c>
      <c r="I294" s="33" t="s">
        <v>68</v>
      </c>
    </row>
    <row r="295" spans="1:9" x14ac:dyDescent="0.2">
      <c r="A295" s="33" t="s">
        <v>341</v>
      </c>
      <c r="B295" s="33" t="s">
        <v>41</v>
      </c>
      <c r="C295" s="33" t="s">
        <v>581</v>
      </c>
      <c r="D295" s="42">
        <v>0</v>
      </c>
      <c r="E295" s="33" t="s">
        <v>224</v>
      </c>
      <c r="F295" s="34">
        <v>6.3</v>
      </c>
      <c r="G295" s="34">
        <v>6.3</v>
      </c>
      <c r="H295" s="33" t="s">
        <v>68</v>
      </c>
      <c r="I295" s="33" t="s">
        <v>68</v>
      </c>
    </row>
    <row r="296" spans="1:9" x14ac:dyDescent="0.2">
      <c r="A296" s="33" t="s">
        <v>341</v>
      </c>
      <c r="B296" s="33" t="s">
        <v>41</v>
      </c>
      <c r="C296" s="33" t="s">
        <v>454</v>
      </c>
      <c r="D296" s="42">
        <v>0</v>
      </c>
      <c r="E296" s="33" t="s">
        <v>224</v>
      </c>
      <c r="F296" s="34">
        <v>6</v>
      </c>
      <c r="G296" s="34">
        <v>6</v>
      </c>
      <c r="H296" s="33" t="s">
        <v>68</v>
      </c>
      <c r="I296" s="33" t="s">
        <v>68</v>
      </c>
    </row>
    <row r="297" spans="1:9" x14ac:dyDescent="0.2">
      <c r="A297" s="33" t="s">
        <v>341</v>
      </c>
      <c r="B297" s="33" t="s">
        <v>41</v>
      </c>
      <c r="C297" s="33" t="s">
        <v>499</v>
      </c>
      <c r="D297" s="42">
        <v>-2.8421709430404007E-14</v>
      </c>
      <c r="E297" s="33" t="s">
        <v>224</v>
      </c>
      <c r="F297" s="34">
        <v>219.7</v>
      </c>
      <c r="G297" s="34">
        <v>219.70000000000002</v>
      </c>
      <c r="H297" s="33" t="s">
        <v>68</v>
      </c>
      <c r="I297" s="33" t="s">
        <v>590</v>
      </c>
    </row>
    <row r="298" spans="1:9" x14ac:dyDescent="0.2">
      <c r="A298" s="33" t="s">
        <v>341</v>
      </c>
      <c r="B298" s="33" t="s">
        <v>41</v>
      </c>
      <c r="C298" s="33" t="s">
        <v>458</v>
      </c>
      <c r="D298" s="42">
        <v>-2.8421709430404007E-14</v>
      </c>
      <c r="E298" s="33" t="s">
        <v>224</v>
      </c>
      <c r="F298" s="34">
        <v>224</v>
      </c>
      <c r="G298" s="34">
        <v>224.00000000000003</v>
      </c>
      <c r="H298" s="33" t="s">
        <v>68</v>
      </c>
      <c r="I298" s="33" t="s">
        <v>590</v>
      </c>
    </row>
    <row r="299" spans="1:9" x14ac:dyDescent="0.2">
      <c r="A299" s="33" t="s">
        <v>623</v>
      </c>
      <c r="B299" s="33" t="s">
        <v>624</v>
      </c>
      <c r="C299" s="33" t="s">
        <v>450</v>
      </c>
      <c r="D299" s="42">
        <v>8.8817841970012523E-16</v>
      </c>
      <c r="E299" s="33" t="s">
        <v>68</v>
      </c>
      <c r="F299" s="34">
        <v>7.2</v>
      </c>
      <c r="G299" s="34">
        <v>7.1999999999999993</v>
      </c>
      <c r="H299" s="33" t="s">
        <v>68</v>
      </c>
      <c r="I299" s="33" t="s">
        <v>68</v>
      </c>
    </row>
    <row r="300" spans="1:9" x14ac:dyDescent="0.2">
      <c r="A300" s="33" t="s">
        <v>302</v>
      </c>
      <c r="B300" s="33" t="s">
        <v>42</v>
      </c>
      <c r="C300" s="33" t="s">
        <v>625</v>
      </c>
      <c r="D300" s="42">
        <v>-7.1054273576010019E-15</v>
      </c>
      <c r="E300" s="33" t="s">
        <v>224</v>
      </c>
      <c r="F300" s="34">
        <v>46</v>
      </c>
      <c r="G300" s="34">
        <v>46.000000000000007</v>
      </c>
      <c r="H300" s="33" t="s">
        <v>68</v>
      </c>
      <c r="I300" s="33" t="s">
        <v>68</v>
      </c>
    </row>
    <row r="301" spans="1:9" x14ac:dyDescent="0.2">
      <c r="A301" s="33" t="s">
        <v>302</v>
      </c>
      <c r="B301" s="33" t="s">
        <v>42</v>
      </c>
      <c r="C301" s="33" t="s">
        <v>445</v>
      </c>
      <c r="D301" s="42">
        <v>0</v>
      </c>
      <c r="E301" s="33" t="s">
        <v>224</v>
      </c>
      <c r="F301" s="34">
        <v>2.6</v>
      </c>
      <c r="G301" s="34">
        <v>2.6</v>
      </c>
      <c r="H301" s="33" t="s">
        <v>68</v>
      </c>
      <c r="I301" s="33" t="s">
        <v>68</v>
      </c>
    </row>
    <row r="302" spans="1:9" x14ac:dyDescent="0.2">
      <c r="A302" s="33" t="s">
        <v>302</v>
      </c>
      <c r="B302" s="33" t="s">
        <v>42</v>
      </c>
      <c r="C302" s="33" t="s">
        <v>626</v>
      </c>
      <c r="D302" s="42">
        <v>7.1054273576010019E-15</v>
      </c>
      <c r="E302" s="33" t="s">
        <v>224</v>
      </c>
      <c r="F302" s="34">
        <v>40</v>
      </c>
      <c r="G302" s="34">
        <v>39.999999999999993</v>
      </c>
      <c r="H302" s="33" t="s">
        <v>68</v>
      </c>
      <c r="I302" s="33" t="s">
        <v>68</v>
      </c>
    </row>
    <row r="303" spans="1:9" x14ac:dyDescent="0.2">
      <c r="A303" s="33" t="s">
        <v>302</v>
      </c>
      <c r="B303" s="33" t="s">
        <v>42</v>
      </c>
      <c r="C303" s="33" t="s">
        <v>627</v>
      </c>
      <c r="D303" s="42">
        <v>-7.1054273576010019E-15</v>
      </c>
      <c r="E303" s="33" t="s">
        <v>224</v>
      </c>
      <c r="F303" s="34">
        <v>41.3</v>
      </c>
      <c r="G303" s="34">
        <v>41.300000000000004</v>
      </c>
      <c r="H303" s="33" t="s">
        <v>68</v>
      </c>
      <c r="I303" s="33" t="s">
        <v>68</v>
      </c>
    </row>
    <row r="304" spans="1:9" x14ac:dyDescent="0.2">
      <c r="A304" s="33" t="s">
        <v>302</v>
      </c>
      <c r="B304" s="33" t="s">
        <v>42</v>
      </c>
      <c r="C304" s="33" t="s">
        <v>538</v>
      </c>
      <c r="D304" s="42">
        <v>0</v>
      </c>
      <c r="E304" s="33" t="s">
        <v>224</v>
      </c>
      <c r="F304" s="34">
        <v>7.4</v>
      </c>
      <c r="G304" s="34">
        <v>7.4</v>
      </c>
      <c r="H304" s="33" t="s">
        <v>68</v>
      </c>
      <c r="I304" s="33" t="s">
        <v>68</v>
      </c>
    </row>
    <row r="305" spans="1:9" x14ac:dyDescent="0.2">
      <c r="A305" s="33" t="s">
        <v>302</v>
      </c>
      <c r="B305" s="33" t="s">
        <v>42</v>
      </c>
      <c r="C305" s="33" t="s">
        <v>628</v>
      </c>
      <c r="D305" s="42">
        <v>0</v>
      </c>
      <c r="E305" s="33" t="s">
        <v>224</v>
      </c>
      <c r="F305" s="34">
        <v>42.1</v>
      </c>
      <c r="G305" s="34">
        <v>42.1</v>
      </c>
      <c r="H305" s="33" t="s">
        <v>68</v>
      </c>
      <c r="I305" s="33" t="s">
        <v>68</v>
      </c>
    </row>
    <row r="306" spans="1:9" x14ac:dyDescent="0.2">
      <c r="A306" s="33" t="s">
        <v>302</v>
      </c>
      <c r="B306" s="33" t="s">
        <v>42</v>
      </c>
      <c r="C306" s="33" t="s">
        <v>629</v>
      </c>
      <c r="D306" s="42">
        <v>0</v>
      </c>
      <c r="E306" s="33" t="s">
        <v>224</v>
      </c>
      <c r="F306" s="34">
        <v>2.2000000000000002</v>
      </c>
      <c r="G306" s="34">
        <v>2.2000000000000002</v>
      </c>
      <c r="H306" s="33" t="s">
        <v>68</v>
      </c>
      <c r="I306" s="33" t="s">
        <v>68</v>
      </c>
    </row>
    <row r="307" spans="1:9" x14ac:dyDescent="0.2">
      <c r="A307" s="33" t="s">
        <v>302</v>
      </c>
      <c r="B307" s="33" t="s">
        <v>42</v>
      </c>
      <c r="C307" s="33" t="s">
        <v>630</v>
      </c>
      <c r="D307" s="42">
        <v>0</v>
      </c>
      <c r="E307" s="33" t="s">
        <v>224</v>
      </c>
      <c r="F307" s="34">
        <v>31.3</v>
      </c>
      <c r="G307" s="34">
        <v>31.3</v>
      </c>
      <c r="H307" s="33" t="s">
        <v>68</v>
      </c>
      <c r="I307" s="33" t="s">
        <v>68</v>
      </c>
    </row>
    <row r="308" spans="1:9" x14ac:dyDescent="0.2">
      <c r="A308" s="33" t="s">
        <v>274</v>
      </c>
      <c r="B308" s="33" t="s">
        <v>226</v>
      </c>
      <c r="C308" s="33" t="s">
        <v>552</v>
      </c>
      <c r="D308" s="42">
        <v>0</v>
      </c>
      <c r="E308" s="33" t="s">
        <v>224</v>
      </c>
      <c r="F308" s="34">
        <v>13</v>
      </c>
      <c r="G308" s="34">
        <v>13</v>
      </c>
      <c r="H308" s="33" t="s">
        <v>68</v>
      </c>
      <c r="I308" s="33" t="s">
        <v>68</v>
      </c>
    </row>
    <row r="309" spans="1:9" x14ac:dyDescent="0.2">
      <c r="A309" s="33" t="s">
        <v>274</v>
      </c>
      <c r="B309" s="33" t="s">
        <v>226</v>
      </c>
      <c r="C309" s="33" t="s">
        <v>438</v>
      </c>
      <c r="D309" s="42">
        <v>0</v>
      </c>
      <c r="E309" s="33" t="s">
        <v>224</v>
      </c>
      <c r="F309" s="34">
        <v>15</v>
      </c>
      <c r="G309" s="34">
        <v>15</v>
      </c>
      <c r="H309" s="33" t="s">
        <v>68</v>
      </c>
      <c r="I309" s="33" t="s">
        <v>68</v>
      </c>
    </row>
    <row r="310" spans="1:9" x14ac:dyDescent="0.2">
      <c r="A310" s="33" t="s">
        <v>274</v>
      </c>
      <c r="B310" s="33" t="s">
        <v>226</v>
      </c>
      <c r="C310" s="33" t="s">
        <v>631</v>
      </c>
      <c r="D310" s="42">
        <v>0</v>
      </c>
      <c r="E310" s="33" t="s">
        <v>224</v>
      </c>
      <c r="F310" s="34">
        <v>1588</v>
      </c>
      <c r="G310" s="34">
        <v>1588</v>
      </c>
      <c r="H310" s="33" t="s">
        <v>68</v>
      </c>
      <c r="I310" s="33" t="s">
        <v>68</v>
      </c>
    </row>
    <row r="311" spans="1:9" x14ac:dyDescent="0.2">
      <c r="A311" s="33" t="s">
        <v>274</v>
      </c>
      <c r="B311" s="33" t="s">
        <v>226</v>
      </c>
      <c r="C311" s="33" t="s">
        <v>632</v>
      </c>
      <c r="D311" s="42">
        <v>0</v>
      </c>
      <c r="E311" s="33" t="s">
        <v>224</v>
      </c>
      <c r="F311" s="34">
        <v>65</v>
      </c>
      <c r="G311" s="34">
        <v>65</v>
      </c>
      <c r="H311" s="33" t="s">
        <v>68</v>
      </c>
      <c r="I311" s="33" t="s">
        <v>586</v>
      </c>
    </row>
    <row r="312" spans="1:9" x14ac:dyDescent="0.2">
      <c r="A312" s="33" t="s">
        <v>274</v>
      </c>
      <c r="B312" s="33" t="s">
        <v>226</v>
      </c>
      <c r="C312" s="33" t="s">
        <v>633</v>
      </c>
      <c r="D312" s="42">
        <v>3.5527136788005009E-15</v>
      </c>
      <c r="E312" s="33" t="s">
        <v>224</v>
      </c>
      <c r="F312" s="34">
        <v>20.2</v>
      </c>
      <c r="G312" s="34">
        <v>20.199999999999996</v>
      </c>
      <c r="H312" s="33" t="s">
        <v>68</v>
      </c>
      <c r="I312" s="33" t="s">
        <v>68</v>
      </c>
    </row>
    <row r="313" spans="1:9" x14ac:dyDescent="0.2">
      <c r="A313" s="33" t="s">
        <v>274</v>
      </c>
      <c r="B313" s="33" t="s">
        <v>226</v>
      </c>
      <c r="C313" s="33" t="s">
        <v>445</v>
      </c>
      <c r="D313" s="42">
        <v>0</v>
      </c>
      <c r="E313" s="33" t="s">
        <v>224</v>
      </c>
      <c r="F313" s="34">
        <v>31</v>
      </c>
      <c r="G313" s="34">
        <v>31</v>
      </c>
      <c r="H313" s="33" t="s">
        <v>68</v>
      </c>
      <c r="I313" s="33" t="s">
        <v>68</v>
      </c>
    </row>
    <row r="314" spans="1:9" x14ac:dyDescent="0.2">
      <c r="A314" s="33" t="s">
        <v>274</v>
      </c>
      <c r="B314" s="33" t="s">
        <v>226</v>
      </c>
      <c r="C314" s="33" t="s">
        <v>634</v>
      </c>
      <c r="D314" s="42">
        <v>0</v>
      </c>
      <c r="E314" s="33" t="s">
        <v>224</v>
      </c>
      <c r="F314" s="34">
        <v>41.5</v>
      </c>
      <c r="G314" s="34">
        <v>41.5</v>
      </c>
      <c r="H314" s="33" t="s">
        <v>68</v>
      </c>
      <c r="I314" s="33" t="s">
        <v>68</v>
      </c>
    </row>
    <row r="315" spans="1:9" x14ac:dyDescent="0.2">
      <c r="A315" s="33" t="s">
        <v>274</v>
      </c>
      <c r="B315" s="33" t="s">
        <v>226</v>
      </c>
      <c r="C315" s="33" t="s">
        <v>635</v>
      </c>
      <c r="D315" s="42">
        <v>0</v>
      </c>
      <c r="E315" s="33" t="s">
        <v>224</v>
      </c>
      <c r="F315" s="34">
        <v>10.5</v>
      </c>
      <c r="G315" s="34">
        <v>10.5</v>
      </c>
      <c r="H315" s="33" t="s">
        <v>68</v>
      </c>
      <c r="I315" s="33" t="s">
        <v>636</v>
      </c>
    </row>
    <row r="316" spans="1:9" x14ac:dyDescent="0.2">
      <c r="A316" s="33" t="s">
        <v>274</v>
      </c>
      <c r="B316" s="33" t="s">
        <v>226</v>
      </c>
      <c r="C316" s="33" t="s">
        <v>637</v>
      </c>
      <c r="D316" s="42">
        <v>-2.2737367544323206E-13</v>
      </c>
      <c r="E316" s="33" t="s">
        <v>224</v>
      </c>
      <c r="F316" s="34">
        <v>1616.6</v>
      </c>
      <c r="G316" s="34">
        <v>1616.6000000000001</v>
      </c>
      <c r="H316" s="33" t="s">
        <v>68</v>
      </c>
      <c r="I316" s="33" t="s">
        <v>68</v>
      </c>
    </row>
    <row r="317" spans="1:9" x14ac:dyDescent="0.2">
      <c r="A317" s="33" t="s">
        <v>274</v>
      </c>
      <c r="B317" s="33" t="s">
        <v>226</v>
      </c>
      <c r="C317" s="33" t="s">
        <v>638</v>
      </c>
      <c r="D317" s="42">
        <v>0</v>
      </c>
      <c r="E317" s="33" t="s">
        <v>224</v>
      </c>
      <c r="F317" s="34">
        <v>1625.7</v>
      </c>
      <c r="G317" s="34">
        <v>1625.7</v>
      </c>
      <c r="H317" s="33" t="s">
        <v>68</v>
      </c>
      <c r="I317" s="33" t="s">
        <v>68</v>
      </c>
    </row>
    <row r="318" spans="1:9" x14ac:dyDescent="0.2">
      <c r="A318" s="33" t="s">
        <v>274</v>
      </c>
      <c r="B318" s="33" t="s">
        <v>226</v>
      </c>
      <c r="C318" s="33" t="s">
        <v>628</v>
      </c>
      <c r="D318" s="42">
        <v>3.5527136788005009E-15</v>
      </c>
      <c r="E318" s="33" t="s">
        <v>224</v>
      </c>
      <c r="F318" s="34">
        <v>20.5</v>
      </c>
      <c r="G318" s="34">
        <v>20.499999999999996</v>
      </c>
      <c r="H318" s="33" t="s">
        <v>68</v>
      </c>
      <c r="I318" s="33" t="s">
        <v>68</v>
      </c>
    </row>
    <row r="319" spans="1:9" x14ac:dyDescent="0.2">
      <c r="A319" s="33" t="s">
        <v>274</v>
      </c>
      <c r="B319" s="33" t="s">
        <v>226</v>
      </c>
      <c r="C319" s="33" t="s">
        <v>639</v>
      </c>
      <c r="D319" s="42">
        <v>2.2737367544323206E-13</v>
      </c>
      <c r="E319" s="33" t="s">
        <v>224</v>
      </c>
      <c r="F319" s="34">
        <v>1287.8</v>
      </c>
      <c r="G319" s="34">
        <v>1287.7999999999997</v>
      </c>
      <c r="H319" s="33" t="s">
        <v>68</v>
      </c>
      <c r="I319" s="33" t="s">
        <v>68</v>
      </c>
    </row>
    <row r="320" spans="1:9" x14ac:dyDescent="0.2">
      <c r="A320" s="33" t="s">
        <v>274</v>
      </c>
      <c r="B320" s="33" t="s">
        <v>226</v>
      </c>
      <c r="C320" s="33" t="s">
        <v>640</v>
      </c>
      <c r="D320" s="42">
        <v>0</v>
      </c>
      <c r="E320" s="33" t="s">
        <v>224</v>
      </c>
      <c r="F320" s="34">
        <v>379.8</v>
      </c>
      <c r="G320" s="34">
        <v>379.8</v>
      </c>
      <c r="H320" s="33" t="s">
        <v>68</v>
      </c>
      <c r="I320" s="33" t="s">
        <v>68</v>
      </c>
    </row>
    <row r="321" spans="1:9" x14ac:dyDescent="0.2">
      <c r="A321" s="33" t="s">
        <v>274</v>
      </c>
      <c r="B321" s="33" t="s">
        <v>226</v>
      </c>
      <c r="C321" s="33" t="s">
        <v>641</v>
      </c>
      <c r="D321" s="42">
        <v>-3.5527136788005009E-15</v>
      </c>
      <c r="E321" s="33" t="s">
        <v>224</v>
      </c>
      <c r="F321" s="34">
        <v>24.9</v>
      </c>
      <c r="G321" s="34">
        <v>24.900000000000002</v>
      </c>
      <c r="H321" s="33" t="s">
        <v>68</v>
      </c>
      <c r="I321" s="33" t="s">
        <v>68</v>
      </c>
    </row>
    <row r="322" spans="1:9" x14ac:dyDescent="0.2">
      <c r="A322" s="33" t="s">
        <v>274</v>
      </c>
      <c r="B322" s="33" t="s">
        <v>226</v>
      </c>
      <c r="C322" s="33" t="s">
        <v>572</v>
      </c>
      <c r="D322" s="42">
        <v>-3.5527136788005009E-15</v>
      </c>
      <c r="E322" s="33" t="s">
        <v>224</v>
      </c>
      <c r="F322" s="34">
        <v>22</v>
      </c>
      <c r="G322" s="34">
        <v>22.000000000000004</v>
      </c>
      <c r="H322" s="33" t="s">
        <v>68</v>
      </c>
      <c r="I322" s="33" t="s">
        <v>68</v>
      </c>
    </row>
    <row r="323" spans="1:9" x14ac:dyDescent="0.2">
      <c r="A323" s="33" t="s">
        <v>274</v>
      </c>
      <c r="B323" s="33" t="s">
        <v>226</v>
      </c>
      <c r="C323" s="33" t="s">
        <v>642</v>
      </c>
      <c r="D323" s="42">
        <v>-2.2737367544323206E-13</v>
      </c>
      <c r="E323" s="33" t="s">
        <v>224</v>
      </c>
      <c r="F323" s="34">
        <v>1128.5999999999999</v>
      </c>
      <c r="G323" s="34">
        <v>1128.6000000000001</v>
      </c>
      <c r="H323" s="33" t="s">
        <v>68</v>
      </c>
      <c r="I323" s="33" t="s">
        <v>590</v>
      </c>
    </row>
    <row r="324" spans="1:9" x14ac:dyDescent="0.2">
      <c r="A324" s="33" t="s">
        <v>303</v>
      </c>
      <c r="B324" s="33" t="s">
        <v>227</v>
      </c>
      <c r="C324" s="33" t="s">
        <v>438</v>
      </c>
      <c r="D324" s="42">
        <v>0</v>
      </c>
      <c r="E324" s="33" t="s">
        <v>224</v>
      </c>
      <c r="F324" s="34">
        <v>15</v>
      </c>
      <c r="G324" s="34">
        <v>15</v>
      </c>
      <c r="H324" s="33" t="s">
        <v>68</v>
      </c>
      <c r="I324" s="33" t="s">
        <v>68</v>
      </c>
    </row>
    <row r="325" spans="1:9" x14ac:dyDescent="0.2">
      <c r="A325" s="33" t="s">
        <v>303</v>
      </c>
      <c r="B325" s="33" t="s">
        <v>227</v>
      </c>
      <c r="C325" s="33" t="s">
        <v>631</v>
      </c>
      <c r="D325" s="42">
        <v>2.2737367544323206E-13</v>
      </c>
      <c r="E325" s="33" t="s">
        <v>224</v>
      </c>
      <c r="F325" s="34">
        <v>1086</v>
      </c>
      <c r="G325" s="34">
        <v>1085.9999999999998</v>
      </c>
      <c r="H325" s="33" t="s">
        <v>68</v>
      </c>
      <c r="I325" s="33" t="s">
        <v>68</v>
      </c>
    </row>
    <row r="326" spans="1:9" x14ac:dyDescent="0.2">
      <c r="A326" s="33" t="s">
        <v>303</v>
      </c>
      <c r="B326" s="33" t="s">
        <v>227</v>
      </c>
      <c r="C326" s="33" t="s">
        <v>643</v>
      </c>
      <c r="D326" s="42">
        <v>0</v>
      </c>
      <c r="E326" s="33" t="s">
        <v>224</v>
      </c>
      <c r="F326" s="34">
        <v>146</v>
      </c>
      <c r="G326" s="34">
        <v>146</v>
      </c>
      <c r="H326" s="33" t="s">
        <v>68</v>
      </c>
      <c r="I326" s="33" t="s">
        <v>586</v>
      </c>
    </row>
    <row r="327" spans="1:9" x14ac:dyDescent="0.2">
      <c r="A327" s="33" t="s">
        <v>303</v>
      </c>
      <c r="B327" s="33" t="s">
        <v>227</v>
      </c>
      <c r="C327" s="33" t="s">
        <v>637</v>
      </c>
      <c r="D327" s="42">
        <v>0</v>
      </c>
      <c r="E327" s="33" t="s">
        <v>224</v>
      </c>
      <c r="F327" s="34">
        <v>1206.5</v>
      </c>
      <c r="G327" s="34">
        <v>1206.5</v>
      </c>
      <c r="H327" s="33" t="s">
        <v>68</v>
      </c>
      <c r="I327" s="33" t="s">
        <v>68</v>
      </c>
    </row>
    <row r="328" spans="1:9" x14ac:dyDescent="0.2">
      <c r="A328" s="33" t="s">
        <v>303</v>
      </c>
      <c r="B328" s="33" t="s">
        <v>227</v>
      </c>
      <c r="C328" s="33" t="s">
        <v>638</v>
      </c>
      <c r="D328" s="42">
        <v>-2.2737367544323206E-13</v>
      </c>
      <c r="E328" s="33" t="s">
        <v>224</v>
      </c>
      <c r="F328" s="34">
        <v>1200</v>
      </c>
      <c r="G328" s="34">
        <v>1200.0000000000002</v>
      </c>
      <c r="H328" s="33" t="s">
        <v>68</v>
      </c>
      <c r="I328" s="33" t="s">
        <v>68</v>
      </c>
    </row>
    <row r="329" spans="1:9" x14ac:dyDescent="0.2">
      <c r="A329" s="33" t="s">
        <v>303</v>
      </c>
      <c r="B329" s="33" t="s">
        <v>227</v>
      </c>
      <c r="C329" s="33" t="s">
        <v>644</v>
      </c>
      <c r="D329" s="42">
        <v>0</v>
      </c>
      <c r="E329" s="33" t="s">
        <v>224</v>
      </c>
      <c r="F329" s="34">
        <v>16.399999999999999</v>
      </c>
      <c r="G329" s="34">
        <v>16.399999999999999</v>
      </c>
      <c r="H329" s="33" t="s">
        <v>68</v>
      </c>
      <c r="I329" s="33" t="s">
        <v>68</v>
      </c>
    </row>
    <row r="330" spans="1:9" x14ac:dyDescent="0.2">
      <c r="A330" s="33" t="s">
        <v>303</v>
      </c>
      <c r="B330" s="33" t="s">
        <v>227</v>
      </c>
      <c r="C330" s="33" t="s">
        <v>639</v>
      </c>
      <c r="D330" s="42">
        <v>2.2737367544323206E-13</v>
      </c>
      <c r="E330" s="33" t="s">
        <v>224</v>
      </c>
      <c r="F330" s="34">
        <v>1266.2</v>
      </c>
      <c r="G330" s="34">
        <v>1266.1999999999998</v>
      </c>
      <c r="H330" s="33" t="s">
        <v>68</v>
      </c>
      <c r="I330" s="33" t="s">
        <v>68</v>
      </c>
    </row>
    <row r="331" spans="1:9" x14ac:dyDescent="0.2">
      <c r="A331" s="33" t="s">
        <v>303</v>
      </c>
      <c r="B331" s="33" t="s">
        <v>227</v>
      </c>
      <c r="C331" s="33" t="s">
        <v>645</v>
      </c>
      <c r="D331" s="42">
        <v>1.7763568394002505E-15</v>
      </c>
      <c r="E331" s="33" t="s">
        <v>224</v>
      </c>
      <c r="F331" s="34">
        <v>15.6</v>
      </c>
      <c r="G331" s="34">
        <v>15.599999999999998</v>
      </c>
      <c r="H331" s="33" t="s">
        <v>68</v>
      </c>
      <c r="I331" s="33" t="s">
        <v>68</v>
      </c>
    </row>
    <row r="332" spans="1:9" x14ac:dyDescent="0.2">
      <c r="A332" s="33" t="s">
        <v>303</v>
      </c>
      <c r="B332" s="33" t="s">
        <v>227</v>
      </c>
      <c r="C332" s="33" t="s">
        <v>646</v>
      </c>
      <c r="D332" s="42">
        <v>1.1368683772161603E-13</v>
      </c>
      <c r="E332" s="33" t="s">
        <v>224</v>
      </c>
      <c r="F332" s="34">
        <v>862.5</v>
      </c>
      <c r="G332" s="34">
        <v>862.49999999999989</v>
      </c>
      <c r="H332" s="33" t="s">
        <v>68</v>
      </c>
      <c r="I332" s="33" t="s">
        <v>68</v>
      </c>
    </row>
    <row r="333" spans="1:9" x14ac:dyDescent="0.2">
      <c r="A333" s="33" t="s">
        <v>275</v>
      </c>
      <c r="B333" s="33" t="s">
        <v>45</v>
      </c>
      <c r="C333" s="33" t="s">
        <v>647</v>
      </c>
      <c r="D333" s="42">
        <v>0</v>
      </c>
      <c r="E333" s="33" t="s">
        <v>224</v>
      </c>
      <c r="F333" s="34">
        <v>8</v>
      </c>
      <c r="G333" s="34">
        <v>8</v>
      </c>
      <c r="H333" s="33" t="s">
        <v>68</v>
      </c>
      <c r="I333" s="33" t="s">
        <v>68</v>
      </c>
    </row>
    <row r="334" spans="1:9" x14ac:dyDescent="0.2">
      <c r="A334" s="33" t="s">
        <v>275</v>
      </c>
      <c r="B334" s="33" t="s">
        <v>45</v>
      </c>
      <c r="C334" s="33" t="s">
        <v>648</v>
      </c>
      <c r="D334" s="42">
        <v>0</v>
      </c>
      <c r="E334" s="33" t="s">
        <v>224</v>
      </c>
      <c r="F334" s="34">
        <v>2</v>
      </c>
      <c r="G334" s="34">
        <v>2</v>
      </c>
      <c r="H334" s="33" t="s">
        <v>68</v>
      </c>
      <c r="I334" s="33" t="s">
        <v>68</v>
      </c>
    </row>
    <row r="335" spans="1:9" x14ac:dyDescent="0.2">
      <c r="A335" s="33" t="s">
        <v>275</v>
      </c>
      <c r="B335" s="33" t="s">
        <v>45</v>
      </c>
      <c r="C335" s="33" t="s">
        <v>649</v>
      </c>
      <c r="D335" s="42">
        <v>8.8817841970012523E-16</v>
      </c>
      <c r="E335" s="33" t="s">
        <v>224</v>
      </c>
      <c r="F335" s="34">
        <v>7</v>
      </c>
      <c r="G335" s="34">
        <v>6.9999999999999991</v>
      </c>
      <c r="H335" s="33" t="s">
        <v>68</v>
      </c>
      <c r="I335" s="33" t="s">
        <v>68</v>
      </c>
    </row>
    <row r="336" spans="1:9" x14ac:dyDescent="0.2">
      <c r="A336" s="33" t="s">
        <v>275</v>
      </c>
      <c r="B336" s="33" t="s">
        <v>45</v>
      </c>
      <c r="C336" s="33" t="s">
        <v>650</v>
      </c>
      <c r="D336" s="42">
        <v>0</v>
      </c>
      <c r="E336" s="33" t="s">
        <v>224</v>
      </c>
      <c r="F336" s="34">
        <v>350</v>
      </c>
      <c r="G336" s="34">
        <v>350</v>
      </c>
      <c r="H336" s="33" t="s">
        <v>68</v>
      </c>
      <c r="I336" s="33" t="s">
        <v>68</v>
      </c>
    </row>
    <row r="337" spans="1:9" x14ac:dyDescent="0.2">
      <c r="A337" s="33" t="s">
        <v>275</v>
      </c>
      <c r="B337" s="33" t="s">
        <v>45</v>
      </c>
      <c r="C337" s="33" t="s">
        <v>651</v>
      </c>
      <c r="D337" s="42">
        <v>0</v>
      </c>
      <c r="E337" s="33" t="s">
        <v>224</v>
      </c>
      <c r="F337" s="34">
        <v>405</v>
      </c>
      <c r="G337" s="34">
        <v>405</v>
      </c>
      <c r="H337" s="33" t="s">
        <v>68</v>
      </c>
      <c r="I337" s="33" t="s">
        <v>68</v>
      </c>
    </row>
    <row r="338" spans="1:9" x14ac:dyDescent="0.2">
      <c r="A338" s="33" t="s">
        <v>275</v>
      </c>
      <c r="B338" s="33" t="s">
        <v>45</v>
      </c>
      <c r="C338" s="33" t="s">
        <v>652</v>
      </c>
      <c r="D338" s="42">
        <v>0</v>
      </c>
      <c r="E338" s="33" t="s">
        <v>224</v>
      </c>
      <c r="F338" s="34">
        <v>10</v>
      </c>
      <c r="G338" s="34">
        <v>10</v>
      </c>
      <c r="H338" s="33" t="s">
        <v>68</v>
      </c>
      <c r="I338" s="33" t="s">
        <v>68</v>
      </c>
    </row>
    <row r="339" spans="1:9" x14ac:dyDescent="0.2">
      <c r="A339" s="33" t="s">
        <v>275</v>
      </c>
      <c r="B339" s="33" t="s">
        <v>45</v>
      </c>
      <c r="C339" s="33" t="s">
        <v>653</v>
      </c>
      <c r="D339" s="42">
        <v>0</v>
      </c>
      <c r="E339" s="33" t="s">
        <v>224</v>
      </c>
      <c r="F339" s="34">
        <v>2</v>
      </c>
      <c r="G339" s="34">
        <v>2</v>
      </c>
      <c r="H339" s="33" t="s">
        <v>68</v>
      </c>
      <c r="I339" s="33" t="s">
        <v>68</v>
      </c>
    </row>
    <row r="340" spans="1:9" x14ac:dyDescent="0.2">
      <c r="A340" s="33" t="s">
        <v>275</v>
      </c>
      <c r="B340" s="33" t="s">
        <v>45</v>
      </c>
      <c r="C340" s="33" t="s">
        <v>654</v>
      </c>
      <c r="D340" s="42">
        <v>0</v>
      </c>
      <c r="E340" s="33" t="s">
        <v>224</v>
      </c>
      <c r="F340" s="34">
        <v>150</v>
      </c>
      <c r="G340" s="34">
        <v>150</v>
      </c>
      <c r="H340" s="33" t="s">
        <v>68</v>
      </c>
      <c r="I340" s="33" t="s">
        <v>68</v>
      </c>
    </row>
    <row r="341" spans="1:9" x14ac:dyDescent="0.2">
      <c r="A341" s="33" t="s">
        <v>275</v>
      </c>
      <c r="B341" s="33" t="s">
        <v>45</v>
      </c>
      <c r="C341" s="33" t="s">
        <v>655</v>
      </c>
      <c r="D341" s="42">
        <v>0</v>
      </c>
      <c r="E341" s="33" t="s">
        <v>224</v>
      </c>
      <c r="F341" s="34">
        <v>150</v>
      </c>
      <c r="G341" s="34">
        <v>150</v>
      </c>
      <c r="H341" s="33" t="s">
        <v>68</v>
      </c>
      <c r="I341" s="33" t="s">
        <v>68</v>
      </c>
    </row>
    <row r="342" spans="1:9" x14ac:dyDescent="0.2">
      <c r="A342" s="33" t="s">
        <v>275</v>
      </c>
      <c r="B342" s="33" t="s">
        <v>45</v>
      </c>
      <c r="C342" s="33" t="s">
        <v>656</v>
      </c>
      <c r="D342" s="42">
        <v>-2.8421709430404007E-14</v>
      </c>
      <c r="E342" s="33" t="s">
        <v>224</v>
      </c>
      <c r="F342" s="34">
        <v>155.69999999999999</v>
      </c>
      <c r="G342" s="34">
        <v>155.70000000000002</v>
      </c>
      <c r="H342" s="33" t="s">
        <v>68</v>
      </c>
      <c r="I342" s="33" t="s">
        <v>68</v>
      </c>
    </row>
    <row r="343" spans="1:9" x14ac:dyDescent="0.2">
      <c r="A343" s="33" t="s">
        <v>275</v>
      </c>
      <c r="B343" s="33" t="s">
        <v>45</v>
      </c>
      <c r="C343" s="33" t="s">
        <v>657</v>
      </c>
      <c r="D343" s="42">
        <v>0</v>
      </c>
      <c r="E343" s="33" t="s">
        <v>224</v>
      </c>
      <c r="F343" s="34">
        <v>150</v>
      </c>
      <c r="G343" s="34">
        <v>150</v>
      </c>
      <c r="H343" s="33" t="s">
        <v>658</v>
      </c>
      <c r="I343" s="33" t="s">
        <v>68</v>
      </c>
    </row>
    <row r="344" spans="1:9" x14ac:dyDescent="0.2">
      <c r="A344" s="33" t="s">
        <v>275</v>
      </c>
      <c r="B344" s="33" t="s">
        <v>45</v>
      </c>
      <c r="C344" s="33" t="s">
        <v>533</v>
      </c>
      <c r="D344" s="42">
        <v>0</v>
      </c>
      <c r="E344" s="33" t="s">
        <v>224</v>
      </c>
      <c r="F344" s="34">
        <v>5</v>
      </c>
      <c r="G344" s="34">
        <v>5</v>
      </c>
      <c r="H344" s="33" t="s">
        <v>68</v>
      </c>
      <c r="I344" s="33" t="s">
        <v>68</v>
      </c>
    </row>
    <row r="345" spans="1:9" x14ac:dyDescent="0.2">
      <c r="A345" s="33" t="s">
        <v>275</v>
      </c>
      <c r="B345" s="33" t="s">
        <v>45</v>
      </c>
      <c r="C345" s="33" t="s">
        <v>659</v>
      </c>
      <c r="D345" s="42">
        <v>8.8817841970012523E-16</v>
      </c>
      <c r="E345" s="33" t="s">
        <v>224</v>
      </c>
      <c r="F345" s="34">
        <v>7</v>
      </c>
      <c r="G345" s="34">
        <v>6.9999999999999991</v>
      </c>
      <c r="H345" s="33" t="s">
        <v>68</v>
      </c>
      <c r="I345" s="33" t="s">
        <v>68</v>
      </c>
    </row>
    <row r="346" spans="1:9" x14ac:dyDescent="0.2">
      <c r="A346" s="33" t="s">
        <v>275</v>
      </c>
      <c r="B346" s="33" t="s">
        <v>45</v>
      </c>
      <c r="C346" s="33" t="s">
        <v>660</v>
      </c>
      <c r="D346" s="42">
        <v>-1.7763568394002505E-15</v>
      </c>
      <c r="E346" s="33" t="s">
        <v>224</v>
      </c>
      <c r="F346" s="34">
        <v>11</v>
      </c>
      <c r="G346" s="34">
        <v>11.000000000000002</v>
      </c>
      <c r="H346" s="33" t="s">
        <v>68</v>
      </c>
      <c r="I346" s="33" t="s">
        <v>68</v>
      </c>
    </row>
    <row r="347" spans="1:9" x14ac:dyDescent="0.2">
      <c r="A347" s="33" t="s">
        <v>275</v>
      </c>
      <c r="B347" s="33" t="s">
        <v>45</v>
      </c>
      <c r="C347" s="33" t="s">
        <v>661</v>
      </c>
      <c r="D347" s="42">
        <v>0</v>
      </c>
      <c r="E347" s="33" t="s">
        <v>224</v>
      </c>
      <c r="F347" s="34">
        <v>4</v>
      </c>
      <c r="G347" s="34">
        <v>4</v>
      </c>
      <c r="H347" s="33" t="s">
        <v>68</v>
      </c>
      <c r="I347" s="33" t="s">
        <v>662</v>
      </c>
    </row>
    <row r="348" spans="1:9" x14ac:dyDescent="0.2">
      <c r="A348" s="33" t="s">
        <v>275</v>
      </c>
      <c r="B348" s="33" t="s">
        <v>45</v>
      </c>
      <c r="C348" s="33" t="s">
        <v>663</v>
      </c>
      <c r="D348" s="42">
        <v>0</v>
      </c>
      <c r="E348" s="33" t="s">
        <v>224</v>
      </c>
      <c r="F348" s="34">
        <v>604</v>
      </c>
      <c r="G348" s="34">
        <v>604</v>
      </c>
      <c r="H348" s="33" t="s">
        <v>68</v>
      </c>
      <c r="I348" s="33" t="s">
        <v>68</v>
      </c>
    </row>
    <row r="349" spans="1:9" x14ac:dyDescent="0.2">
      <c r="A349" s="33" t="s">
        <v>275</v>
      </c>
      <c r="B349" s="33" t="s">
        <v>45</v>
      </c>
      <c r="C349" s="33" t="s">
        <v>664</v>
      </c>
      <c r="D349" s="42">
        <v>2.9999999998153726E-3</v>
      </c>
      <c r="E349" s="33" t="s">
        <v>224</v>
      </c>
      <c r="F349" s="34">
        <v>608</v>
      </c>
      <c r="G349" s="34">
        <v>607.99700000000018</v>
      </c>
      <c r="H349" s="33" t="s">
        <v>68</v>
      </c>
      <c r="I349" s="33" t="s">
        <v>68</v>
      </c>
    </row>
    <row r="350" spans="1:9" x14ac:dyDescent="0.2">
      <c r="A350" s="33" t="s">
        <v>275</v>
      </c>
      <c r="B350" s="33" t="s">
        <v>45</v>
      </c>
      <c r="C350" s="33" t="s">
        <v>665</v>
      </c>
      <c r="D350" s="42">
        <v>0</v>
      </c>
      <c r="E350" s="33" t="s">
        <v>224</v>
      </c>
      <c r="F350" s="34">
        <v>7</v>
      </c>
      <c r="G350" s="34">
        <v>7</v>
      </c>
      <c r="H350" s="33" t="s">
        <v>68</v>
      </c>
      <c r="I350" s="33" t="s">
        <v>68</v>
      </c>
    </row>
    <row r="351" spans="1:9" x14ac:dyDescent="0.2">
      <c r="A351" s="33" t="s">
        <v>275</v>
      </c>
      <c r="B351" s="33" t="s">
        <v>45</v>
      </c>
      <c r="C351" s="33" t="s">
        <v>666</v>
      </c>
      <c r="D351" s="42">
        <v>0</v>
      </c>
      <c r="E351" s="33" t="s">
        <v>224</v>
      </c>
      <c r="F351" s="34">
        <v>13</v>
      </c>
      <c r="G351" s="34">
        <v>13</v>
      </c>
      <c r="H351" s="33" t="s">
        <v>68</v>
      </c>
      <c r="I351" s="33" t="s">
        <v>68</v>
      </c>
    </row>
    <row r="352" spans="1:9" x14ac:dyDescent="0.2">
      <c r="A352" s="33" t="s">
        <v>275</v>
      </c>
      <c r="B352" s="33" t="s">
        <v>45</v>
      </c>
      <c r="C352" s="33" t="s">
        <v>667</v>
      </c>
      <c r="D352" s="42">
        <v>0</v>
      </c>
      <c r="E352" s="33" t="s">
        <v>224</v>
      </c>
      <c r="F352" s="34">
        <v>637.79999999999995</v>
      </c>
      <c r="G352" s="34">
        <v>637.79999999999995</v>
      </c>
      <c r="H352" s="33" t="s">
        <v>68</v>
      </c>
      <c r="I352" s="33" t="s">
        <v>68</v>
      </c>
    </row>
    <row r="353" spans="1:9" x14ac:dyDescent="0.2">
      <c r="A353" s="33" t="s">
        <v>275</v>
      </c>
      <c r="B353" s="33" t="s">
        <v>45</v>
      </c>
      <c r="C353" s="33" t="s">
        <v>668</v>
      </c>
      <c r="D353" s="42">
        <v>0</v>
      </c>
      <c r="E353" s="33" t="s">
        <v>224</v>
      </c>
      <c r="F353" s="34">
        <v>6</v>
      </c>
      <c r="G353" s="34">
        <v>6</v>
      </c>
      <c r="H353" s="33" t="s">
        <v>68</v>
      </c>
      <c r="I353" s="33" t="s">
        <v>68</v>
      </c>
    </row>
    <row r="354" spans="1:9" x14ac:dyDescent="0.2">
      <c r="A354" s="33" t="s">
        <v>275</v>
      </c>
      <c r="B354" s="33" t="s">
        <v>45</v>
      </c>
      <c r="C354" s="33" t="s">
        <v>669</v>
      </c>
      <c r="D354" s="42">
        <v>8.8817841970012523E-16</v>
      </c>
      <c r="E354" s="33" t="s">
        <v>224</v>
      </c>
      <c r="F354" s="34">
        <v>7.1</v>
      </c>
      <c r="G354" s="34">
        <v>7.0999999999999988</v>
      </c>
      <c r="H354" s="33" t="s">
        <v>68</v>
      </c>
      <c r="I354" s="33" t="s">
        <v>68</v>
      </c>
    </row>
    <row r="355" spans="1:9" x14ac:dyDescent="0.2">
      <c r="A355" s="33" t="s">
        <v>275</v>
      </c>
      <c r="B355" s="33" t="s">
        <v>45</v>
      </c>
      <c r="C355" s="33" t="s">
        <v>670</v>
      </c>
      <c r="D355" s="42">
        <v>-8.8817841970012523E-16</v>
      </c>
      <c r="E355" s="33" t="s">
        <v>224</v>
      </c>
      <c r="F355" s="34">
        <v>6.1</v>
      </c>
      <c r="G355" s="34">
        <v>6.1000000000000005</v>
      </c>
      <c r="H355" s="33" t="s">
        <v>68</v>
      </c>
      <c r="I355" s="33" t="s">
        <v>68</v>
      </c>
    </row>
    <row r="356" spans="1:9" x14ac:dyDescent="0.2">
      <c r="A356" s="33" t="s">
        <v>275</v>
      </c>
      <c r="B356" s="33" t="s">
        <v>45</v>
      </c>
      <c r="C356" s="33" t="s">
        <v>642</v>
      </c>
      <c r="D356" s="42">
        <v>0</v>
      </c>
      <c r="E356" s="33" t="s">
        <v>224</v>
      </c>
      <c r="F356" s="34">
        <v>380</v>
      </c>
      <c r="G356" s="34">
        <v>380</v>
      </c>
      <c r="H356" s="33" t="s">
        <v>68</v>
      </c>
      <c r="I356" s="33" t="s">
        <v>68</v>
      </c>
    </row>
    <row r="357" spans="1:9" x14ac:dyDescent="0.2">
      <c r="A357" s="33" t="s">
        <v>304</v>
      </c>
      <c r="B357" s="33" t="s">
        <v>46</v>
      </c>
      <c r="C357" s="33" t="s">
        <v>625</v>
      </c>
      <c r="D357" s="42">
        <v>7.1054273576010019E-15</v>
      </c>
      <c r="E357" s="33" t="s">
        <v>224</v>
      </c>
      <c r="F357" s="34">
        <v>45</v>
      </c>
      <c r="G357" s="34">
        <v>44.999999999999993</v>
      </c>
      <c r="H357" s="33" t="s">
        <v>68</v>
      </c>
      <c r="I357" s="33" t="s">
        <v>68</v>
      </c>
    </row>
    <row r="358" spans="1:9" x14ac:dyDescent="0.2">
      <c r="A358" s="33" t="s">
        <v>304</v>
      </c>
      <c r="B358" s="33" t="s">
        <v>46</v>
      </c>
      <c r="C358" s="33" t="s">
        <v>445</v>
      </c>
      <c r="D358" s="42">
        <v>8.8817841970012523E-16</v>
      </c>
      <c r="E358" s="33" t="s">
        <v>224</v>
      </c>
      <c r="F358" s="34">
        <v>5.4</v>
      </c>
      <c r="G358" s="34">
        <v>5.3999999999999995</v>
      </c>
      <c r="H358" s="33" t="s">
        <v>68</v>
      </c>
      <c r="I358" s="33" t="s">
        <v>68</v>
      </c>
    </row>
    <row r="359" spans="1:9" x14ac:dyDescent="0.2">
      <c r="A359" s="33" t="s">
        <v>304</v>
      </c>
      <c r="B359" s="33" t="s">
        <v>46</v>
      </c>
      <c r="C359" s="33" t="s">
        <v>626</v>
      </c>
      <c r="D359" s="42">
        <v>7.1054273576010019E-15</v>
      </c>
      <c r="E359" s="33" t="s">
        <v>224</v>
      </c>
      <c r="F359" s="34">
        <v>44</v>
      </c>
      <c r="G359" s="34">
        <v>43.999999999999993</v>
      </c>
      <c r="H359" s="33" t="s">
        <v>68</v>
      </c>
      <c r="I359" s="33" t="s">
        <v>68</v>
      </c>
    </row>
    <row r="360" spans="1:9" x14ac:dyDescent="0.2">
      <c r="A360" s="33" t="s">
        <v>304</v>
      </c>
      <c r="B360" s="33" t="s">
        <v>46</v>
      </c>
      <c r="C360" s="33" t="s">
        <v>627</v>
      </c>
      <c r="D360" s="42">
        <v>0</v>
      </c>
      <c r="E360" s="33" t="s">
        <v>224</v>
      </c>
      <c r="F360" s="34">
        <v>43.9</v>
      </c>
      <c r="G360" s="34">
        <v>43.9</v>
      </c>
      <c r="H360" s="33" t="s">
        <v>68</v>
      </c>
      <c r="I360" s="33" t="s">
        <v>68</v>
      </c>
    </row>
    <row r="361" spans="1:9" x14ac:dyDescent="0.2">
      <c r="A361" s="33" t="s">
        <v>304</v>
      </c>
      <c r="B361" s="33" t="s">
        <v>46</v>
      </c>
      <c r="C361" s="33" t="s">
        <v>538</v>
      </c>
      <c r="D361" s="42">
        <v>0</v>
      </c>
      <c r="E361" s="33" t="s">
        <v>224</v>
      </c>
      <c r="F361" s="34">
        <v>8.9</v>
      </c>
      <c r="G361" s="34">
        <v>8.9</v>
      </c>
      <c r="H361" s="33" t="s">
        <v>68</v>
      </c>
      <c r="I361" s="33" t="s">
        <v>68</v>
      </c>
    </row>
    <row r="362" spans="1:9" x14ac:dyDescent="0.2">
      <c r="A362" s="33" t="s">
        <v>304</v>
      </c>
      <c r="B362" s="33" t="s">
        <v>46</v>
      </c>
      <c r="C362" s="33" t="s">
        <v>628</v>
      </c>
      <c r="D362" s="42">
        <v>7.1054273576010019E-15</v>
      </c>
      <c r="E362" s="33" t="s">
        <v>224</v>
      </c>
      <c r="F362" s="34">
        <v>47.8</v>
      </c>
      <c r="G362" s="34">
        <v>47.79999999999999</v>
      </c>
      <c r="H362" s="33" t="s">
        <v>68</v>
      </c>
      <c r="I362" s="33" t="s">
        <v>68</v>
      </c>
    </row>
    <row r="363" spans="1:9" x14ac:dyDescent="0.2">
      <c r="A363" s="33" t="s">
        <v>304</v>
      </c>
      <c r="B363" s="33" t="s">
        <v>46</v>
      </c>
      <c r="C363" s="33" t="s">
        <v>629</v>
      </c>
      <c r="D363" s="42">
        <v>4.4408920985006262E-16</v>
      </c>
      <c r="E363" s="33" t="s">
        <v>224</v>
      </c>
      <c r="F363" s="34">
        <v>2.2000000000000002</v>
      </c>
      <c r="G363" s="34">
        <v>2.1999999999999997</v>
      </c>
      <c r="H363" s="33" t="s">
        <v>68</v>
      </c>
      <c r="I363" s="33" t="s">
        <v>68</v>
      </c>
    </row>
    <row r="364" spans="1:9" x14ac:dyDescent="0.2">
      <c r="A364" s="33" t="s">
        <v>304</v>
      </c>
      <c r="B364" s="33" t="s">
        <v>46</v>
      </c>
      <c r="C364" s="33" t="s">
        <v>630</v>
      </c>
      <c r="D364" s="42">
        <v>3.5527136788005009E-15</v>
      </c>
      <c r="E364" s="33" t="s">
        <v>224</v>
      </c>
      <c r="F364" s="34">
        <v>31.9</v>
      </c>
      <c r="G364" s="34">
        <v>31.899999999999995</v>
      </c>
      <c r="H364" s="33" t="s">
        <v>68</v>
      </c>
      <c r="I364" s="33" t="s">
        <v>68</v>
      </c>
    </row>
    <row r="365" spans="1:9" x14ac:dyDescent="0.2">
      <c r="A365" s="33" t="s">
        <v>305</v>
      </c>
      <c r="B365" s="33" t="s">
        <v>47</v>
      </c>
      <c r="C365" s="33" t="s">
        <v>625</v>
      </c>
      <c r="D365" s="42">
        <v>-7.1054273576010019E-15</v>
      </c>
      <c r="E365" s="33" t="s">
        <v>224</v>
      </c>
      <c r="F365" s="34">
        <v>45</v>
      </c>
      <c r="G365" s="34">
        <v>45.000000000000007</v>
      </c>
      <c r="H365" s="33" t="s">
        <v>68</v>
      </c>
      <c r="I365" s="33" t="s">
        <v>68</v>
      </c>
    </row>
    <row r="366" spans="1:9" x14ac:dyDescent="0.2">
      <c r="A366" s="33" t="s">
        <v>305</v>
      </c>
      <c r="B366" s="33" t="s">
        <v>47</v>
      </c>
      <c r="C366" s="33" t="s">
        <v>626</v>
      </c>
      <c r="D366" s="42">
        <v>-7.1054273576010019E-15</v>
      </c>
      <c r="E366" s="33" t="s">
        <v>224</v>
      </c>
      <c r="F366" s="34">
        <v>50</v>
      </c>
      <c r="G366" s="34">
        <v>50.000000000000007</v>
      </c>
      <c r="H366" s="33" t="s">
        <v>68</v>
      </c>
      <c r="I366" s="33" t="s">
        <v>68</v>
      </c>
    </row>
    <row r="367" spans="1:9" x14ac:dyDescent="0.2">
      <c r="A367" s="33" t="s">
        <v>305</v>
      </c>
      <c r="B367" s="33" t="s">
        <v>47</v>
      </c>
      <c r="C367" s="33" t="s">
        <v>627</v>
      </c>
      <c r="D367" s="42">
        <v>0</v>
      </c>
      <c r="E367" s="33" t="s">
        <v>224</v>
      </c>
      <c r="F367" s="34">
        <v>40</v>
      </c>
      <c r="G367" s="34">
        <v>40</v>
      </c>
      <c r="H367" s="33" t="s">
        <v>68</v>
      </c>
      <c r="I367" s="33" t="s">
        <v>68</v>
      </c>
    </row>
    <row r="368" spans="1:9" x14ac:dyDescent="0.2">
      <c r="A368" s="33" t="s">
        <v>305</v>
      </c>
      <c r="B368" s="33" t="s">
        <v>47</v>
      </c>
      <c r="C368" s="33" t="s">
        <v>671</v>
      </c>
      <c r="D368" s="42">
        <v>1.7763568394002505E-15</v>
      </c>
      <c r="E368" s="33" t="s">
        <v>224</v>
      </c>
      <c r="F368" s="34">
        <v>10</v>
      </c>
      <c r="G368" s="34">
        <v>9.9999999999999982</v>
      </c>
      <c r="H368" s="33" t="s">
        <v>68</v>
      </c>
      <c r="I368" s="33" t="s">
        <v>68</v>
      </c>
    </row>
    <row r="369" spans="1:9" x14ac:dyDescent="0.2">
      <c r="A369" s="33" t="s">
        <v>305</v>
      </c>
      <c r="B369" s="33" t="s">
        <v>47</v>
      </c>
      <c r="C369" s="33" t="s">
        <v>628</v>
      </c>
      <c r="D369" s="42">
        <v>0</v>
      </c>
      <c r="E369" s="33" t="s">
        <v>224</v>
      </c>
      <c r="F369" s="34">
        <v>50</v>
      </c>
      <c r="G369" s="34">
        <v>50</v>
      </c>
      <c r="H369" s="33" t="s">
        <v>68</v>
      </c>
      <c r="I369" s="33" t="s">
        <v>68</v>
      </c>
    </row>
    <row r="370" spans="1:9" x14ac:dyDescent="0.2">
      <c r="A370" s="33" t="s">
        <v>305</v>
      </c>
      <c r="B370" s="33" t="s">
        <v>47</v>
      </c>
      <c r="C370" s="33" t="s">
        <v>630</v>
      </c>
      <c r="D370" s="42">
        <v>0</v>
      </c>
      <c r="E370" s="33" t="s">
        <v>224</v>
      </c>
      <c r="F370" s="34">
        <v>36.4</v>
      </c>
      <c r="G370" s="34">
        <v>36.4</v>
      </c>
      <c r="H370" s="33" t="s">
        <v>68</v>
      </c>
      <c r="I370" s="33" t="s">
        <v>68</v>
      </c>
    </row>
    <row r="371" spans="1:9" x14ac:dyDescent="0.2">
      <c r="A371" s="33" t="s">
        <v>276</v>
      </c>
      <c r="B371" s="33" t="s">
        <v>48</v>
      </c>
      <c r="C371" s="33" t="s">
        <v>672</v>
      </c>
      <c r="D371" s="42">
        <v>0</v>
      </c>
      <c r="E371" s="33" t="s">
        <v>224</v>
      </c>
      <c r="F371" s="34">
        <v>22.2</v>
      </c>
      <c r="G371" s="34">
        <v>22.2</v>
      </c>
      <c r="H371" s="33" t="s">
        <v>68</v>
      </c>
      <c r="I371" s="33" t="s">
        <v>68</v>
      </c>
    </row>
    <row r="372" spans="1:9" x14ac:dyDescent="0.2">
      <c r="A372" s="33" t="s">
        <v>276</v>
      </c>
      <c r="B372" s="33" t="s">
        <v>48</v>
      </c>
      <c r="C372" s="33" t="s">
        <v>673</v>
      </c>
      <c r="D372" s="42">
        <v>0</v>
      </c>
      <c r="E372" s="33" t="s">
        <v>224</v>
      </c>
      <c r="F372" s="34">
        <v>3540</v>
      </c>
      <c r="G372" s="34">
        <v>3540</v>
      </c>
      <c r="H372" s="33" t="s">
        <v>68</v>
      </c>
      <c r="I372" s="33" t="s">
        <v>68</v>
      </c>
    </row>
    <row r="373" spans="1:9" x14ac:dyDescent="0.2">
      <c r="A373" s="33" t="s">
        <v>276</v>
      </c>
      <c r="B373" s="33" t="s">
        <v>48</v>
      </c>
      <c r="C373" s="33" t="s">
        <v>674</v>
      </c>
      <c r="D373" s="42">
        <v>0</v>
      </c>
      <c r="E373" s="33" t="s">
        <v>224</v>
      </c>
      <c r="F373" s="34">
        <v>30</v>
      </c>
      <c r="G373" s="34">
        <v>30</v>
      </c>
      <c r="H373" s="33" t="s">
        <v>68</v>
      </c>
      <c r="I373" s="33" t="s">
        <v>68</v>
      </c>
    </row>
    <row r="374" spans="1:9" x14ac:dyDescent="0.2">
      <c r="A374" s="33" t="s">
        <v>276</v>
      </c>
      <c r="B374" s="33" t="s">
        <v>48</v>
      </c>
      <c r="C374" s="33" t="s">
        <v>675</v>
      </c>
      <c r="D374" s="42">
        <v>4.0000000008149073E-3</v>
      </c>
      <c r="E374" s="33" t="s">
        <v>224</v>
      </c>
      <c r="F374" s="34">
        <v>3150</v>
      </c>
      <c r="G374" s="34">
        <v>3149.9959999999992</v>
      </c>
      <c r="H374" s="33" t="s">
        <v>68</v>
      </c>
      <c r="I374" s="33" t="s">
        <v>68</v>
      </c>
    </row>
    <row r="375" spans="1:9" x14ac:dyDescent="0.2">
      <c r="A375" s="33" t="s">
        <v>276</v>
      </c>
      <c r="B375" s="33" t="s">
        <v>48</v>
      </c>
      <c r="C375" s="33" t="s">
        <v>676</v>
      </c>
      <c r="D375" s="42">
        <v>2.8421709430404007E-14</v>
      </c>
      <c r="E375" s="33" t="s">
        <v>224</v>
      </c>
      <c r="F375" s="34">
        <v>165</v>
      </c>
      <c r="G375" s="34">
        <v>164.99999999999997</v>
      </c>
      <c r="H375" s="33" t="s">
        <v>68</v>
      </c>
      <c r="I375" s="33" t="s">
        <v>68</v>
      </c>
    </row>
    <row r="376" spans="1:9" x14ac:dyDescent="0.2">
      <c r="A376" s="33" t="s">
        <v>276</v>
      </c>
      <c r="B376" s="33" t="s">
        <v>48</v>
      </c>
      <c r="C376" s="33" t="s">
        <v>677</v>
      </c>
      <c r="D376" s="42">
        <v>0</v>
      </c>
      <c r="E376" s="33" t="s">
        <v>224</v>
      </c>
      <c r="F376" s="34">
        <v>540</v>
      </c>
      <c r="G376" s="34">
        <v>540</v>
      </c>
      <c r="H376" s="33" t="s">
        <v>68</v>
      </c>
      <c r="I376" s="33" t="s">
        <v>68</v>
      </c>
    </row>
    <row r="377" spans="1:9" x14ac:dyDescent="0.2">
      <c r="A377" s="33" t="s">
        <v>276</v>
      </c>
      <c r="B377" s="33" t="s">
        <v>48</v>
      </c>
      <c r="C377" s="33" t="s">
        <v>678</v>
      </c>
      <c r="D377" s="42">
        <v>9.0949470177292824E-13</v>
      </c>
      <c r="E377" s="33" t="s">
        <v>224</v>
      </c>
      <c r="F377" s="34">
        <v>2400</v>
      </c>
      <c r="G377" s="34">
        <v>2399.9999999999991</v>
      </c>
      <c r="H377" s="33" t="s">
        <v>68</v>
      </c>
      <c r="I377" s="33" t="s">
        <v>68</v>
      </c>
    </row>
    <row r="378" spans="1:9" x14ac:dyDescent="0.2">
      <c r="A378" s="33" t="s">
        <v>276</v>
      </c>
      <c r="B378" s="33" t="s">
        <v>48</v>
      </c>
      <c r="C378" s="33" t="s">
        <v>679</v>
      </c>
      <c r="D378" s="42">
        <v>28.099999999999909</v>
      </c>
      <c r="E378" s="33" t="s">
        <v>224</v>
      </c>
      <c r="F378" s="34">
        <v>2295</v>
      </c>
      <c r="G378" s="34">
        <v>2266.9</v>
      </c>
      <c r="H378" s="33" t="s">
        <v>68</v>
      </c>
      <c r="I378" s="33" t="s">
        <v>68</v>
      </c>
    </row>
    <row r="379" spans="1:9" x14ac:dyDescent="0.2">
      <c r="A379" s="33" t="s">
        <v>276</v>
      </c>
      <c r="B379" s="33" t="s">
        <v>48</v>
      </c>
      <c r="C379" s="33" t="s">
        <v>680</v>
      </c>
      <c r="D379" s="42">
        <v>2.2737367544323206E-13</v>
      </c>
      <c r="E379" s="33" t="s">
        <v>224</v>
      </c>
      <c r="F379" s="34">
        <v>1590</v>
      </c>
      <c r="G379" s="34">
        <v>1589.9999999999998</v>
      </c>
      <c r="H379" s="33" t="s">
        <v>68</v>
      </c>
      <c r="I379" s="33" t="s">
        <v>68</v>
      </c>
    </row>
    <row r="380" spans="1:9" x14ac:dyDescent="0.2">
      <c r="A380" s="33" t="s">
        <v>276</v>
      </c>
      <c r="B380" s="33" t="s">
        <v>48</v>
      </c>
      <c r="C380" s="33" t="s">
        <v>681</v>
      </c>
      <c r="D380" s="42">
        <v>0</v>
      </c>
      <c r="E380" s="33" t="s">
        <v>224</v>
      </c>
      <c r="F380" s="34">
        <v>90</v>
      </c>
      <c r="G380" s="34">
        <v>90</v>
      </c>
      <c r="H380" s="33" t="s">
        <v>68</v>
      </c>
      <c r="I380" s="33" t="s">
        <v>68</v>
      </c>
    </row>
    <row r="381" spans="1:9" x14ac:dyDescent="0.2">
      <c r="A381" s="33" t="s">
        <v>276</v>
      </c>
      <c r="B381" s="33" t="s">
        <v>48</v>
      </c>
      <c r="C381" s="33" t="s">
        <v>682</v>
      </c>
      <c r="D381" s="42">
        <v>0</v>
      </c>
      <c r="E381" s="33" t="s">
        <v>224</v>
      </c>
      <c r="F381" s="34">
        <v>3030</v>
      </c>
      <c r="G381" s="34">
        <v>3030</v>
      </c>
      <c r="H381" s="33" t="s">
        <v>68</v>
      </c>
      <c r="I381" s="33" t="s">
        <v>68</v>
      </c>
    </row>
    <row r="382" spans="1:9" x14ac:dyDescent="0.2">
      <c r="A382" s="33" t="s">
        <v>276</v>
      </c>
      <c r="B382" s="33" t="s">
        <v>48</v>
      </c>
      <c r="C382" s="33" t="s">
        <v>683</v>
      </c>
      <c r="D382" s="42">
        <v>0</v>
      </c>
      <c r="E382" s="33" t="s">
        <v>224</v>
      </c>
      <c r="F382" s="34">
        <v>9</v>
      </c>
      <c r="G382" s="34">
        <v>9</v>
      </c>
      <c r="H382" s="33" t="s">
        <v>68</v>
      </c>
      <c r="I382" s="33" t="s">
        <v>684</v>
      </c>
    </row>
    <row r="383" spans="1:9" x14ac:dyDescent="0.2">
      <c r="A383" s="33" t="s">
        <v>342</v>
      </c>
      <c r="B383" s="33" t="s">
        <v>49</v>
      </c>
      <c r="C383" s="33" t="s">
        <v>685</v>
      </c>
      <c r="D383" s="42">
        <v>0</v>
      </c>
      <c r="E383" s="33" t="s">
        <v>224</v>
      </c>
      <c r="F383" s="34">
        <v>4.5</v>
      </c>
      <c r="G383" s="34">
        <v>4.5</v>
      </c>
      <c r="H383" s="33" t="s">
        <v>68</v>
      </c>
      <c r="I383" s="33" t="s">
        <v>684</v>
      </c>
    </row>
    <row r="384" spans="1:9" x14ac:dyDescent="0.2">
      <c r="A384" s="33" t="s">
        <v>342</v>
      </c>
      <c r="B384" s="33" t="s">
        <v>49</v>
      </c>
      <c r="C384" s="33" t="s">
        <v>686</v>
      </c>
      <c r="D384" s="42">
        <v>0</v>
      </c>
      <c r="E384" s="33" t="s">
        <v>224</v>
      </c>
      <c r="F384" s="34">
        <v>60</v>
      </c>
      <c r="G384" s="34">
        <v>60</v>
      </c>
      <c r="H384" s="33" t="s">
        <v>68</v>
      </c>
      <c r="I384" s="33" t="s">
        <v>68</v>
      </c>
    </row>
    <row r="385" spans="1:9" x14ac:dyDescent="0.2">
      <c r="A385" s="33" t="s">
        <v>342</v>
      </c>
      <c r="B385" s="33" t="s">
        <v>49</v>
      </c>
      <c r="C385" s="33" t="s">
        <v>687</v>
      </c>
      <c r="D385" s="42">
        <v>0</v>
      </c>
      <c r="E385" s="33" t="s">
        <v>224</v>
      </c>
      <c r="F385" s="34">
        <v>30</v>
      </c>
      <c r="G385" s="34">
        <v>30</v>
      </c>
      <c r="H385" s="33" t="s">
        <v>68</v>
      </c>
      <c r="I385" s="33" t="s">
        <v>68</v>
      </c>
    </row>
    <row r="386" spans="1:9" x14ac:dyDescent="0.2">
      <c r="A386" s="33" t="s">
        <v>342</v>
      </c>
      <c r="B386" s="33" t="s">
        <v>49</v>
      </c>
      <c r="C386" s="33" t="s">
        <v>688</v>
      </c>
      <c r="D386" s="42">
        <v>0</v>
      </c>
      <c r="E386" s="33" t="s">
        <v>224</v>
      </c>
      <c r="F386" s="34">
        <v>2370</v>
      </c>
      <c r="G386" s="34">
        <v>2370</v>
      </c>
      <c r="H386" s="33" t="s">
        <v>68</v>
      </c>
      <c r="I386" s="33" t="s">
        <v>68</v>
      </c>
    </row>
    <row r="387" spans="1:9" x14ac:dyDescent="0.2">
      <c r="A387" s="33" t="s">
        <v>342</v>
      </c>
      <c r="B387" s="33" t="s">
        <v>49</v>
      </c>
      <c r="C387" s="33" t="s">
        <v>676</v>
      </c>
      <c r="D387" s="42">
        <v>0</v>
      </c>
      <c r="E387" s="33" t="s">
        <v>224</v>
      </c>
      <c r="F387" s="34">
        <v>30</v>
      </c>
      <c r="G387" s="34">
        <v>30</v>
      </c>
      <c r="H387" s="33" t="s">
        <v>68</v>
      </c>
      <c r="I387" s="33" t="s">
        <v>68</v>
      </c>
    </row>
    <row r="388" spans="1:9" x14ac:dyDescent="0.2">
      <c r="A388" s="33" t="s">
        <v>342</v>
      </c>
      <c r="B388" s="33" t="s">
        <v>49</v>
      </c>
      <c r="C388" s="33" t="s">
        <v>689</v>
      </c>
      <c r="D388" s="42">
        <v>0</v>
      </c>
      <c r="E388" s="33" t="s">
        <v>224</v>
      </c>
      <c r="F388" s="34">
        <v>1590</v>
      </c>
      <c r="G388" s="34">
        <v>1590</v>
      </c>
      <c r="H388" s="33" t="s">
        <v>68</v>
      </c>
      <c r="I388" s="33" t="s">
        <v>68</v>
      </c>
    </row>
    <row r="389" spans="1:9" x14ac:dyDescent="0.2">
      <c r="A389" s="33" t="s">
        <v>342</v>
      </c>
      <c r="B389" s="33" t="s">
        <v>49</v>
      </c>
      <c r="C389" s="33" t="s">
        <v>690</v>
      </c>
      <c r="D389" s="42">
        <v>24.900000000000091</v>
      </c>
      <c r="E389" s="33" t="s">
        <v>224</v>
      </c>
      <c r="F389" s="34">
        <v>1530</v>
      </c>
      <c r="G389" s="34">
        <v>1505.1</v>
      </c>
      <c r="H389" s="33" t="s">
        <v>68</v>
      </c>
      <c r="I389" s="33" t="s">
        <v>68</v>
      </c>
    </row>
    <row r="390" spans="1:9" x14ac:dyDescent="0.2">
      <c r="A390" s="33" t="s">
        <v>342</v>
      </c>
      <c r="B390" s="33" t="s">
        <v>49</v>
      </c>
      <c r="C390" s="33" t="s">
        <v>691</v>
      </c>
      <c r="D390" s="42">
        <v>0</v>
      </c>
      <c r="E390" s="33" t="s">
        <v>224</v>
      </c>
      <c r="F390" s="34">
        <v>22.8</v>
      </c>
      <c r="G390" s="34">
        <v>22.8</v>
      </c>
      <c r="H390" s="33" t="s">
        <v>68</v>
      </c>
      <c r="I390" s="33" t="s">
        <v>68</v>
      </c>
    </row>
    <row r="391" spans="1:9" x14ac:dyDescent="0.2">
      <c r="A391" s="33" t="s">
        <v>342</v>
      </c>
      <c r="B391" s="33" t="s">
        <v>49</v>
      </c>
      <c r="C391" s="33" t="s">
        <v>692</v>
      </c>
      <c r="D391" s="42">
        <v>4.5474735088646412E-13</v>
      </c>
      <c r="E391" s="33" t="s">
        <v>224</v>
      </c>
      <c r="F391" s="34">
        <v>2280</v>
      </c>
      <c r="G391" s="34">
        <v>2279.9999999999995</v>
      </c>
      <c r="H391" s="33" t="s">
        <v>68</v>
      </c>
      <c r="I391" s="33" t="s">
        <v>68</v>
      </c>
    </row>
    <row r="392" spans="1:9" x14ac:dyDescent="0.2">
      <c r="A392" s="33" t="s">
        <v>342</v>
      </c>
      <c r="B392" s="33" t="s">
        <v>49</v>
      </c>
      <c r="C392" s="33" t="s">
        <v>693</v>
      </c>
      <c r="D392" s="42">
        <v>0</v>
      </c>
      <c r="E392" s="33" t="s">
        <v>224</v>
      </c>
      <c r="F392" s="34">
        <v>2220</v>
      </c>
      <c r="G392" s="34">
        <v>2220</v>
      </c>
      <c r="H392" s="33" t="s">
        <v>68</v>
      </c>
      <c r="I392" s="33" t="s">
        <v>68</v>
      </c>
    </row>
    <row r="393" spans="1:9" x14ac:dyDescent="0.2">
      <c r="A393" s="33" t="s">
        <v>306</v>
      </c>
      <c r="B393" s="33" t="s">
        <v>50</v>
      </c>
      <c r="C393" s="33" t="s">
        <v>68</v>
      </c>
      <c r="D393" s="42">
        <v>0</v>
      </c>
      <c r="E393" s="33" t="s">
        <v>224</v>
      </c>
      <c r="F393" s="34">
        <v>4.8</v>
      </c>
      <c r="G393" s="34">
        <v>4.8</v>
      </c>
      <c r="H393" s="33" t="s">
        <v>68</v>
      </c>
      <c r="I393" s="33" t="s">
        <v>68</v>
      </c>
    </row>
    <row r="394" spans="1:9" x14ac:dyDescent="0.2">
      <c r="A394" s="33" t="s">
        <v>306</v>
      </c>
      <c r="B394" s="33" t="s">
        <v>50</v>
      </c>
      <c r="C394" s="33" t="s">
        <v>694</v>
      </c>
      <c r="D394" s="42">
        <v>0</v>
      </c>
      <c r="E394" s="33" t="s">
        <v>224</v>
      </c>
      <c r="F394" s="34">
        <v>1830</v>
      </c>
      <c r="G394" s="34">
        <v>1830</v>
      </c>
      <c r="H394" s="33" t="s">
        <v>68</v>
      </c>
      <c r="I394" s="33" t="s">
        <v>68</v>
      </c>
    </row>
    <row r="395" spans="1:9" x14ac:dyDescent="0.2">
      <c r="A395" s="33" t="s">
        <v>306</v>
      </c>
      <c r="B395" s="33" t="s">
        <v>50</v>
      </c>
      <c r="C395" s="33" t="s">
        <v>695</v>
      </c>
      <c r="D395" s="42">
        <v>0</v>
      </c>
      <c r="E395" s="33" t="s">
        <v>224</v>
      </c>
      <c r="F395" s="34">
        <v>3450</v>
      </c>
      <c r="G395" s="34">
        <v>3450</v>
      </c>
      <c r="H395" s="33" t="s">
        <v>68</v>
      </c>
      <c r="I395" s="33" t="s">
        <v>68</v>
      </c>
    </row>
    <row r="396" spans="1:9" x14ac:dyDescent="0.2">
      <c r="A396" s="33" t="s">
        <v>306</v>
      </c>
      <c r="B396" s="33" t="s">
        <v>50</v>
      </c>
      <c r="C396" s="33" t="s">
        <v>696</v>
      </c>
      <c r="D396" s="42">
        <v>0</v>
      </c>
      <c r="E396" s="33" t="s">
        <v>224</v>
      </c>
      <c r="F396" s="34">
        <v>1080</v>
      </c>
      <c r="G396" s="34">
        <v>1080</v>
      </c>
      <c r="H396" s="33" t="s">
        <v>68</v>
      </c>
      <c r="I396" s="33" t="s">
        <v>68</v>
      </c>
    </row>
    <row r="397" spans="1:9" x14ac:dyDescent="0.2">
      <c r="A397" s="33" t="s">
        <v>306</v>
      </c>
      <c r="B397" s="33" t="s">
        <v>50</v>
      </c>
      <c r="C397" s="33" t="s">
        <v>697</v>
      </c>
      <c r="D397" s="42">
        <v>0</v>
      </c>
      <c r="E397" s="33" t="s">
        <v>224</v>
      </c>
      <c r="F397" s="34">
        <v>427.2</v>
      </c>
      <c r="G397" s="34">
        <v>427.2</v>
      </c>
      <c r="H397" s="33" t="s">
        <v>68</v>
      </c>
      <c r="I397" s="33" t="s">
        <v>68</v>
      </c>
    </row>
    <row r="398" spans="1:9" x14ac:dyDescent="0.2">
      <c r="A398" s="33" t="s">
        <v>306</v>
      </c>
      <c r="B398" s="33" t="s">
        <v>50</v>
      </c>
      <c r="C398" s="33" t="s">
        <v>698</v>
      </c>
      <c r="D398" s="42">
        <v>0</v>
      </c>
      <c r="E398" s="33" t="s">
        <v>224</v>
      </c>
      <c r="F398" s="34">
        <v>690</v>
      </c>
      <c r="G398" s="34">
        <v>690</v>
      </c>
      <c r="H398" s="33" t="s">
        <v>68</v>
      </c>
      <c r="I398" s="33" t="s">
        <v>68</v>
      </c>
    </row>
    <row r="399" spans="1:9" x14ac:dyDescent="0.2">
      <c r="A399" s="33" t="s">
        <v>306</v>
      </c>
      <c r="B399" s="33" t="s">
        <v>50</v>
      </c>
      <c r="C399" s="33" t="s">
        <v>686</v>
      </c>
      <c r="D399" s="42">
        <v>0</v>
      </c>
      <c r="E399" s="33" t="s">
        <v>224</v>
      </c>
      <c r="F399" s="34">
        <v>60</v>
      </c>
      <c r="G399" s="34">
        <v>60</v>
      </c>
      <c r="H399" s="33" t="s">
        <v>68</v>
      </c>
      <c r="I399" s="33" t="s">
        <v>68</v>
      </c>
    </row>
    <row r="400" spans="1:9" x14ac:dyDescent="0.2">
      <c r="A400" s="33" t="s">
        <v>306</v>
      </c>
      <c r="B400" s="33" t="s">
        <v>50</v>
      </c>
      <c r="C400" s="33" t="s">
        <v>699</v>
      </c>
      <c r="D400" s="42">
        <v>0</v>
      </c>
      <c r="E400" s="33" t="s">
        <v>224</v>
      </c>
      <c r="F400" s="34">
        <v>2280</v>
      </c>
      <c r="G400" s="34">
        <v>2280</v>
      </c>
      <c r="H400" s="33" t="s">
        <v>68</v>
      </c>
      <c r="I400" s="33" t="s">
        <v>68</v>
      </c>
    </row>
    <row r="401" spans="1:9" x14ac:dyDescent="0.2">
      <c r="A401" s="33" t="s">
        <v>306</v>
      </c>
      <c r="B401" s="33" t="s">
        <v>50</v>
      </c>
      <c r="C401" s="33" t="s">
        <v>687</v>
      </c>
      <c r="D401" s="42">
        <v>0</v>
      </c>
      <c r="E401" s="33" t="s">
        <v>224</v>
      </c>
      <c r="F401" s="34">
        <v>420</v>
      </c>
      <c r="G401" s="34">
        <v>420</v>
      </c>
      <c r="H401" s="33" t="s">
        <v>68</v>
      </c>
      <c r="I401" s="33" t="s">
        <v>68</v>
      </c>
    </row>
    <row r="402" spans="1:9" x14ac:dyDescent="0.2">
      <c r="A402" s="33" t="s">
        <v>306</v>
      </c>
      <c r="B402" s="33" t="s">
        <v>50</v>
      </c>
      <c r="C402" s="33" t="s">
        <v>688</v>
      </c>
      <c r="D402" s="42">
        <v>0</v>
      </c>
      <c r="E402" s="33" t="s">
        <v>224</v>
      </c>
      <c r="F402" s="34">
        <v>1980</v>
      </c>
      <c r="G402" s="34">
        <v>1980</v>
      </c>
      <c r="H402" s="33" t="s">
        <v>68</v>
      </c>
      <c r="I402" s="33" t="s">
        <v>68</v>
      </c>
    </row>
    <row r="403" spans="1:9" x14ac:dyDescent="0.2">
      <c r="A403" s="33" t="s">
        <v>306</v>
      </c>
      <c r="B403" s="33" t="s">
        <v>50</v>
      </c>
      <c r="C403" s="33" t="s">
        <v>700</v>
      </c>
      <c r="D403" s="42">
        <v>0</v>
      </c>
      <c r="E403" s="33" t="s">
        <v>224</v>
      </c>
      <c r="F403" s="34">
        <v>2400</v>
      </c>
      <c r="G403" s="34">
        <v>2400</v>
      </c>
      <c r="H403" s="33" t="s">
        <v>68</v>
      </c>
      <c r="I403" s="33" t="s">
        <v>68</v>
      </c>
    </row>
    <row r="404" spans="1:9" x14ac:dyDescent="0.2">
      <c r="A404" s="33" t="s">
        <v>306</v>
      </c>
      <c r="B404" s="33" t="s">
        <v>50</v>
      </c>
      <c r="C404" s="33" t="s">
        <v>676</v>
      </c>
      <c r="D404" s="42">
        <v>0</v>
      </c>
      <c r="E404" s="33" t="s">
        <v>224</v>
      </c>
      <c r="F404" s="34">
        <v>90</v>
      </c>
      <c r="G404" s="34">
        <v>90</v>
      </c>
      <c r="H404" s="33" t="s">
        <v>68</v>
      </c>
      <c r="I404" s="33" t="s">
        <v>68</v>
      </c>
    </row>
    <row r="405" spans="1:9" x14ac:dyDescent="0.2">
      <c r="A405" s="33" t="s">
        <v>306</v>
      </c>
      <c r="B405" s="33" t="s">
        <v>50</v>
      </c>
      <c r="C405" s="33" t="s">
        <v>689</v>
      </c>
      <c r="D405" s="42">
        <v>2.2737367544323206E-13</v>
      </c>
      <c r="E405" s="33" t="s">
        <v>224</v>
      </c>
      <c r="F405" s="34">
        <v>1590</v>
      </c>
      <c r="G405" s="34">
        <v>1589.9999999999998</v>
      </c>
      <c r="H405" s="33" t="s">
        <v>68</v>
      </c>
      <c r="I405" s="33" t="s">
        <v>68</v>
      </c>
    </row>
    <row r="406" spans="1:9" x14ac:dyDescent="0.2">
      <c r="A406" s="33" t="s">
        <v>306</v>
      </c>
      <c r="B406" s="33" t="s">
        <v>50</v>
      </c>
      <c r="C406" s="33" t="s">
        <v>701</v>
      </c>
      <c r="D406" s="42">
        <v>0</v>
      </c>
      <c r="E406" s="33" t="s">
        <v>224</v>
      </c>
      <c r="F406" s="34">
        <v>1560</v>
      </c>
      <c r="G406" s="34">
        <v>1560</v>
      </c>
      <c r="H406" s="33" t="s">
        <v>68</v>
      </c>
      <c r="I406" s="33" t="s">
        <v>68</v>
      </c>
    </row>
    <row r="407" spans="1:9" x14ac:dyDescent="0.2">
      <c r="A407" s="33" t="s">
        <v>306</v>
      </c>
      <c r="B407" s="33" t="s">
        <v>50</v>
      </c>
      <c r="C407" s="33" t="s">
        <v>690</v>
      </c>
      <c r="D407" s="42">
        <v>14.000000000000227</v>
      </c>
      <c r="E407" s="33" t="s">
        <v>224</v>
      </c>
      <c r="F407" s="34">
        <v>1530</v>
      </c>
      <c r="G407" s="34">
        <v>1515.9999999999998</v>
      </c>
      <c r="H407" s="33" t="s">
        <v>68</v>
      </c>
      <c r="I407" s="33" t="s">
        <v>68</v>
      </c>
    </row>
    <row r="408" spans="1:9" x14ac:dyDescent="0.2">
      <c r="A408" s="33" t="s">
        <v>306</v>
      </c>
      <c r="B408" s="33" t="s">
        <v>50</v>
      </c>
      <c r="C408" s="33" t="s">
        <v>702</v>
      </c>
      <c r="D408" s="42">
        <v>0</v>
      </c>
      <c r="E408" s="33" t="s">
        <v>224</v>
      </c>
      <c r="F408" s="34">
        <v>6.4</v>
      </c>
      <c r="G408" s="34">
        <v>6.4</v>
      </c>
      <c r="H408" s="33" t="s">
        <v>68</v>
      </c>
      <c r="I408" s="33" t="s">
        <v>68</v>
      </c>
    </row>
    <row r="409" spans="1:9" x14ac:dyDescent="0.2">
      <c r="A409" s="33" t="s">
        <v>306</v>
      </c>
      <c r="B409" s="33" t="s">
        <v>50</v>
      </c>
      <c r="C409" s="33" t="s">
        <v>703</v>
      </c>
      <c r="D409" s="42">
        <v>0</v>
      </c>
      <c r="E409" s="33" t="s">
        <v>224</v>
      </c>
      <c r="F409" s="34">
        <v>2310</v>
      </c>
      <c r="G409" s="34">
        <v>2310</v>
      </c>
      <c r="H409" s="33" t="s">
        <v>68</v>
      </c>
      <c r="I409" s="33" t="s">
        <v>68</v>
      </c>
    </row>
    <row r="410" spans="1:9" x14ac:dyDescent="0.2">
      <c r="A410" s="33" t="s">
        <v>306</v>
      </c>
      <c r="B410" s="33" t="s">
        <v>50</v>
      </c>
      <c r="C410" s="33" t="s">
        <v>704</v>
      </c>
      <c r="D410" s="42">
        <v>0</v>
      </c>
      <c r="E410" s="33" t="s">
        <v>224</v>
      </c>
      <c r="F410" s="34">
        <v>30</v>
      </c>
      <c r="G410" s="34">
        <v>30</v>
      </c>
      <c r="H410" s="33" t="s">
        <v>68</v>
      </c>
      <c r="I410" s="33" t="s">
        <v>68</v>
      </c>
    </row>
    <row r="411" spans="1:9" x14ac:dyDescent="0.2">
      <c r="A411" s="33" t="s">
        <v>306</v>
      </c>
      <c r="B411" s="33" t="s">
        <v>50</v>
      </c>
      <c r="C411" s="33" t="s">
        <v>705</v>
      </c>
      <c r="D411" s="42">
        <v>0</v>
      </c>
      <c r="E411" s="33" t="s">
        <v>224</v>
      </c>
      <c r="F411" s="34">
        <v>60</v>
      </c>
      <c r="G411" s="34">
        <v>60</v>
      </c>
      <c r="H411" s="33" t="s">
        <v>68</v>
      </c>
      <c r="I411" s="33" t="s">
        <v>68</v>
      </c>
    </row>
    <row r="412" spans="1:9" x14ac:dyDescent="0.2">
      <c r="A412" s="33" t="s">
        <v>306</v>
      </c>
      <c r="B412" s="33" t="s">
        <v>50</v>
      </c>
      <c r="C412" s="33" t="s">
        <v>706</v>
      </c>
      <c r="D412" s="42">
        <v>0</v>
      </c>
      <c r="E412" s="33" t="s">
        <v>224</v>
      </c>
      <c r="F412" s="34">
        <v>2280</v>
      </c>
      <c r="G412" s="34">
        <v>2280</v>
      </c>
      <c r="H412" s="33" t="s">
        <v>68</v>
      </c>
      <c r="I412" s="33" t="s">
        <v>68</v>
      </c>
    </row>
    <row r="413" spans="1:9" x14ac:dyDescent="0.2">
      <c r="A413" s="33" t="s">
        <v>306</v>
      </c>
      <c r="B413" s="33" t="s">
        <v>50</v>
      </c>
      <c r="C413" s="33" t="s">
        <v>707</v>
      </c>
      <c r="D413" s="42">
        <v>-4.5474735088646412E-13</v>
      </c>
      <c r="E413" s="33" t="s">
        <v>224</v>
      </c>
      <c r="F413" s="34">
        <v>2190</v>
      </c>
      <c r="G413" s="34">
        <v>2190.0000000000005</v>
      </c>
      <c r="H413" s="33" t="s">
        <v>68</v>
      </c>
      <c r="I413" s="33" t="s">
        <v>68</v>
      </c>
    </row>
    <row r="414" spans="1:9" x14ac:dyDescent="0.2">
      <c r="A414" s="33" t="s">
        <v>306</v>
      </c>
      <c r="B414" s="33" t="s">
        <v>50</v>
      </c>
      <c r="C414" s="33" t="s">
        <v>693</v>
      </c>
      <c r="D414" s="42">
        <v>0</v>
      </c>
      <c r="E414" s="33" t="s">
        <v>224</v>
      </c>
      <c r="F414" s="34">
        <v>2250</v>
      </c>
      <c r="G414" s="34">
        <v>2250</v>
      </c>
      <c r="H414" s="33" t="s">
        <v>68</v>
      </c>
      <c r="I414" s="33" t="s">
        <v>68</v>
      </c>
    </row>
    <row r="415" spans="1:9" x14ac:dyDescent="0.2">
      <c r="A415" s="33" t="s">
        <v>306</v>
      </c>
      <c r="B415" s="33" t="s">
        <v>50</v>
      </c>
      <c r="C415" s="33" t="s">
        <v>708</v>
      </c>
      <c r="D415" s="42">
        <v>0</v>
      </c>
      <c r="E415" s="33" t="s">
        <v>224</v>
      </c>
      <c r="F415" s="34">
        <v>24</v>
      </c>
      <c r="G415" s="34">
        <v>24</v>
      </c>
      <c r="H415" s="33" t="s">
        <v>68</v>
      </c>
      <c r="I415" s="33" t="s">
        <v>68</v>
      </c>
    </row>
    <row r="416" spans="1:9" x14ac:dyDescent="0.2">
      <c r="A416" s="33" t="s">
        <v>307</v>
      </c>
      <c r="B416" s="33" t="s">
        <v>51</v>
      </c>
      <c r="C416" s="33" t="s">
        <v>709</v>
      </c>
      <c r="D416" s="42">
        <v>0</v>
      </c>
      <c r="E416" s="33" t="s">
        <v>224</v>
      </c>
      <c r="F416" s="34">
        <v>40</v>
      </c>
      <c r="G416" s="34">
        <v>40</v>
      </c>
      <c r="H416" s="33" t="s">
        <v>68</v>
      </c>
      <c r="I416" s="33" t="s">
        <v>68</v>
      </c>
    </row>
    <row r="417" spans="1:9" x14ac:dyDescent="0.2">
      <c r="A417" s="33" t="s">
        <v>307</v>
      </c>
      <c r="B417" s="33" t="s">
        <v>51</v>
      </c>
      <c r="C417" s="33" t="s">
        <v>710</v>
      </c>
      <c r="D417" s="42">
        <v>0</v>
      </c>
      <c r="E417" s="33" t="s">
        <v>224</v>
      </c>
      <c r="F417" s="34">
        <v>40</v>
      </c>
      <c r="G417" s="34">
        <v>40</v>
      </c>
      <c r="H417" s="33" t="s">
        <v>68</v>
      </c>
      <c r="I417" s="33" t="s">
        <v>68</v>
      </c>
    </row>
    <row r="418" spans="1:9" x14ac:dyDescent="0.2">
      <c r="A418" s="33" t="s">
        <v>307</v>
      </c>
      <c r="B418" s="33" t="s">
        <v>51</v>
      </c>
      <c r="C418" s="33" t="s">
        <v>711</v>
      </c>
      <c r="D418" s="42">
        <v>-2.999999999996561E-3</v>
      </c>
      <c r="E418" s="33" t="s">
        <v>224</v>
      </c>
      <c r="F418" s="34">
        <v>20</v>
      </c>
      <c r="G418" s="34">
        <v>20.002999999999997</v>
      </c>
      <c r="H418" s="33" t="s">
        <v>68</v>
      </c>
      <c r="I418" s="33" t="s">
        <v>68</v>
      </c>
    </row>
    <row r="419" spans="1:9" x14ac:dyDescent="0.2">
      <c r="A419" s="33" t="s">
        <v>307</v>
      </c>
      <c r="B419" s="33" t="s">
        <v>51</v>
      </c>
      <c r="C419" s="33" t="s">
        <v>712</v>
      </c>
      <c r="D419" s="42">
        <v>0</v>
      </c>
      <c r="E419" s="33" t="s">
        <v>224</v>
      </c>
      <c r="F419" s="34">
        <v>20</v>
      </c>
      <c r="G419" s="34">
        <v>20</v>
      </c>
      <c r="H419" s="33" t="s">
        <v>68</v>
      </c>
      <c r="I419" s="33" t="s">
        <v>68</v>
      </c>
    </row>
    <row r="420" spans="1:9" x14ac:dyDescent="0.2">
      <c r="A420" s="33" t="s">
        <v>307</v>
      </c>
      <c r="B420" s="33" t="s">
        <v>51</v>
      </c>
      <c r="C420" s="33" t="s">
        <v>713</v>
      </c>
      <c r="D420" s="42">
        <v>0</v>
      </c>
      <c r="E420" s="33" t="s">
        <v>224</v>
      </c>
      <c r="F420" s="34">
        <v>20</v>
      </c>
      <c r="G420" s="34">
        <v>20</v>
      </c>
      <c r="H420" s="33" t="s">
        <v>68</v>
      </c>
      <c r="I420" s="33" t="s">
        <v>68</v>
      </c>
    </row>
    <row r="421" spans="1:9" x14ac:dyDescent="0.2">
      <c r="A421" s="33" t="s">
        <v>307</v>
      </c>
      <c r="B421" s="33" t="s">
        <v>51</v>
      </c>
      <c r="C421" s="33" t="s">
        <v>714</v>
      </c>
      <c r="D421" s="42">
        <v>2.2999999999999972</v>
      </c>
      <c r="E421" s="33" t="s">
        <v>224</v>
      </c>
      <c r="F421" s="34">
        <v>20</v>
      </c>
      <c r="G421" s="34">
        <v>17.700000000000003</v>
      </c>
      <c r="H421" s="33" t="s">
        <v>68</v>
      </c>
      <c r="I421" s="33" t="s">
        <v>715</v>
      </c>
    </row>
    <row r="422" spans="1:9" x14ac:dyDescent="0.2">
      <c r="A422" s="33" t="s">
        <v>308</v>
      </c>
      <c r="B422" s="33" t="s">
        <v>52</v>
      </c>
      <c r="C422" s="33" t="s">
        <v>68</v>
      </c>
      <c r="D422" s="42">
        <v>0</v>
      </c>
      <c r="E422" s="33" t="s">
        <v>224</v>
      </c>
      <c r="F422" s="34">
        <v>48.484000000000002</v>
      </c>
      <c r="G422" s="34">
        <v>48.484000000000002</v>
      </c>
      <c r="H422" s="33" t="s">
        <v>68</v>
      </c>
      <c r="I422" s="33" t="s">
        <v>68</v>
      </c>
    </row>
    <row r="423" spans="1:9" x14ac:dyDescent="0.2">
      <c r="A423" s="33" t="s">
        <v>308</v>
      </c>
      <c r="B423" s="33" t="s">
        <v>52</v>
      </c>
      <c r="C423" s="33" t="s">
        <v>716</v>
      </c>
      <c r="D423" s="42">
        <v>0</v>
      </c>
      <c r="E423" s="33" t="s">
        <v>224</v>
      </c>
      <c r="F423" s="34">
        <v>131.51599999999996</v>
      </c>
      <c r="G423" s="34">
        <v>131.51599999999996</v>
      </c>
      <c r="H423" s="33" t="s">
        <v>68</v>
      </c>
      <c r="I423" s="33" t="s">
        <v>68</v>
      </c>
    </row>
    <row r="424" spans="1:9" x14ac:dyDescent="0.2">
      <c r="A424" s="33" t="s">
        <v>308</v>
      </c>
      <c r="B424" s="33" t="s">
        <v>52</v>
      </c>
      <c r="C424" s="33" t="s">
        <v>717</v>
      </c>
      <c r="D424" s="42">
        <v>-7.1054273576010019E-15</v>
      </c>
      <c r="E424" s="33" t="s">
        <v>224</v>
      </c>
      <c r="F424" s="34">
        <v>55</v>
      </c>
      <c r="G424" s="34">
        <v>55.000000000000007</v>
      </c>
      <c r="H424" s="33" t="s">
        <v>68</v>
      </c>
      <c r="I424" s="33" t="s">
        <v>68</v>
      </c>
    </row>
    <row r="425" spans="1:9" x14ac:dyDescent="0.2">
      <c r="A425" s="33" t="s">
        <v>308</v>
      </c>
      <c r="B425" s="33" t="s">
        <v>52</v>
      </c>
      <c r="C425" s="33" t="s">
        <v>718</v>
      </c>
      <c r="D425" s="42">
        <v>0</v>
      </c>
      <c r="E425" s="33" t="s">
        <v>224</v>
      </c>
      <c r="F425" s="34">
        <v>60</v>
      </c>
      <c r="G425" s="34">
        <v>60</v>
      </c>
      <c r="H425" s="33" t="s">
        <v>68</v>
      </c>
      <c r="I425" s="33" t="s">
        <v>577</v>
      </c>
    </row>
    <row r="426" spans="1:9" x14ac:dyDescent="0.2">
      <c r="A426" s="33" t="s">
        <v>308</v>
      </c>
      <c r="B426" s="33" t="s">
        <v>52</v>
      </c>
      <c r="C426" s="33" t="s">
        <v>719</v>
      </c>
      <c r="D426" s="42">
        <v>0</v>
      </c>
      <c r="E426" s="33" t="s">
        <v>224</v>
      </c>
      <c r="F426" s="34">
        <v>67</v>
      </c>
      <c r="G426" s="34">
        <v>67</v>
      </c>
      <c r="H426" s="33" t="s">
        <v>68</v>
      </c>
      <c r="I426" s="33" t="s">
        <v>577</v>
      </c>
    </row>
    <row r="427" spans="1:9" x14ac:dyDescent="0.2">
      <c r="A427" s="33" t="s">
        <v>308</v>
      </c>
      <c r="B427" s="33" t="s">
        <v>52</v>
      </c>
      <c r="C427" s="33" t="s">
        <v>720</v>
      </c>
      <c r="D427" s="42">
        <v>0</v>
      </c>
      <c r="E427" s="33" t="s">
        <v>224</v>
      </c>
      <c r="F427" s="34">
        <v>66.400000000000006</v>
      </c>
      <c r="G427" s="34">
        <v>66.400000000000006</v>
      </c>
      <c r="H427" s="33" t="s">
        <v>68</v>
      </c>
      <c r="I427" s="33" t="s">
        <v>577</v>
      </c>
    </row>
    <row r="428" spans="1:9" x14ac:dyDescent="0.2">
      <c r="A428" s="33" t="s">
        <v>308</v>
      </c>
      <c r="B428" s="33" t="s">
        <v>52</v>
      </c>
      <c r="C428" s="33" t="s">
        <v>721</v>
      </c>
      <c r="D428" s="42">
        <v>0</v>
      </c>
      <c r="E428" s="33" t="s">
        <v>224</v>
      </c>
      <c r="F428" s="34">
        <v>42.8</v>
      </c>
      <c r="G428" s="34">
        <v>42.8</v>
      </c>
      <c r="H428" s="33" t="s">
        <v>68</v>
      </c>
      <c r="I428" s="33" t="s">
        <v>577</v>
      </c>
    </row>
    <row r="429" spans="1:9" x14ac:dyDescent="0.2">
      <c r="A429" s="33" t="s">
        <v>309</v>
      </c>
      <c r="B429" s="33" t="s">
        <v>53</v>
      </c>
      <c r="C429" s="33" t="s">
        <v>722</v>
      </c>
      <c r="D429" s="42">
        <v>0</v>
      </c>
      <c r="E429" s="33" t="s">
        <v>224</v>
      </c>
      <c r="F429" s="34">
        <v>40</v>
      </c>
      <c r="G429" s="34">
        <v>40</v>
      </c>
      <c r="H429" s="33" t="s">
        <v>68</v>
      </c>
      <c r="I429" s="33" t="s">
        <v>68</v>
      </c>
    </row>
    <row r="430" spans="1:9" x14ac:dyDescent="0.2">
      <c r="A430" s="33" t="s">
        <v>309</v>
      </c>
      <c r="B430" s="33" t="s">
        <v>53</v>
      </c>
      <c r="C430" s="33" t="s">
        <v>723</v>
      </c>
      <c r="D430" s="42">
        <v>0</v>
      </c>
      <c r="E430" s="33" t="s">
        <v>224</v>
      </c>
      <c r="F430" s="34">
        <v>5</v>
      </c>
      <c r="G430" s="34">
        <v>5</v>
      </c>
      <c r="H430" s="33" t="s">
        <v>68</v>
      </c>
      <c r="I430" s="33" t="s">
        <v>68</v>
      </c>
    </row>
    <row r="431" spans="1:9" x14ac:dyDescent="0.2">
      <c r="A431" s="33" t="s">
        <v>309</v>
      </c>
      <c r="B431" s="33" t="s">
        <v>53</v>
      </c>
      <c r="C431" s="33" t="s">
        <v>724</v>
      </c>
      <c r="D431" s="42">
        <v>0</v>
      </c>
      <c r="E431" s="33" t="s">
        <v>224</v>
      </c>
      <c r="F431" s="34">
        <v>40</v>
      </c>
      <c r="G431" s="34">
        <v>40</v>
      </c>
      <c r="H431" s="33" t="s">
        <v>725</v>
      </c>
      <c r="I431" s="33" t="s">
        <v>68</v>
      </c>
    </row>
    <row r="432" spans="1:9" x14ac:dyDescent="0.2">
      <c r="A432" s="33" t="s">
        <v>309</v>
      </c>
      <c r="B432" s="33" t="s">
        <v>53</v>
      </c>
      <c r="C432" s="33" t="s">
        <v>726</v>
      </c>
      <c r="D432" s="42">
        <v>-2.9999999999930083E-3</v>
      </c>
      <c r="E432" s="33" t="s">
        <v>224</v>
      </c>
      <c r="F432" s="34">
        <v>40</v>
      </c>
      <c r="G432" s="34">
        <v>40.002999999999993</v>
      </c>
      <c r="H432" s="33" t="s">
        <v>727</v>
      </c>
      <c r="I432" s="33" t="s">
        <v>68</v>
      </c>
    </row>
    <row r="433" spans="1:9" x14ac:dyDescent="0.2">
      <c r="A433" s="33" t="s">
        <v>309</v>
      </c>
      <c r="B433" s="33" t="s">
        <v>53</v>
      </c>
      <c r="C433" s="33" t="s">
        <v>728</v>
      </c>
      <c r="D433" s="42">
        <v>0</v>
      </c>
      <c r="E433" s="33" t="s">
        <v>224</v>
      </c>
      <c r="F433" s="34">
        <v>40</v>
      </c>
      <c r="G433" s="34">
        <v>40</v>
      </c>
      <c r="H433" s="33" t="s">
        <v>729</v>
      </c>
      <c r="I433" s="33" t="s">
        <v>68</v>
      </c>
    </row>
    <row r="434" spans="1:9" x14ac:dyDescent="0.2">
      <c r="A434" s="33" t="s">
        <v>309</v>
      </c>
      <c r="B434" s="33" t="s">
        <v>53</v>
      </c>
      <c r="C434" s="33" t="s">
        <v>730</v>
      </c>
      <c r="D434" s="42">
        <v>17.600000000000001</v>
      </c>
      <c r="E434" s="33" t="s">
        <v>224</v>
      </c>
      <c r="F434" s="34">
        <v>40</v>
      </c>
      <c r="G434" s="34">
        <v>22.4</v>
      </c>
      <c r="H434" s="33" t="s">
        <v>731</v>
      </c>
      <c r="I434" s="33" t="s">
        <v>715</v>
      </c>
    </row>
    <row r="435" spans="1:9" x14ac:dyDescent="0.2">
      <c r="A435" s="33" t="s">
        <v>310</v>
      </c>
      <c r="B435" s="33" t="s">
        <v>54</v>
      </c>
      <c r="C435" s="33" t="s">
        <v>732</v>
      </c>
      <c r="D435" s="42">
        <v>0</v>
      </c>
      <c r="E435" s="33" t="s">
        <v>224</v>
      </c>
      <c r="F435" s="34">
        <v>40</v>
      </c>
      <c r="G435" s="34">
        <v>40</v>
      </c>
      <c r="H435" s="33" t="s">
        <v>68</v>
      </c>
      <c r="I435" s="33" t="s">
        <v>68</v>
      </c>
    </row>
    <row r="436" spans="1:9" x14ac:dyDescent="0.2">
      <c r="A436" s="33" t="s">
        <v>310</v>
      </c>
      <c r="B436" s="33" t="s">
        <v>54</v>
      </c>
      <c r="C436" s="33" t="s">
        <v>733</v>
      </c>
      <c r="D436" s="42">
        <v>0</v>
      </c>
      <c r="E436" s="33" t="s">
        <v>224</v>
      </c>
      <c r="F436" s="34">
        <v>40</v>
      </c>
      <c r="G436" s="34">
        <v>40</v>
      </c>
      <c r="H436" s="33" t="s">
        <v>68</v>
      </c>
      <c r="I436" s="33" t="s">
        <v>68</v>
      </c>
    </row>
    <row r="437" spans="1:9" x14ac:dyDescent="0.2">
      <c r="A437" s="33" t="s">
        <v>310</v>
      </c>
      <c r="B437" s="33" t="s">
        <v>54</v>
      </c>
      <c r="C437" s="33" t="s">
        <v>734</v>
      </c>
      <c r="D437" s="42">
        <v>-2.999999999996561E-3</v>
      </c>
      <c r="E437" s="33" t="s">
        <v>224</v>
      </c>
      <c r="F437" s="34">
        <v>20</v>
      </c>
      <c r="G437" s="34">
        <v>20.002999999999997</v>
      </c>
      <c r="H437" s="33" t="s">
        <v>68</v>
      </c>
      <c r="I437" s="33" t="s">
        <v>68</v>
      </c>
    </row>
    <row r="438" spans="1:9" x14ac:dyDescent="0.2">
      <c r="A438" s="33" t="s">
        <v>310</v>
      </c>
      <c r="B438" s="33" t="s">
        <v>54</v>
      </c>
      <c r="C438" s="33" t="s">
        <v>735</v>
      </c>
      <c r="D438" s="42">
        <v>6</v>
      </c>
      <c r="E438" s="33" t="s">
        <v>224</v>
      </c>
      <c r="F438" s="34">
        <v>60</v>
      </c>
      <c r="G438" s="34">
        <v>54</v>
      </c>
      <c r="H438" s="33" t="s">
        <v>68</v>
      </c>
      <c r="I438" s="33" t="s">
        <v>68</v>
      </c>
    </row>
    <row r="439" spans="1:9" x14ac:dyDescent="0.2">
      <c r="A439" s="33" t="s">
        <v>311</v>
      </c>
      <c r="B439" s="33" t="s">
        <v>55</v>
      </c>
      <c r="C439" s="33" t="s">
        <v>68</v>
      </c>
      <c r="D439" s="42">
        <v>0</v>
      </c>
      <c r="E439" s="33" t="s">
        <v>224</v>
      </c>
      <c r="F439" s="34">
        <v>-26.02</v>
      </c>
      <c r="G439" s="34">
        <v>-26.02</v>
      </c>
      <c r="H439" s="33" t="s">
        <v>68</v>
      </c>
      <c r="I439" s="33" t="s">
        <v>68</v>
      </c>
    </row>
    <row r="440" spans="1:9" x14ac:dyDescent="0.2">
      <c r="A440" s="33" t="s">
        <v>311</v>
      </c>
      <c r="B440" s="33" t="s">
        <v>55</v>
      </c>
      <c r="C440" s="33" t="s">
        <v>736</v>
      </c>
      <c r="D440" s="42">
        <v>0</v>
      </c>
      <c r="E440" s="33" t="s">
        <v>224</v>
      </c>
      <c r="F440" s="34">
        <v>34.78</v>
      </c>
      <c r="G440" s="34">
        <v>34.78</v>
      </c>
      <c r="H440" s="33" t="s">
        <v>68</v>
      </c>
      <c r="I440" s="33" t="s">
        <v>68</v>
      </c>
    </row>
    <row r="441" spans="1:9" x14ac:dyDescent="0.2">
      <c r="A441" s="33" t="s">
        <v>311</v>
      </c>
      <c r="B441" s="33" t="s">
        <v>55</v>
      </c>
      <c r="C441" s="33" t="s">
        <v>737</v>
      </c>
      <c r="D441" s="42">
        <v>0</v>
      </c>
      <c r="E441" s="33" t="s">
        <v>224</v>
      </c>
      <c r="F441" s="34">
        <v>2670</v>
      </c>
      <c r="G441" s="34">
        <v>2670</v>
      </c>
      <c r="H441" s="33" t="s">
        <v>68</v>
      </c>
      <c r="I441" s="33" t="s">
        <v>68</v>
      </c>
    </row>
    <row r="442" spans="1:9" x14ac:dyDescent="0.2">
      <c r="A442" s="33" t="s">
        <v>311</v>
      </c>
      <c r="B442" s="33" t="s">
        <v>55</v>
      </c>
      <c r="C442" s="33" t="s">
        <v>738</v>
      </c>
      <c r="D442" s="42">
        <v>0</v>
      </c>
      <c r="E442" s="33" t="s">
        <v>224</v>
      </c>
      <c r="F442" s="34">
        <v>300</v>
      </c>
      <c r="G442" s="34">
        <v>300</v>
      </c>
      <c r="H442" s="33" t="s">
        <v>68</v>
      </c>
      <c r="I442" s="33" t="s">
        <v>68</v>
      </c>
    </row>
    <row r="443" spans="1:9" x14ac:dyDescent="0.2">
      <c r="A443" s="33" t="s">
        <v>311</v>
      </c>
      <c r="B443" s="33" t="s">
        <v>55</v>
      </c>
      <c r="C443" s="33" t="s">
        <v>739</v>
      </c>
      <c r="D443" s="42">
        <v>0</v>
      </c>
      <c r="E443" s="33" t="s">
        <v>224</v>
      </c>
      <c r="F443" s="34">
        <v>988</v>
      </c>
      <c r="G443" s="34">
        <v>988</v>
      </c>
      <c r="H443" s="33" t="s">
        <v>68</v>
      </c>
      <c r="I443" s="33" t="s">
        <v>68</v>
      </c>
    </row>
    <row r="444" spans="1:9" x14ac:dyDescent="0.2">
      <c r="A444" s="33" t="s">
        <v>311</v>
      </c>
      <c r="B444" s="33" t="s">
        <v>55</v>
      </c>
      <c r="C444" s="33" t="s">
        <v>740</v>
      </c>
      <c r="D444" s="42">
        <v>0</v>
      </c>
      <c r="E444" s="33" t="s">
        <v>224</v>
      </c>
      <c r="F444" s="34">
        <v>900</v>
      </c>
      <c r="G444" s="34">
        <v>900</v>
      </c>
      <c r="H444" s="33" t="s">
        <v>68</v>
      </c>
      <c r="I444" s="33" t="s">
        <v>68</v>
      </c>
    </row>
    <row r="445" spans="1:9" x14ac:dyDescent="0.2">
      <c r="A445" s="33" t="s">
        <v>311</v>
      </c>
      <c r="B445" s="33" t="s">
        <v>55</v>
      </c>
      <c r="C445" s="33" t="s">
        <v>741</v>
      </c>
      <c r="D445" s="42">
        <v>2.2737367544323206E-13</v>
      </c>
      <c r="E445" s="33" t="s">
        <v>224</v>
      </c>
      <c r="F445" s="34">
        <v>930</v>
      </c>
      <c r="G445" s="34">
        <v>929.99999999999977</v>
      </c>
      <c r="H445" s="33" t="s">
        <v>68</v>
      </c>
      <c r="I445" s="33" t="s">
        <v>68</v>
      </c>
    </row>
    <row r="446" spans="1:9" x14ac:dyDescent="0.2">
      <c r="A446" s="33" t="s">
        <v>311</v>
      </c>
      <c r="B446" s="33" t="s">
        <v>55</v>
      </c>
      <c r="C446" s="33" t="s">
        <v>742</v>
      </c>
      <c r="D446" s="42">
        <v>1.1368683772161603E-13</v>
      </c>
      <c r="E446" s="33" t="s">
        <v>224</v>
      </c>
      <c r="F446" s="34">
        <v>960</v>
      </c>
      <c r="G446" s="34">
        <v>959.99999999999989</v>
      </c>
      <c r="H446" s="33" t="s">
        <v>68</v>
      </c>
      <c r="I446" s="33" t="s">
        <v>68</v>
      </c>
    </row>
    <row r="447" spans="1:9" x14ac:dyDescent="0.2">
      <c r="A447" s="33" t="s">
        <v>311</v>
      </c>
      <c r="B447" s="33" t="s">
        <v>55</v>
      </c>
      <c r="C447" s="33" t="s">
        <v>743</v>
      </c>
      <c r="D447" s="42">
        <v>0</v>
      </c>
      <c r="E447" s="33" t="s">
        <v>224</v>
      </c>
      <c r="F447" s="34">
        <v>60</v>
      </c>
      <c r="G447" s="34">
        <v>60</v>
      </c>
      <c r="H447" s="33" t="s">
        <v>68</v>
      </c>
      <c r="I447" s="33" t="s">
        <v>68</v>
      </c>
    </row>
    <row r="448" spans="1:9" x14ac:dyDescent="0.2">
      <c r="A448" s="33" t="s">
        <v>311</v>
      </c>
      <c r="B448" s="33" t="s">
        <v>55</v>
      </c>
      <c r="C448" s="33" t="s">
        <v>744</v>
      </c>
      <c r="D448" s="42">
        <v>20.599999999999909</v>
      </c>
      <c r="E448" s="33" t="s">
        <v>224</v>
      </c>
      <c r="F448" s="34">
        <v>630</v>
      </c>
      <c r="G448" s="34">
        <v>609.40000000000009</v>
      </c>
      <c r="H448" s="33" t="s">
        <v>68</v>
      </c>
      <c r="I448" s="33" t="s">
        <v>68</v>
      </c>
    </row>
    <row r="449" spans="1:9" x14ac:dyDescent="0.2">
      <c r="A449" s="33" t="s">
        <v>312</v>
      </c>
      <c r="B449" s="33" t="s">
        <v>56</v>
      </c>
      <c r="C449" s="33" t="s">
        <v>68</v>
      </c>
      <c r="D449" s="42">
        <v>0</v>
      </c>
      <c r="E449" s="33" t="s">
        <v>224</v>
      </c>
      <c r="F449" s="34">
        <v>-13.03</v>
      </c>
      <c r="G449" s="34">
        <v>-13.03</v>
      </c>
      <c r="H449" s="33" t="s">
        <v>68</v>
      </c>
      <c r="I449" s="33" t="s">
        <v>68</v>
      </c>
    </row>
    <row r="450" spans="1:9" x14ac:dyDescent="0.2">
      <c r="A450" s="33" t="s">
        <v>312</v>
      </c>
      <c r="B450" s="33" t="s">
        <v>56</v>
      </c>
      <c r="C450" s="33" t="s">
        <v>745</v>
      </c>
      <c r="D450" s="42">
        <v>0</v>
      </c>
      <c r="E450" s="33" t="s">
        <v>224</v>
      </c>
      <c r="F450" s="34">
        <v>38.520000000000003</v>
      </c>
      <c r="G450" s="34">
        <v>38.520000000000003</v>
      </c>
      <c r="H450" s="33" t="s">
        <v>68</v>
      </c>
      <c r="I450" s="33" t="s">
        <v>68</v>
      </c>
    </row>
    <row r="451" spans="1:9" x14ac:dyDescent="0.2">
      <c r="A451" s="33" t="s">
        <v>312</v>
      </c>
      <c r="B451" s="33" t="s">
        <v>56</v>
      </c>
      <c r="C451" s="33" t="s">
        <v>746</v>
      </c>
      <c r="D451" s="42">
        <v>0</v>
      </c>
      <c r="E451" s="33" t="s">
        <v>224</v>
      </c>
      <c r="F451" s="34">
        <v>2970</v>
      </c>
      <c r="G451" s="34">
        <v>2970</v>
      </c>
      <c r="H451" s="33" t="s">
        <v>68</v>
      </c>
      <c r="I451" s="33" t="s">
        <v>68</v>
      </c>
    </row>
    <row r="452" spans="1:9" x14ac:dyDescent="0.2">
      <c r="A452" s="33" t="s">
        <v>312</v>
      </c>
      <c r="B452" s="33" t="s">
        <v>56</v>
      </c>
      <c r="C452" s="33" t="s">
        <v>747</v>
      </c>
      <c r="D452" s="42">
        <v>0</v>
      </c>
      <c r="E452" s="33" t="s">
        <v>224</v>
      </c>
      <c r="F452" s="34">
        <v>1500</v>
      </c>
      <c r="G452" s="34">
        <v>1500</v>
      </c>
      <c r="H452" s="33" t="s">
        <v>68</v>
      </c>
      <c r="I452" s="33" t="s">
        <v>68</v>
      </c>
    </row>
    <row r="453" spans="1:9" x14ac:dyDescent="0.2">
      <c r="A453" s="33" t="s">
        <v>312</v>
      </c>
      <c r="B453" s="33" t="s">
        <v>56</v>
      </c>
      <c r="C453" s="33" t="s">
        <v>748</v>
      </c>
      <c r="D453" s="42">
        <v>0</v>
      </c>
      <c r="E453" s="33" t="s">
        <v>224</v>
      </c>
      <c r="F453" s="34">
        <v>810</v>
      </c>
      <c r="G453" s="34">
        <v>810</v>
      </c>
      <c r="H453" s="33" t="s">
        <v>68</v>
      </c>
      <c r="I453" s="33" t="s">
        <v>68</v>
      </c>
    </row>
    <row r="454" spans="1:9" x14ac:dyDescent="0.2">
      <c r="A454" s="33" t="s">
        <v>312</v>
      </c>
      <c r="B454" s="33" t="s">
        <v>56</v>
      </c>
      <c r="C454" s="33" t="s">
        <v>749</v>
      </c>
      <c r="D454" s="42">
        <v>0</v>
      </c>
      <c r="E454" s="33" t="s">
        <v>224</v>
      </c>
      <c r="F454" s="34">
        <v>600</v>
      </c>
      <c r="G454" s="34">
        <v>600</v>
      </c>
      <c r="H454" s="33" t="s">
        <v>68</v>
      </c>
      <c r="I454" s="33" t="s">
        <v>68</v>
      </c>
    </row>
    <row r="455" spans="1:9" x14ac:dyDescent="0.2">
      <c r="A455" s="33" t="s">
        <v>312</v>
      </c>
      <c r="B455" s="33" t="s">
        <v>56</v>
      </c>
      <c r="C455" s="33" t="s">
        <v>750</v>
      </c>
      <c r="D455" s="42">
        <v>0</v>
      </c>
      <c r="E455" s="33" t="s">
        <v>224</v>
      </c>
      <c r="F455" s="34">
        <v>600</v>
      </c>
      <c r="G455" s="34">
        <v>600</v>
      </c>
      <c r="H455" s="33" t="s">
        <v>68</v>
      </c>
      <c r="I455" s="33" t="s">
        <v>68</v>
      </c>
    </row>
    <row r="456" spans="1:9" x14ac:dyDescent="0.2">
      <c r="A456" s="33" t="s">
        <v>312</v>
      </c>
      <c r="B456" s="33" t="s">
        <v>56</v>
      </c>
      <c r="C456" s="33" t="s">
        <v>751</v>
      </c>
      <c r="D456" s="42">
        <v>-1.1368683772161603E-13</v>
      </c>
      <c r="E456" s="33" t="s">
        <v>224</v>
      </c>
      <c r="F456" s="34">
        <v>750</v>
      </c>
      <c r="G456" s="34">
        <v>750.00000000000011</v>
      </c>
      <c r="H456" s="33" t="s">
        <v>68</v>
      </c>
      <c r="I456" s="33" t="s">
        <v>68</v>
      </c>
    </row>
    <row r="457" spans="1:9" x14ac:dyDescent="0.2">
      <c r="A457" s="33" t="s">
        <v>312</v>
      </c>
      <c r="B457" s="33" t="s">
        <v>56</v>
      </c>
      <c r="C457" s="33" t="s">
        <v>752</v>
      </c>
      <c r="D457" s="42">
        <v>0</v>
      </c>
      <c r="E457" s="33" t="s">
        <v>224</v>
      </c>
      <c r="F457" s="34">
        <v>1380</v>
      </c>
      <c r="G457" s="34">
        <v>1380</v>
      </c>
      <c r="H457" s="33" t="s">
        <v>68</v>
      </c>
      <c r="I457" s="33" t="s">
        <v>68</v>
      </c>
    </row>
    <row r="458" spans="1:9" x14ac:dyDescent="0.2">
      <c r="A458" s="33" t="s">
        <v>312</v>
      </c>
      <c r="B458" s="33" t="s">
        <v>56</v>
      </c>
      <c r="C458" s="33" t="s">
        <v>753</v>
      </c>
      <c r="D458" s="42">
        <v>4.5474735088646412E-13</v>
      </c>
      <c r="E458" s="33" t="s">
        <v>224</v>
      </c>
      <c r="F458" s="34">
        <v>1380</v>
      </c>
      <c r="G458" s="34">
        <v>1379.9999999999995</v>
      </c>
      <c r="H458" s="33" t="s">
        <v>68</v>
      </c>
      <c r="I458" s="33" t="s">
        <v>68</v>
      </c>
    </row>
    <row r="459" spans="1:9" x14ac:dyDescent="0.2">
      <c r="A459" s="33" t="s">
        <v>312</v>
      </c>
      <c r="B459" s="33" t="s">
        <v>56</v>
      </c>
      <c r="C459" s="33" t="s">
        <v>754</v>
      </c>
      <c r="D459" s="42">
        <v>21.600000000000023</v>
      </c>
      <c r="E459" s="33" t="s">
        <v>224</v>
      </c>
      <c r="F459" s="34">
        <v>960</v>
      </c>
      <c r="G459" s="34">
        <v>938.4</v>
      </c>
      <c r="H459" s="33" t="s">
        <v>68</v>
      </c>
      <c r="I459" s="33" t="s">
        <v>68</v>
      </c>
    </row>
    <row r="460" spans="1:9" x14ac:dyDescent="0.2">
      <c r="A460" s="33" t="s">
        <v>277</v>
      </c>
      <c r="B460" s="33" t="s">
        <v>57</v>
      </c>
      <c r="C460" s="33" t="s">
        <v>755</v>
      </c>
      <c r="D460" s="42">
        <v>0</v>
      </c>
      <c r="E460" s="33" t="s">
        <v>224</v>
      </c>
      <c r="F460" s="34">
        <v>1500</v>
      </c>
      <c r="G460" s="34">
        <v>1500</v>
      </c>
      <c r="H460" s="33" t="s">
        <v>68</v>
      </c>
      <c r="I460" s="33" t="s">
        <v>756</v>
      </c>
    </row>
    <row r="461" spans="1:9" x14ac:dyDescent="0.2">
      <c r="A461" s="33" t="s">
        <v>277</v>
      </c>
      <c r="B461" s="33" t="s">
        <v>57</v>
      </c>
      <c r="C461" s="33" t="s">
        <v>757</v>
      </c>
      <c r="D461" s="42">
        <v>0</v>
      </c>
      <c r="E461" s="33" t="s">
        <v>224</v>
      </c>
      <c r="F461" s="34">
        <v>1950</v>
      </c>
      <c r="G461" s="34">
        <v>1950</v>
      </c>
      <c r="H461" s="33" t="s">
        <v>68</v>
      </c>
      <c r="I461" s="33" t="s">
        <v>756</v>
      </c>
    </row>
    <row r="462" spans="1:9" x14ac:dyDescent="0.2">
      <c r="A462" s="33" t="s">
        <v>277</v>
      </c>
      <c r="B462" s="33" t="s">
        <v>57</v>
      </c>
      <c r="C462" s="33" t="s">
        <v>758</v>
      </c>
      <c r="D462" s="42">
        <v>0</v>
      </c>
      <c r="E462" s="33" t="s">
        <v>224</v>
      </c>
      <c r="F462" s="34">
        <v>1455</v>
      </c>
      <c r="G462" s="34">
        <v>1455</v>
      </c>
      <c r="H462" s="33" t="s">
        <v>68</v>
      </c>
      <c r="I462" s="33" t="s">
        <v>756</v>
      </c>
    </row>
    <row r="463" spans="1:9" x14ac:dyDescent="0.2">
      <c r="A463" s="33" t="s">
        <v>277</v>
      </c>
      <c r="B463" s="33" t="s">
        <v>57</v>
      </c>
      <c r="C463" s="33" t="s">
        <v>759</v>
      </c>
      <c r="D463" s="42">
        <v>0</v>
      </c>
      <c r="E463" s="33" t="s">
        <v>224</v>
      </c>
      <c r="F463" s="34">
        <v>105</v>
      </c>
      <c r="G463" s="34">
        <v>105</v>
      </c>
      <c r="H463" s="33" t="s">
        <v>68</v>
      </c>
      <c r="I463" s="33" t="s">
        <v>68</v>
      </c>
    </row>
    <row r="464" spans="1:9" x14ac:dyDescent="0.2">
      <c r="A464" s="33" t="s">
        <v>277</v>
      </c>
      <c r="B464" s="33" t="s">
        <v>57</v>
      </c>
      <c r="C464" s="33" t="s">
        <v>760</v>
      </c>
      <c r="D464" s="42">
        <v>0</v>
      </c>
      <c r="E464" s="33" t="s">
        <v>224</v>
      </c>
      <c r="F464" s="34">
        <v>105</v>
      </c>
      <c r="G464" s="34">
        <v>105</v>
      </c>
      <c r="H464" s="33" t="s">
        <v>68</v>
      </c>
      <c r="I464" s="33" t="s">
        <v>68</v>
      </c>
    </row>
    <row r="465" spans="1:9" x14ac:dyDescent="0.2">
      <c r="A465" s="33" t="s">
        <v>277</v>
      </c>
      <c r="B465" s="33" t="s">
        <v>57</v>
      </c>
      <c r="C465" s="33" t="s">
        <v>761</v>
      </c>
      <c r="D465" s="42">
        <v>-2.2737367544323206E-13</v>
      </c>
      <c r="E465" s="33" t="s">
        <v>224</v>
      </c>
      <c r="F465" s="34">
        <v>1425</v>
      </c>
      <c r="G465" s="34">
        <v>1425.0000000000002</v>
      </c>
      <c r="H465" s="33" t="s">
        <v>68</v>
      </c>
      <c r="I465" s="33" t="s">
        <v>756</v>
      </c>
    </row>
    <row r="466" spans="1:9" x14ac:dyDescent="0.2">
      <c r="A466" s="33" t="s">
        <v>277</v>
      </c>
      <c r="B466" s="33" t="s">
        <v>57</v>
      </c>
      <c r="C466" s="33" t="s">
        <v>762</v>
      </c>
      <c r="D466" s="42">
        <v>0</v>
      </c>
      <c r="E466" s="33" t="s">
        <v>224</v>
      </c>
      <c r="F466" s="34">
        <v>105</v>
      </c>
      <c r="G466" s="34">
        <v>105</v>
      </c>
      <c r="H466" s="33" t="s">
        <v>763</v>
      </c>
      <c r="I466" s="33" t="s">
        <v>68</v>
      </c>
    </row>
    <row r="467" spans="1:9" x14ac:dyDescent="0.2">
      <c r="A467" s="33" t="s">
        <v>277</v>
      </c>
      <c r="B467" s="33" t="s">
        <v>57</v>
      </c>
      <c r="C467" s="33" t="s">
        <v>764</v>
      </c>
      <c r="D467" s="42">
        <v>0</v>
      </c>
      <c r="E467" s="33" t="s">
        <v>224</v>
      </c>
      <c r="F467" s="34">
        <v>1410</v>
      </c>
      <c r="G467" s="34">
        <v>1410</v>
      </c>
      <c r="H467" s="33" t="s">
        <v>765</v>
      </c>
      <c r="I467" s="33" t="s">
        <v>756</v>
      </c>
    </row>
    <row r="468" spans="1:9" x14ac:dyDescent="0.2">
      <c r="A468" s="33" t="s">
        <v>277</v>
      </c>
      <c r="B468" s="33" t="s">
        <v>57</v>
      </c>
      <c r="C468" s="33" t="s">
        <v>766</v>
      </c>
      <c r="D468" s="42">
        <v>0</v>
      </c>
      <c r="E468" s="33" t="s">
        <v>224</v>
      </c>
      <c r="F468" s="34">
        <v>1410</v>
      </c>
      <c r="G468" s="34">
        <v>1410</v>
      </c>
      <c r="H468" s="33" t="s">
        <v>767</v>
      </c>
      <c r="I468" s="33" t="s">
        <v>756</v>
      </c>
    </row>
    <row r="469" spans="1:9" x14ac:dyDescent="0.2">
      <c r="A469" s="33" t="s">
        <v>277</v>
      </c>
      <c r="B469" s="33" t="s">
        <v>57</v>
      </c>
      <c r="C469" s="33" t="s">
        <v>768</v>
      </c>
      <c r="D469" s="42">
        <v>0</v>
      </c>
      <c r="E469" s="33" t="s">
        <v>224</v>
      </c>
      <c r="F469" s="34">
        <v>105</v>
      </c>
      <c r="G469" s="34">
        <v>105</v>
      </c>
      <c r="H469" s="33" t="s">
        <v>769</v>
      </c>
      <c r="I469" s="33" t="s">
        <v>68</v>
      </c>
    </row>
    <row r="470" spans="1:9" x14ac:dyDescent="0.2">
      <c r="A470" s="33" t="s">
        <v>277</v>
      </c>
      <c r="B470" s="33" t="s">
        <v>57</v>
      </c>
      <c r="C470" s="33" t="s">
        <v>770</v>
      </c>
      <c r="D470" s="42">
        <v>0</v>
      </c>
      <c r="E470" s="33" t="s">
        <v>224</v>
      </c>
      <c r="F470" s="34">
        <v>105</v>
      </c>
      <c r="G470" s="34">
        <v>105</v>
      </c>
      <c r="H470" s="33" t="s">
        <v>771</v>
      </c>
      <c r="I470" s="33" t="s">
        <v>68</v>
      </c>
    </row>
    <row r="471" spans="1:9" x14ac:dyDescent="0.2">
      <c r="A471" s="33" t="s">
        <v>277</v>
      </c>
      <c r="B471" s="33" t="s">
        <v>57</v>
      </c>
      <c r="C471" s="33" t="s">
        <v>772</v>
      </c>
      <c r="D471" s="42">
        <v>0</v>
      </c>
      <c r="E471" s="33" t="s">
        <v>224</v>
      </c>
      <c r="F471" s="34">
        <v>1200</v>
      </c>
      <c r="G471" s="34">
        <v>1200</v>
      </c>
      <c r="H471" s="33" t="s">
        <v>773</v>
      </c>
      <c r="I471" s="33" t="s">
        <v>756</v>
      </c>
    </row>
    <row r="472" spans="1:9" x14ac:dyDescent="0.2">
      <c r="A472" s="33" t="s">
        <v>277</v>
      </c>
      <c r="B472" s="33" t="s">
        <v>57</v>
      </c>
      <c r="C472" s="33" t="s">
        <v>774</v>
      </c>
      <c r="D472" s="42">
        <v>0</v>
      </c>
      <c r="E472" s="33" t="s">
        <v>224</v>
      </c>
      <c r="F472" s="34">
        <v>255</v>
      </c>
      <c r="G472" s="34">
        <v>255</v>
      </c>
      <c r="H472" s="33" t="s">
        <v>775</v>
      </c>
      <c r="I472" s="33" t="s">
        <v>756</v>
      </c>
    </row>
    <row r="473" spans="1:9" x14ac:dyDescent="0.2">
      <c r="A473" s="33" t="s">
        <v>277</v>
      </c>
      <c r="B473" s="33" t="s">
        <v>57</v>
      </c>
      <c r="C473" s="33" t="s">
        <v>776</v>
      </c>
      <c r="D473" s="42">
        <v>0</v>
      </c>
      <c r="E473" s="33" t="s">
        <v>224</v>
      </c>
      <c r="F473" s="34">
        <v>15</v>
      </c>
      <c r="G473" s="34">
        <v>15</v>
      </c>
      <c r="H473" s="33" t="s">
        <v>777</v>
      </c>
      <c r="I473" s="33" t="s">
        <v>68</v>
      </c>
    </row>
    <row r="474" spans="1:9" x14ac:dyDescent="0.2">
      <c r="A474" s="33" t="s">
        <v>277</v>
      </c>
      <c r="B474" s="33" t="s">
        <v>57</v>
      </c>
      <c r="C474" s="33" t="s">
        <v>778</v>
      </c>
      <c r="D474" s="42">
        <v>0</v>
      </c>
      <c r="E474" s="33" t="s">
        <v>224</v>
      </c>
      <c r="F474" s="34">
        <v>15</v>
      </c>
      <c r="G474" s="34">
        <v>15</v>
      </c>
      <c r="H474" s="33" t="s">
        <v>68</v>
      </c>
      <c r="I474" s="33" t="s">
        <v>756</v>
      </c>
    </row>
    <row r="475" spans="1:9" x14ac:dyDescent="0.2">
      <c r="A475" s="33" t="s">
        <v>277</v>
      </c>
      <c r="B475" s="33" t="s">
        <v>57</v>
      </c>
      <c r="C475" s="33" t="s">
        <v>779</v>
      </c>
      <c r="D475" s="42">
        <v>-1.7763568394002505E-15</v>
      </c>
      <c r="E475" s="33" t="s">
        <v>224</v>
      </c>
      <c r="F475" s="34">
        <v>15</v>
      </c>
      <c r="G475" s="34">
        <v>15.000000000000002</v>
      </c>
      <c r="H475" s="33" t="s">
        <v>68</v>
      </c>
      <c r="I475" s="33" t="s">
        <v>756</v>
      </c>
    </row>
    <row r="476" spans="1:9" x14ac:dyDescent="0.2">
      <c r="A476" s="33" t="s">
        <v>278</v>
      </c>
      <c r="B476" s="33" t="s">
        <v>58</v>
      </c>
      <c r="C476" s="33" t="s">
        <v>780</v>
      </c>
      <c r="D476" s="42">
        <v>0</v>
      </c>
      <c r="E476" s="33" t="s">
        <v>224</v>
      </c>
      <c r="F476" s="34">
        <v>105</v>
      </c>
      <c r="G476" s="34">
        <v>105</v>
      </c>
      <c r="H476" s="33" t="s">
        <v>68</v>
      </c>
      <c r="I476" s="33" t="s">
        <v>68</v>
      </c>
    </row>
    <row r="477" spans="1:9" x14ac:dyDescent="0.2">
      <c r="A477" s="33" t="s">
        <v>278</v>
      </c>
      <c r="B477" s="33" t="s">
        <v>58</v>
      </c>
      <c r="C477" s="33" t="s">
        <v>781</v>
      </c>
      <c r="D477" s="42">
        <v>0</v>
      </c>
      <c r="E477" s="33" t="s">
        <v>224</v>
      </c>
      <c r="F477" s="34">
        <v>3750</v>
      </c>
      <c r="G477" s="34">
        <v>3750</v>
      </c>
      <c r="H477" s="33" t="s">
        <v>68</v>
      </c>
      <c r="I477" s="33" t="s">
        <v>756</v>
      </c>
    </row>
    <row r="478" spans="1:9" x14ac:dyDescent="0.2">
      <c r="A478" s="33" t="s">
        <v>278</v>
      </c>
      <c r="B478" s="33" t="s">
        <v>58</v>
      </c>
      <c r="C478" s="33" t="s">
        <v>782</v>
      </c>
      <c r="D478" s="42">
        <v>0</v>
      </c>
      <c r="E478" s="33" t="s">
        <v>224</v>
      </c>
      <c r="F478" s="34">
        <v>1155</v>
      </c>
      <c r="G478" s="34">
        <v>1155</v>
      </c>
      <c r="H478" s="33" t="s">
        <v>68</v>
      </c>
      <c r="I478" s="33" t="s">
        <v>756</v>
      </c>
    </row>
    <row r="479" spans="1:9" x14ac:dyDescent="0.2">
      <c r="A479" s="33" t="s">
        <v>278</v>
      </c>
      <c r="B479" s="33" t="s">
        <v>58</v>
      </c>
      <c r="C479" s="33" t="s">
        <v>783</v>
      </c>
      <c r="D479" s="42">
        <v>0</v>
      </c>
      <c r="E479" s="33" t="s">
        <v>224</v>
      </c>
      <c r="F479" s="34">
        <v>1425</v>
      </c>
      <c r="G479" s="34">
        <v>1425</v>
      </c>
      <c r="H479" s="33" t="s">
        <v>68</v>
      </c>
      <c r="I479" s="33" t="s">
        <v>756</v>
      </c>
    </row>
    <row r="480" spans="1:9" x14ac:dyDescent="0.2">
      <c r="A480" s="33" t="s">
        <v>278</v>
      </c>
      <c r="B480" s="33" t="s">
        <v>58</v>
      </c>
      <c r="C480" s="33" t="s">
        <v>784</v>
      </c>
      <c r="D480" s="42">
        <v>0</v>
      </c>
      <c r="E480" s="33" t="s">
        <v>224</v>
      </c>
      <c r="F480" s="34">
        <v>105</v>
      </c>
      <c r="G480" s="34">
        <v>105</v>
      </c>
      <c r="H480" s="33" t="s">
        <v>68</v>
      </c>
      <c r="I480" s="33" t="s">
        <v>68</v>
      </c>
    </row>
    <row r="481" spans="1:9" x14ac:dyDescent="0.2">
      <c r="A481" s="33" t="s">
        <v>278</v>
      </c>
      <c r="B481" s="33" t="s">
        <v>58</v>
      </c>
      <c r="C481" s="33" t="s">
        <v>785</v>
      </c>
      <c r="D481" s="42">
        <v>0</v>
      </c>
      <c r="E481" s="33" t="s">
        <v>224</v>
      </c>
      <c r="F481" s="34">
        <v>1410</v>
      </c>
      <c r="G481" s="34">
        <v>1410</v>
      </c>
      <c r="H481" s="33" t="s">
        <v>786</v>
      </c>
      <c r="I481" s="33" t="s">
        <v>68</v>
      </c>
    </row>
    <row r="482" spans="1:9" x14ac:dyDescent="0.2">
      <c r="A482" s="33" t="s">
        <v>278</v>
      </c>
      <c r="B482" s="33" t="s">
        <v>58</v>
      </c>
      <c r="C482" s="33" t="s">
        <v>787</v>
      </c>
      <c r="D482" s="42">
        <v>0</v>
      </c>
      <c r="E482" s="33" t="s">
        <v>224</v>
      </c>
      <c r="F482" s="34">
        <v>105</v>
      </c>
      <c r="G482" s="34">
        <v>105</v>
      </c>
      <c r="H482" s="33" t="s">
        <v>788</v>
      </c>
      <c r="I482" s="33" t="s">
        <v>68</v>
      </c>
    </row>
    <row r="483" spans="1:9" x14ac:dyDescent="0.2">
      <c r="A483" s="33" t="s">
        <v>278</v>
      </c>
      <c r="B483" s="33" t="s">
        <v>58</v>
      </c>
      <c r="C483" s="33" t="s">
        <v>789</v>
      </c>
      <c r="D483" s="42">
        <v>-2.2737367544323206E-13</v>
      </c>
      <c r="E483" s="33" t="s">
        <v>224</v>
      </c>
      <c r="F483" s="34">
        <v>1395</v>
      </c>
      <c r="G483" s="34">
        <v>1395.0000000000002</v>
      </c>
      <c r="H483" s="33" t="s">
        <v>790</v>
      </c>
      <c r="I483" s="33" t="s">
        <v>756</v>
      </c>
    </row>
    <row r="484" spans="1:9" x14ac:dyDescent="0.2">
      <c r="A484" s="33" t="s">
        <v>278</v>
      </c>
      <c r="B484" s="33" t="s">
        <v>58</v>
      </c>
      <c r="C484" s="33" t="s">
        <v>791</v>
      </c>
      <c r="D484" s="42">
        <v>0</v>
      </c>
      <c r="E484" s="33" t="s">
        <v>224</v>
      </c>
      <c r="F484" s="34">
        <v>105</v>
      </c>
      <c r="G484" s="34">
        <v>105</v>
      </c>
      <c r="H484" s="33" t="s">
        <v>792</v>
      </c>
      <c r="I484" s="33" t="s">
        <v>68</v>
      </c>
    </row>
    <row r="485" spans="1:9" x14ac:dyDescent="0.2">
      <c r="A485" s="33" t="s">
        <v>278</v>
      </c>
      <c r="B485" s="33" t="s">
        <v>58</v>
      </c>
      <c r="C485" s="33" t="s">
        <v>793</v>
      </c>
      <c r="D485" s="42">
        <v>0</v>
      </c>
      <c r="E485" s="33" t="s">
        <v>224</v>
      </c>
      <c r="F485" s="34">
        <v>15</v>
      </c>
      <c r="G485" s="34">
        <v>15</v>
      </c>
      <c r="H485" s="33" t="s">
        <v>794</v>
      </c>
      <c r="I485" s="33" t="s">
        <v>68</v>
      </c>
    </row>
    <row r="486" spans="1:9" x14ac:dyDescent="0.2">
      <c r="A486" s="33" t="s">
        <v>278</v>
      </c>
      <c r="B486" s="33" t="s">
        <v>58</v>
      </c>
      <c r="C486" s="33" t="s">
        <v>795</v>
      </c>
      <c r="D486" s="42">
        <v>0</v>
      </c>
      <c r="E486" s="33" t="s">
        <v>224</v>
      </c>
      <c r="F486" s="34">
        <v>105</v>
      </c>
      <c r="G486" s="34">
        <v>105</v>
      </c>
      <c r="H486" s="33" t="s">
        <v>796</v>
      </c>
      <c r="I486" s="33" t="s">
        <v>68</v>
      </c>
    </row>
    <row r="487" spans="1:9" x14ac:dyDescent="0.2">
      <c r="A487" s="33" t="s">
        <v>278</v>
      </c>
      <c r="B487" s="33" t="s">
        <v>58</v>
      </c>
      <c r="C487" s="33" t="s">
        <v>797</v>
      </c>
      <c r="D487" s="42">
        <v>0</v>
      </c>
      <c r="E487" s="33" t="s">
        <v>224</v>
      </c>
      <c r="F487" s="34">
        <v>15</v>
      </c>
      <c r="G487" s="34">
        <v>15</v>
      </c>
      <c r="H487" s="33" t="s">
        <v>798</v>
      </c>
      <c r="I487" s="33" t="s">
        <v>68</v>
      </c>
    </row>
    <row r="488" spans="1:9" x14ac:dyDescent="0.2">
      <c r="A488" s="33" t="s">
        <v>278</v>
      </c>
      <c r="B488" s="33" t="s">
        <v>58</v>
      </c>
      <c r="C488" s="33" t="s">
        <v>799</v>
      </c>
      <c r="D488" s="42">
        <v>0</v>
      </c>
      <c r="E488" s="33" t="s">
        <v>224</v>
      </c>
      <c r="F488" s="34">
        <v>1455</v>
      </c>
      <c r="G488" s="34">
        <v>1455</v>
      </c>
      <c r="H488" s="33" t="s">
        <v>800</v>
      </c>
      <c r="I488" s="33" t="s">
        <v>756</v>
      </c>
    </row>
    <row r="489" spans="1:9" x14ac:dyDescent="0.2">
      <c r="A489" s="33" t="s">
        <v>278</v>
      </c>
      <c r="B489" s="33" t="s">
        <v>58</v>
      </c>
      <c r="C489" s="33" t="s">
        <v>801</v>
      </c>
      <c r="D489" s="42">
        <v>0</v>
      </c>
      <c r="E489" s="33" t="s">
        <v>224</v>
      </c>
      <c r="F489" s="34">
        <v>15</v>
      </c>
      <c r="G489" s="34">
        <v>15</v>
      </c>
      <c r="H489" s="33" t="s">
        <v>68</v>
      </c>
      <c r="I489" s="33" t="s">
        <v>756</v>
      </c>
    </row>
    <row r="490" spans="1:9" x14ac:dyDescent="0.2">
      <c r="A490" s="33" t="s">
        <v>278</v>
      </c>
      <c r="B490" s="33" t="s">
        <v>58</v>
      </c>
      <c r="C490" s="33" t="s">
        <v>802</v>
      </c>
      <c r="D490" s="42">
        <v>-1.7763568394002505E-15</v>
      </c>
      <c r="E490" s="33" t="s">
        <v>224</v>
      </c>
      <c r="F490" s="34">
        <v>15</v>
      </c>
      <c r="G490" s="34">
        <v>15.000000000000002</v>
      </c>
      <c r="H490" s="33" t="s">
        <v>68</v>
      </c>
      <c r="I490" s="33" t="s">
        <v>756</v>
      </c>
    </row>
    <row r="491" spans="1:9" x14ac:dyDescent="0.2">
      <c r="A491" s="33" t="s">
        <v>278</v>
      </c>
      <c r="B491" s="33" t="s">
        <v>58</v>
      </c>
      <c r="C491" s="33" t="s">
        <v>803</v>
      </c>
      <c r="D491" s="42">
        <v>0</v>
      </c>
      <c r="E491" s="33" t="s">
        <v>224</v>
      </c>
      <c r="F491" s="34">
        <v>15</v>
      </c>
      <c r="G491" s="34">
        <v>15</v>
      </c>
      <c r="H491" s="33" t="s">
        <v>68</v>
      </c>
      <c r="I491" s="33" t="s">
        <v>756</v>
      </c>
    </row>
    <row r="492" spans="1:9" x14ac:dyDescent="0.2">
      <c r="A492" s="33" t="s">
        <v>313</v>
      </c>
      <c r="B492" s="33" t="s">
        <v>59</v>
      </c>
      <c r="C492" s="33" t="s">
        <v>804</v>
      </c>
      <c r="D492" s="42">
        <v>0</v>
      </c>
      <c r="E492" s="33" t="s">
        <v>224</v>
      </c>
      <c r="F492" s="34">
        <v>20</v>
      </c>
      <c r="G492" s="34">
        <v>20</v>
      </c>
      <c r="H492" s="33" t="s">
        <v>68</v>
      </c>
      <c r="I492" s="33" t="s">
        <v>68</v>
      </c>
    </row>
    <row r="493" spans="1:9" x14ac:dyDescent="0.2">
      <c r="A493" s="33" t="s">
        <v>313</v>
      </c>
      <c r="B493" s="33" t="s">
        <v>59</v>
      </c>
      <c r="C493" s="33" t="s">
        <v>805</v>
      </c>
      <c r="D493" s="42">
        <v>0</v>
      </c>
      <c r="E493" s="33" t="s">
        <v>224</v>
      </c>
      <c r="F493" s="34">
        <v>2.2999999999999998</v>
      </c>
      <c r="G493" s="34">
        <v>2.2999999999999998</v>
      </c>
      <c r="H493" s="33" t="s">
        <v>68</v>
      </c>
      <c r="I493" s="33" t="s">
        <v>68</v>
      </c>
    </row>
    <row r="494" spans="1:9" x14ac:dyDescent="0.2">
      <c r="A494" s="33" t="s">
        <v>313</v>
      </c>
      <c r="B494" s="33" t="s">
        <v>59</v>
      </c>
      <c r="C494" s="33" t="s">
        <v>806</v>
      </c>
      <c r="D494" s="42">
        <v>0</v>
      </c>
      <c r="E494" s="33" t="s">
        <v>224</v>
      </c>
      <c r="F494" s="34">
        <v>20</v>
      </c>
      <c r="G494" s="34">
        <v>20</v>
      </c>
      <c r="H494" s="33" t="s">
        <v>807</v>
      </c>
      <c r="I494" s="33" t="s">
        <v>68</v>
      </c>
    </row>
    <row r="495" spans="1:9" x14ac:dyDescent="0.2">
      <c r="A495" s="33" t="s">
        <v>313</v>
      </c>
      <c r="B495" s="33" t="s">
        <v>59</v>
      </c>
      <c r="C495" s="33" t="s">
        <v>808</v>
      </c>
      <c r="D495" s="42">
        <v>-1.9999999999988916E-3</v>
      </c>
      <c r="E495" s="33" t="s">
        <v>224</v>
      </c>
      <c r="F495" s="34">
        <v>20</v>
      </c>
      <c r="G495" s="34">
        <v>20.001999999999999</v>
      </c>
      <c r="H495" s="33" t="s">
        <v>809</v>
      </c>
      <c r="I495" s="33" t="s">
        <v>68</v>
      </c>
    </row>
    <row r="496" spans="1:9" x14ac:dyDescent="0.2">
      <c r="A496" s="33" t="s">
        <v>313</v>
      </c>
      <c r="B496" s="33" t="s">
        <v>59</v>
      </c>
      <c r="C496" s="33" t="s">
        <v>810</v>
      </c>
      <c r="D496" s="42">
        <v>-1.9999999999988916E-3</v>
      </c>
      <c r="E496" s="33" t="s">
        <v>224</v>
      </c>
      <c r="F496" s="34">
        <v>20</v>
      </c>
      <c r="G496" s="34">
        <v>20.001999999999999</v>
      </c>
      <c r="H496" s="33" t="s">
        <v>811</v>
      </c>
      <c r="I496" s="33" t="s">
        <v>68</v>
      </c>
    </row>
    <row r="497" spans="1:9" x14ac:dyDescent="0.2">
      <c r="A497" s="33" t="s">
        <v>313</v>
      </c>
      <c r="B497" s="33" t="s">
        <v>59</v>
      </c>
      <c r="C497" s="33" t="s">
        <v>812</v>
      </c>
      <c r="D497" s="42">
        <v>0</v>
      </c>
      <c r="E497" s="33" t="s">
        <v>224</v>
      </c>
      <c r="F497" s="34">
        <v>1</v>
      </c>
      <c r="G497" s="34">
        <v>1</v>
      </c>
      <c r="H497" s="33" t="s">
        <v>813</v>
      </c>
      <c r="I497" s="33" t="s">
        <v>68</v>
      </c>
    </row>
    <row r="498" spans="1:9" x14ac:dyDescent="0.2">
      <c r="A498" s="33" t="s">
        <v>313</v>
      </c>
      <c r="B498" s="33" t="s">
        <v>59</v>
      </c>
      <c r="C498" s="33" t="s">
        <v>814</v>
      </c>
      <c r="D498" s="42">
        <v>-1.9999999999988916E-3</v>
      </c>
      <c r="E498" s="33" t="s">
        <v>224</v>
      </c>
      <c r="F498" s="34">
        <v>20</v>
      </c>
      <c r="G498" s="34">
        <v>20.001999999999999</v>
      </c>
      <c r="H498" s="33" t="s">
        <v>815</v>
      </c>
      <c r="I498" s="33" t="s">
        <v>715</v>
      </c>
    </row>
    <row r="499" spans="1:9" x14ac:dyDescent="0.2">
      <c r="A499" s="33" t="s">
        <v>314</v>
      </c>
      <c r="B499" s="33" t="s">
        <v>60</v>
      </c>
      <c r="C499" s="33" t="s">
        <v>816</v>
      </c>
      <c r="D499" s="42">
        <v>0</v>
      </c>
      <c r="E499" s="33" t="s">
        <v>224</v>
      </c>
      <c r="F499" s="34">
        <v>14.9</v>
      </c>
      <c r="G499" s="34">
        <v>14.9</v>
      </c>
      <c r="H499" s="33" t="s">
        <v>68</v>
      </c>
      <c r="I499" s="33" t="s">
        <v>68</v>
      </c>
    </row>
    <row r="500" spans="1:9" x14ac:dyDescent="0.2">
      <c r="A500" s="33" t="s">
        <v>314</v>
      </c>
      <c r="B500" s="33" t="s">
        <v>60</v>
      </c>
      <c r="C500" s="33" t="s">
        <v>817</v>
      </c>
      <c r="D500" s="42">
        <v>2.8421709430404007E-14</v>
      </c>
      <c r="E500" s="33" t="s">
        <v>224</v>
      </c>
      <c r="F500" s="34">
        <v>160</v>
      </c>
      <c r="G500" s="34">
        <v>159.99999999999997</v>
      </c>
      <c r="H500" s="33" t="s">
        <v>68</v>
      </c>
      <c r="I500" s="33" t="s">
        <v>68</v>
      </c>
    </row>
    <row r="501" spans="1:9" x14ac:dyDescent="0.2">
      <c r="A501" s="33" t="s">
        <v>314</v>
      </c>
      <c r="B501" s="33" t="s">
        <v>60</v>
      </c>
      <c r="C501" s="33" t="s">
        <v>818</v>
      </c>
      <c r="D501" s="42">
        <v>0</v>
      </c>
      <c r="E501" s="33" t="s">
        <v>224</v>
      </c>
      <c r="F501" s="34">
        <v>140</v>
      </c>
      <c r="G501" s="34">
        <v>140</v>
      </c>
      <c r="H501" s="33" t="s">
        <v>819</v>
      </c>
      <c r="I501" s="33" t="s">
        <v>68</v>
      </c>
    </row>
    <row r="502" spans="1:9" x14ac:dyDescent="0.2">
      <c r="A502" s="33" t="s">
        <v>314</v>
      </c>
      <c r="B502" s="33" t="s">
        <v>60</v>
      </c>
      <c r="C502" s="33" t="s">
        <v>820</v>
      </c>
      <c r="D502" s="42">
        <v>4.0000000000475211E-3</v>
      </c>
      <c r="E502" s="33" t="s">
        <v>224</v>
      </c>
      <c r="F502" s="34">
        <v>150</v>
      </c>
      <c r="G502" s="34">
        <v>149.99599999999995</v>
      </c>
      <c r="H502" s="33" t="s">
        <v>809</v>
      </c>
      <c r="I502" s="33" t="s">
        <v>68</v>
      </c>
    </row>
    <row r="503" spans="1:9" x14ac:dyDescent="0.2">
      <c r="A503" s="33" t="s">
        <v>314</v>
      </c>
      <c r="B503" s="33" t="s">
        <v>60</v>
      </c>
      <c r="C503" s="33" t="s">
        <v>821</v>
      </c>
      <c r="D503" s="42">
        <v>0</v>
      </c>
      <c r="E503" s="33" t="s">
        <v>224</v>
      </c>
      <c r="F503" s="34">
        <v>160</v>
      </c>
      <c r="G503" s="34">
        <v>160</v>
      </c>
      <c r="H503" s="33" t="s">
        <v>822</v>
      </c>
      <c r="I503" s="33" t="s">
        <v>68</v>
      </c>
    </row>
    <row r="504" spans="1:9" x14ac:dyDescent="0.2">
      <c r="A504" s="33" t="s">
        <v>314</v>
      </c>
      <c r="B504" s="33" t="s">
        <v>60</v>
      </c>
      <c r="C504" s="33" t="s">
        <v>823</v>
      </c>
      <c r="D504" s="42">
        <v>3.8999999999999915</v>
      </c>
      <c r="E504" s="33" t="s">
        <v>224</v>
      </c>
      <c r="F504" s="34">
        <v>110</v>
      </c>
      <c r="G504" s="34">
        <v>106.10000000000001</v>
      </c>
      <c r="H504" s="33" t="s">
        <v>824</v>
      </c>
      <c r="I504" s="33" t="s">
        <v>68</v>
      </c>
    </row>
    <row r="505" spans="1:9" x14ac:dyDescent="0.2">
      <c r="A505" s="33" t="s">
        <v>315</v>
      </c>
      <c r="B505" s="33" t="s">
        <v>61</v>
      </c>
      <c r="C505" s="33" t="s">
        <v>825</v>
      </c>
      <c r="D505" s="42">
        <v>0</v>
      </c>
      <c r="E505" s="33" t="s">
        <v>224</v>
      </c>
      <c r="F505" s="34">
        <v>5.5</v>
      </c>
      <c r="G505" s="34">
        <v>5.5</v>
      </c>
      <c r="H505" s="33" t="s">
        <v>68</v>
      </c>
      <c r="I505" s="33" t="s">
        <v>68</v>
      </c>
    </row>
    <row r="506" spans="1:9" x14ac:dyDescent="0.2">
      <c r="A506" s="33" t="s">
        <v>315</v>
      </c>
      <c r="B506" s="33" t="s">
        <v>61</v>
      </c>
      <c r="C506" s="33" t="s">
        <v>826</v>
      </c>
      <c r="D506" s="42">
        <v>0</v>
      </c>
      <c r="E506" s="33" t="s">
        <v>224</v>
      </c>
      <c r="F506" s="34">
        <v>564</v>
      </c>
      <c r="G506" s="34">
        <v>564</v>
      </c>
      <c r="H506" s="33" t="s">
        <v>68</v>
      </c>
      <c r="I506" s="33" t="s">
        <v>68</v>
      </c>
    </row>
    <row r="507" spans="1:9" x14ac:dyDescent="0.2">
      <c r="A507" s="33" t="s">
        <v>315</v>
      </c>
      <c r="B507" s="33" t="s">
        <v>61</v>
      </c>
      <c r="C507" s="33" t="s">
        <v>827</v>
      </c>
      <c r="D507" s="42">
        <v>5.6843418860808015E-14</v>
      </c>
      <c r="E507" s="33" t="s">
        <v>224</v>
      </c>
      <c r="F507" s="34">
        <v>444</v>
      </c>
      <c r="G507" s="34">
        <v>443.99999999999994</v>
      </c>
      <c r="H507" s="33" t="s">
        <v>68</v>
      </c>
      <c r="I507" s="33" t="s">
        <v>68</v>
      </c>
    </row>
    <row r="508" spans="1:9" x14ac:dyDescent="0.2">
      <c r="A508" s="33" t="s">
        <v>315</v>
      </c>
      <c r="B508" s="33" t="s">
        <v>61</v>
      </c>
      <c r="C508" s="33" t="s">
        <v>828</v>
      </c>
      <c r="D508" s="42">
        <v>0</v>
      </c>
      <c r="E508" s="33" t="s">
        <v>224</v>
      </c>
      <c r="F508" s="34">
        <v>504</v>
      </c>
      <c r="G508" s="34">
        <v>504</v>
      </c>
      <c r="H508" s="33" t="s">
        <v>68</v>
      </c>
      <c r="I508" s="33" t="s">
        <v>68</v>
      </c>
    </row>
    <row r="509" spans="1:9" x14ac:dyDescent="0.2">
      <c r="A509" s="33" t="s">
        <v>315</v>
      </c>
      <c r="B509" s="33" t="s">
        <v>61</v>
      </c>
      <c r="C509" s="33" t="s">
        <v>829</v>
      </c>
      <c r="D509" s="42">
        <v>0</v>
      </c>
      <c r="E509" s="33" t="s">
        <v>224</v>
      </c>
      <c r="F509" s="34">
        <v>288</v>
      </c>
      <c r="G509" s="34">
        <v>288</v>
      </c>
      <c r="H509" s="33" t="s">
        <v>68</v>
      </c>
      <c r="I509" s="33" t="s">
        <v>68</v>
      </c>
    </row>
    <row r="510" spans="1:9" x14ac:dyDescent="0.2">
      <c r="A510" s="33" t="s">
        <v>315</v>
      </c>
      <c r="B510" s="33" t="s">
        <v>61</v>
      </c>
      <c r="C510" s="33" t="s">
        <v>830</v>
      </c>
      <c r="D510" s="42">
        <v>0</v>
      </c>
      <c r="E510" s="33" t="s">
        <v>224</v>
      </c>
      <c r="F510" s="34">
        <v>228</v>
      </c>
      <c r="G510" s="34">
        <v>228</v>
      </c>
      <c r="H510" s="33" t="s">
        <v>68</v>
      </c>
      <c r="I510" s="33" t="s">
        <v>68</v>
      </c>
    </row>
    <row r="511" spans="1:9" x14ac:dyDescent="0.2">
      <c r="A511" s="33" t="s">
        <v>315</v>
      </c>
      <c r="B511" s="33" t="s">
        <v>61</v>
      </c>
      <c r="C511" s="33" t="s">
        <v>831</v>
      </c>
      <c r="D511" s="42">
        <v>0</v>
      </c>
      <c r="E511" s="33" t="s">
        <v>224</v>
      </c>
      <c r="F511" s="34">
        <v>396</v>
      </c>
      <c r="G511" s="34">
        <v>396</v>
      </c>
      <c r="H511" s="33" t="s">
        <v>68</v>
      </c>
      <c r="I511" s="33" t="s">
        <v>68</v>
      </c>
    </row>
    <row r="512" spans="1:9" x14ac:dyDescent="0.2">
      <c r="A512" s="33" t="s">
        <v>315</v>
      </c>
      <c r="B512" s="33" t="s">
        <v>61</v>
      </c>
      <c r="C512" s="33" t="s">
        <v>832</v>
      </c>
      <c r="D512" s="42">
        <v>0</v>
      </c>
      <c r="E512" s="33" t="s">
        <v>224</v>
      </c>
      <c r="F512" s="34">
        <v>24</v>
      </c>
      <c r="G512" s="34">
        <v>24</v>
      </c>
      <c r="H512" s="33" t="s">
        <v>68</v>
      </c>
      <c r="I512" s="33" t="s">
        <v>68</v>
      </c>
    </row>
    <row r="513" spans="1:9" x14ac:dyDescent="0.2">
      <c r="A513" s="33" t="s">
        <v>315</v>
      </c>
      <c r="B513" s="33" t="s">
        <v>61</v>
      </c>
      <c r="C513" s="33" t="s">
        <v>833</v>
      </c>
      <c r="D513" s="42">
        <v>0</v>
      </c>
      <c r="E513" s="33" t="s">
        <v>224</v>
      </c>
      <c r="F513" s="34">
        <v>96</v>
      </c>
      <c r="G513" s="34">
        <v>96</v>
      </c>
      <c r="H513" s="33" t="s">
        <v>68</v>
      </c>
      <c r="I513" s="33" t="s">
        <v>68</v>
      </c>
    </row>
    <row r="514" spans="1:9" x14ac:dyDescent="0.2">
      <c r="A514" s="33" t="s">
        <v>315</v>
      </c>
      <c r="B514" s="33" t="s">
        <v>61</v>
      </c>
      <c r="C514" s="33" t="s">
        <v>834</v>
      </c>
      <c r="D514" s="42">
        <v>0</v>
      </c>
      <c r="E514" s="33" t="s">
        <v>224</v>
      </c>
      <c r="F514" s="34">
        <v>96</v>
      </c>
      <c r="G514" s="34">
        <v>96</v>
      </c>
      <c r="H514" s="33" t="s">
        <v>68</v>
      </c>
      <c r="I514" s="33" t="s">
        <v>68</v>
      </c>
    </row>
    <row r="515" spans="1:9" x14ac:dyDescent="0.2">
      <c r="A515" s="33" t="s">
        <v>315</v>
      </c>
      <c r="B515" s="33" t="s">
        <v>61</v>
      </c>
      <c r="C515" s="33" t="s">
        <v>835</v>
      </c>
      <c r="D515" s="42">
        <v>0</v>
      </c>
      <c r="E515" s="33" t="s">
        <v>224</v>
      </c>
      <c r="F515" s="34">
        <v>12</v>
      </c>
      <c r="G515" s="34">
        <v>12</v>
      </c>
      <c r="H515" s="33" t="s">
        <v>836</v>
      </c>
      <c r="I515" s="33" t="s">
        <v>68</v>
      </c>
    </row>
    <row r="516" spans="1:9" x14ac:dyDescent="0.2">
      <c r="A516" s="33" t="s">
        <v>315</v>
      </c>
      <c r="B516" s="33" t="s">
        <v>61</v>
      </c>
      <c r="C516" s="33" t="s">
        <v>837</v>
      </c>
      <c r="D516" s="42">
        <v>5.6843418860808015E-14</v>
      </c>
      <c r="E516" s="33" t="s">
        <v>224</v>
      </c>
      <c r="F516" s="34">
        <v>312</v>
      </c>
      <c r="G516" s="34">
        <v>311.99999999999994</v>
      </c>
      <c r="H516" s="33" t="s">
        <v>838</v>
      </c>
      <c r="I516" s="33" t="s">
        <v>68</v>
      </c>
    </row>
    <row r="517" spans="1:9" x14ac:dyDescent="0.2">
      <c r="A517" s="33" t="s">
        <v>315</v>
      </c>
      <c r="B517" s="33" t="s">
        <v>61</v>
      </c>
      <c r="C517" s="33" t="s">
        <v>839</v>
      </c>
      <c r="D517" s="42">
        <v>0</v>
      </c>
      <c r="E517" s="33" t="s">
        <v>224</v>
      </c>
      <c r="F517" s="34">
        <v>216</v>
      </c>
      <c r="G517" s="34">
        <v>216</v>
      </c>
      <c r="H517" s="33" t="s">
        <v>840</v>
      </c>
      <c r="I517" s="33" t="s">
        <v>68</v>
      </c>
    </row>
    <row r="518" spans="1:9" x14ac:dyDescent="0.2">
      <c r="A518" s="33" t="s">
        <v>315</v>
      </c>
      <c r="B518" s="33" t="s">
        <v>61</v>
      </c>
      <c r="C518" s="33" t="s">
        <v>841</v>
      </c>
      <c r="D518" s="42">
        <v>0</v>
      </c>
      <c r="E518" s="33" t="s">
        <v>224</v>
      </c>
      <c r="F518" s="34">
        <v>456</v>
      </c>
      <c r="G518" s="34">
        <v>456</v>
      </c>
      <c r="H518" s="33" t="s">
        <v>842</v>
      </c>
      <c r="I518" s="33" t="s">
        <v>68</v>
      </c>
    </row>
    <row r="519" spans="1:9" x14ac:dyDescent="0.2">
      <c r="A519" s="33" t="s">
        <v>315</v>
      </c>
      <c r="B519" s="33" t="s">
        <v>61</v>
      </c>
      <c r="C519" s="33" t="s">
        <v>843</v>
      </c>
      <c r="D519" s="42">
        <v>0</v>
      </c>
      <c r="E519" s="33" t="s">
        <v>224</v>
      </c>
      <c r="F519" s="34">
        <v>132</v>
      </c>
      <c r="G519" s="34">
        <v>132</v>
      </c>
      <c r="H519" s="33" t="s">
        <v>844</v>
      </c>
      <c r="I519" s="33" t="s">
        <v>68</v>
      </c>
    </row>
    <row r="520" spans="1:9" x14ac:dyDescent="0.2">
      <c r="A520" s="33" t="s">
        <v>315</v>
      </c>
      <c r="B520" s="33" t="s">
        <v>61</v>
      </c>
      <c r="C520" s="33" t="s">
        <v>845</v>
      </c>
      <c r="D520" s="42">
        <v>0</v>
      </c>
      <c r="E520" s="33" t="s">
        <v>224</v>
      </c>
      <c r="F520" s="34">
        <v>120</v>
      </c>
      <c r="G520" s="34">
        <v>120</v>
      </c>
      <c r="H520" s="33" t="s">
        <v>846</v>
      </c>
      <c r="I520" s="33" t="s">
        <v>68</v>
      </c>
    </row>
    <row r="521" spans="1:9" x14ac:dyDescent="0.2">
      <c r="A521" s="33" t="s">
        <v>315</v>
      </c>
      <c r="B521" s="33" t="s">
        <v>61</v>
      </c>
      <c r="C521" s="33" t="s">
        <v>847</v>
      </c>
      <c r="D521" s="42">
        <v>-4.0000000000190994E-3</v>
      </c>
      <c r="E521" s="33" t="s">
        <v>224</v>
      </c>
      <c r="F521" s="34">
        <v>252</v>
      </c>
      <c r="G521" s="34">
        <v>252.00400000000002</v>
      </c>
      <c r="H521" s="33" t="s">
        <v>848</v>
      </c>
      <c r="I521" s="33" t="s">
        <v>68</v>
      </c>
    </row>
    <row r="522" spans="1:9" x14ac:dyDescent="0.2">
      <c r="A522" s="33" t="s">
        <v>315</v>
      </c>
      <c r="B522" s="33" t="s">
        <v>61</v>
      </c>
      <c r="C522" s="33" t="s">
        <v>849</v>
      </c>
      <c r="D522" s="42">
        <v>0</v>
      </c>
      <c r="E522" s="33" t="s">
        <v>224</v>
      </c>
      <c r="F522" s="34">
        <v>24</v>
      </c>
      <c r="G522" s="34">
        <v>24</v>
      </c>
      <c r="H522" s="33" t="s">
        <v>850</v>
      </c>
      <c r="I522" s="33" t="s">
        <v>68</v>
      </c>
    </row>
    <row r="523" spans="1:9" x14ac:dyDescent="0.2">
      <c r="A523" s="33" t="s">
        <v>315</v>
      </c>
      <c r="B523" s="33" t="s">
        <v>61</v>
      </c>
      <c r="C523" s="33" t="s">
        <v>851</v>
      </c>
      <c r="D523" s="42">
        <v>-4.0000000000190994E-3</v>
      </c>
      <c r="E523" s="33" t="s">
        <v>224</v>
      </c>
      <c r="F523" s="34">
        <v>360</v>
      </c>
      <c r="G523" s="34">
        <v>360.00400000000002</v>
      </c>
      <c r="H523" s="33" t="s">
        <v>852</v>
      </c>
      <c r="I523" s="33" t="s">
        <v>68</v>
      </c>
    </row>
    <row r="524" spans="1:9" x14ac:dyDescent="0.2">
      <c r="A524" s="33" t="s">
        <v>315</v>
      </c>
      <c r="B524" s="33" t="s">
        <v>61</v>
      </c>
      <c r="C524" s="33" t="s">
        <v>853</v>
      </c>
      <c r="D524" s="42">
        <v>0</v>
      </c>
      <c r="E524" s="33" t="s">
        <v>224</v>
      </c>
      <c r="F524" s="34">
        <v>324</v>
      </c>
      <c r="G524" s="34">
        <v>324</v>
      </c>
      <c r="H524" s="33" t="s">
        <v>854</v>
      </c>
      <c r="I524" s="33" t="s">
        <v>68</v>
      </c>
    </row>
    <row r="525" spans="1:9" x14ac:dyDescent="0.2">
      <c r="A525" s="33" t="s">
        <v>315</v>
      </c>
      <c r="B525" s="33" t="s">
        <v>61</v>
      </c>
      <c r="C525" s="33" t="s">
        <v>855</v>
      </c>
      <c r="D525" s="42">
        <v>0</v>
      </c>
      <c r="E525" s="33" t="s">
        <v>224</v>
      </c>
      <c r="F525" s="34">
        <v>288</v>
      </c>
      <c r="G525" s="34">
        <v>288</v>
      </c>
      <c r="H525" s="33" t="s">
        <v>856</v>
      </c>
      <c r="I525" s="33" t="s">
        <v>68</v>
      </c>
    </row>
    <row r="526" spans="1:9" x14ac:dyDescent="0.2">
      <c r="A526" s="33" t="s">
        <v>315</v>
      </c>
      <c r="B526" s="33" t="s">
        <v>61</v>
      </c>
      <c r="C526" s="33" t="s">
        <v>857</v>
      </c>
      <c r="D526" s="42">
        <v>0</v>
      </c>
      <c r="E526" s="33" t="s">
        <v>224</v>
      </c>
      <c r="F526" s="34">
        <v>528</v>
      </c>
      <c r="G526" s="34">
        <v>528</v>
      </c>
      <c r="H526" s="33" t="s">
        <v>858</v>
      </c>
      <c r="I526" s="33" t="s">
        <v>68</v>
      </c>
    </row>
    <row r="527" spans="1:9" x14ac:dyDescent="0.2">
      <c r="A527" s="33" t="s">
        <v>315</v>
      </c>
      <c r="B527" s="33" t="s">
        <v>61</v>
      </c>
      <c r="C527" s="33" t="s">
        <v>859</v>
      </c>
      <c r="D527" s="42">
        <v>0</v>
      </c>
      <c r="E527" s="33" t="s">
        <v>224</v>
      </c>
      <c r="F527" s="34">
        <v>492</v>
      </c>
      <c r="G527" s="34">
        <v>492</v>
      </c>
      <c r="H527" s="33" t="s">
        <v>860</v>
      </c>
      <c r="I527" s="33" t="s">
        <v>68</v>
      </c>
    </row>
    <row r="528" spans="1:9" x14ac:dyDescent="0.2">
      <c r="A528" s="33" t="s">
        <v>315</v>
      </c>
      <c r="B528" s="33" t="s">
        <v>61</v>
      </c>
      <c r="C528" s="33" t="s">
        <v>861</v>
      </c>
      <c r="D528" s="42">
        <v>0</v>
      </c>
      <c r="E528" s="33" t="s">
        <v>224</v>
      </c>
      <c r="F528" s="34">
        <v>192</v>
      </c>
      <c r="G528" s="34">
        <v>192</v>
      </c>
      <c r="H528" s="33" t="s">
        <v>862</v>
      </c>
      <c r="I528" s="33" t="s">
        <v>68</v>
      </c>
    </row>
    <row r="529" spans="1:9" x14ac:dyDescent="0.2">
      <c r="A529" s="33" t="s">
        <v>315</v>
      </c>
      <c r="B529" s="33" t="s">
        <v>61</v>
      </c>
      <c r="C529" s="33" t="s">
        <v>863</v>
      </c>
      <c r="D529" s="42">
        <v>0</v>
      </c>
      <c r="E529" s="33" t="s">
        <v>224</v>
      </c>
      <c r="F529" s="34">
        <v>264</v>
      </c>
      <c r="G529" s="34">
        <v>264</v>
      </c>
      <c r="H529" s="33" t="s">
        <v>864</v>
      </c>
      <c r="I529" s="33" t="s">
        <v>68</v>
      </c>
    </row>
    <row r="530" spans="1:9" x14ac:dyDescent="0.2">
      <c r="A530" s="33" t="s">
        <v>315</v>
      </c>
      <c r="B530" s="33" t="s">
        <v>61</v>
      </c>
      <c r="C530" s="33" t="s">
        <v>865</v>
      </c>
      <c r="D530" s="42">
        <v>0</v>
      </c>
      <c r="E530" s="33" t="s">
        <v>224</v>
      </c>
      <c r="F530" s="34">
        <v>72</v>
      </c>
      <c r="G530" s="34">
        <v>72</v>
      </c>
      <c r="H530" s="33" t="s">
        <v>866</v>
      </c>
      <c r="I530" s="33" t="s">
        <v>68</v>
      </c>
    </row>
    <row r="531" spans="1:9" x14ac:dyDescent="0.2">
      <c r="A531" s="33" t="s">
        <v>315</v>
      </c>
      <c r="B531" s="33" t="s">
        <v>61</v>
      </c>
      <c r="C531" s="33" t="s">
        <v>867</v>
      </c>
      <c r="D531" s="42">
        <v>0</v>
      </c>
      <c r="E531" s="33" t="s">
        <v>224</v>
      </c>
      <c r="F531" s="34">
        <v>12</v>
      </c>
      <c r="G531" s="34">
        <v>12</v>
      </c>
      <c r="H531" s="33" t="s">
        <v>868</v>
      </c>
      <c r="I531" s="33" t="s">
        <v>68</v>
      </c>
    </row>
    <row r="532" spans="1:9" x14ac:dyDescent="0.2">
      <c r="A532" s="33" t="s">
        <v>315</v>
      </c>
      <c r="B532" s="33" t="s">
        <v>61</v>
      </c>
      <c r="C532" s="33" t="s">
        <v>869</v>
      </c>
      <c r="D532" s="42">
        <v>5.6843418860808015E-14</v>
      </c>
      <c r="E532" s="33" t="s">
        <v>224</v>
      </c>
      <c r="F532" s="34">
        <v>300</v>
      </c>
      <c r="G532" s="34">
        <v>299.99999999999994</v>
      </c>
      <c r="H532" s="33" t="s">
        <v>870</v>
      </c>
      <c r="I532" s="33" t="s">
        <v>871</v>
      </c>
    </row>
    <row r="533" spans="1:9" x14ac:dyDescent="0.2">
      <c r="A533" s="33" t="s">
        <v>315</v>
      </c>
      <c r="B533" s="33" t="s">
        <v>61</v>
      </c>
      <c r="C533" s="33" t="s">
        <v>872</v>
      </c>
      <c r="D533" s="42">
        <v>0</v>
      </c>
      <c r="E533" s="33" t="s">
        <v>224</v>
      </c>
      <c r="F533" s="34">
        <v>360</v>
      </c>
      <c r="G533" s="34">
        <v>360</v>
      </c>
      <c r="H533" s="33" t="s">
        <v>873</v>
      </c>
      <c r="I533" s="33" t="s">
        <v>874</v>
      </c>
    </row>
    <row r="534" spans="1:9" x14ac:dyDescent="0.2">
      <c r="A534" s="33" t="s">
        <v>315</v>
      </c>
      <c r="B534" s="33" t="s">
        <v>61</v>
      </c>
      <c r="C534" s="33" t="s">
        <v>875</v>
      </c>
      <c r="D534" s="42">
        <v>5.5</v>
      </c>
      <c r="E534" s="33" t="s">
        <v>224</v>
      </c>
      <c r="F534" s="34">
        <v>246</v>
      </c>
      <c r="G534" s="34">
        <v>240.5</v>
      </c>
      <c r="H534" s="33" t="s">
        <v>68</v>
      </c>
      <c r="I534" s="33" t="s">
        <v>874</v>
      </c>
    </row>
    <row r="535" spans="1:9" x14ac:dyDescent="0.2">
      <c r="A535" s="33" t="s">
        <v>315</v>
      </c>
      <c r="B535" s="33" t="s">
        <v>61</v>
      </c>
      <c r="C535" s="33" t="s">
        <v>876</v>
      </c>
      <c r="D535" s="42">
        <v>0</v>
      </c>
      <c r="E535" s="33" t="s">
        <v>224</v>
      </c>
      <c r="F535" s="34">
        <v>1000</v>
      </c>
      <c r="G535" s="34">
        <v>1000</v>
      </c>
      <c r="H535" s="33" t="s">
        <v>68</v>
      </c>
      <c r="I535" s="33" t="s">
        <v>68</v>
      </c>
    </row>
    <row r="536" spans="1:9" x14ac:dyDescent="0.2">
      <c r="A536" s="33" t="s">
        <v>316</v>
      </c>
      <c r="B536" s="33" t="s">
        <v>228</v>
      </c>
      <c r="C536" s="33" t="s">
        <v>877</v>
      </c>
      <c r="D536" s="42">
        <v>7.1054273576010019E-15</v>
      </c>
      <c r="E536" s="33" t="s">
        <v>224</v>
      </c>
      <c r="F536" s="34">
        <v>35</v>
      </c>
      <c r="G536" s="34">
        <v>34.999999999999993</v>
      </c>
      <c r="H536" s="33" t="s">
        <v>68</v>
      </c>
      <c r="I536" s="33" t="s">
        <v>68</v>
      </c>
    </row>
    <row r="537" spans="1:9" x14ac:dyDescent="0.2">
      <c r="A537" s="33" t="s">
        <v>316</v>
      </c>
      <c r="B537" s="33" t="s">
        <v>228</v>
      </c>
      <c r="C537" s="33" t="s">
        <v>805</v>
      </c>
      <c r="D537" s="42">
        <v>0</v>
      </c>
      <c r="E537" s="33" t="s">
        <v>224</v>
      </c>
      <c r="F537" s="34">
        <v>1.5</v>
      </c>
      <c r="G537" s="34">
        <v>1.5</v>
      </c>
      <c r="H537" s="33" t="s">
        <v>68</v>
      </c>
      <c r="I537" s="33" t="s">
        <v>68</v>
      </c>
    </row>
    <row r="538" spans="1:9" x14ac:dyDescent="0.2">
      <c r="A538" s="33" t="s">
        <v>316</v>
      </c>
      <c r="B538" s="33" t="s">
        <v>228</v>
      </c>
      <c r="C538" s="33" t="s">
        <v>878</v>
      </c>
      <c r="D538" s="42">
        <v>-3.5527136788005009E-15</v>
      </c>
      <c r="E538" s="33" t="s">
        <v>224</v>
      </c>
      <c r="F538" s="34">
        <v>28</v>
      </c>
      <c r="G538" s="34">
        <v>28.000000000000004</v>
      </c>
      <c r="H538" s="33" t="s">
        <v>68</v>
      </c>
      <c r="I538" s="33" t="s">
        <v>68</v>
      </c>
    </row>
    <row r="539" spans="1:9" x14ac:dyDescent="0.2">
      <c r="A539" s="33" t="s">
        <v>316</v>
      </c>
      <c r="B539" s="33" t="s">
        <v>228</v>
      </c>
      <c r="C539" s="33" t="s">
        <v>879</v>
      </c>
      <c r="D539" s="42">
        <v>3.0000000000001137E-3</v>
      </c>
      <c r="E539" s="33" t="s">
        <v>224</v>
      </c>
      <c r="F539" s="34">
        <v>33</v>
      </c>
      <c r="G539" s="34">
        <v>32.997</v>
      </c>
      <c r="H539" s="33" t="s">
        <v>880</v>
      </c>
      <c r="I539" s="33" t="s">
        <v>68</v>
      </c>
    </row>
    <row r="540" spans="1:9" x14ac:dyDescent="0.2">
      <c r="A540" s="33" t="s">
        <v>316</v>
      </c>
      <c r="B540" s="33" t="s">
        <v>228</v>
      </c>
      <c r="C540" s="33" t="s">
        <v>881</v>
      </c>
      <c r="D540" s="42">
        <v>0</v>
      </c>
      <c r="E540" s="33" t="s">
        <v>224</v>
      </c>
      <c r="F540" s="34">
        <v>23</v>
      </c>
      <c r="G540" s="34">
        <v>23</v>
      </c>
      <c r="H540" s="33" t="s">
        <v>882</v>
      </c>
      <c r="I540" s="33" t="s">
        <v>715</v>
      </c>
    </row>
    <row r="541" spans="1:9" x14ac:dyDescent="0.2">
      <c r="A541" s="33" t="s">
        <v>316</v>
      </c>
      <c r="B541" s="33" t="s">
        <v>228</v>
      </c>
      <c r="C541" s="33" t="s">
        <v>883</v>
      </c>
      <c r="D541" s="42">
        <v>3.0000000000072191E-3</v>
      </c>
      <c r="E541" s="33" t="s">
        <v>224</v>
      </c>
      <c r="F541" s="34">
        <v>33</v>
      </c>
      <c r="G541" s="34">
        <v>32.996999999999993</v>
      </c>
      <c r="H541" s="33" t="s">
        <v>884</v>
      </c>
      <c r="I541" s="33" t="s">
        <v>68</v>
      </c>
    </row>
    <row r="542" spans="1:9" x14ac:dyDescent="0.2">
      <c r="A542" s="33" t="s">
        <v>317</v>
      </c>
      <c r="B542" s="33" t="s">
        <v>63</v>
      </c>
      <c r="C542" s="33" t="s">
        <v>885</v>
      </c>
      <c r="D542" s="42">
        <v>1.7763568394002505E-15</v>
      </c>
      <c r="E542" s="33" t="s">
        <v>224</v>
      </c>
      <c r="F542" s="34">
        <v>10</v>
      </c>
      <c r="G542" s="34">
        <v>9.9999999999999982</v>
      </c>
      <c r="H542" s="33" t="s">
        <v>68</v>
      </c>
      <c r="I542" s="33" t="s">
        <v>68</v>
      </c>
    </row>
    <row r="543" spans="1:9" x14ac:dyDescent="0.2">
      <c r="A543" s="33" t="s">
        <v>317</v>
      </c>
      <c r="B543" s="33" t="s">
        <v>63</v>
      </c>
      <c r="C543" s="33" t="s">
        <v>886</v>
      </c>
      <c r="D543" s="42">
        <v>0</v>
      </c>
      <c r="E543" s="33" t="s">
        <v>224</v>
      </c>
      <c r="F543" s="34">
        <v>10</v>
      </c>
      <c r="G543" s="34">
        <v>10</v>
      </c>
      <c r="H543" s="33" t="s">
        <v>68</v>
      </c>
      <c r="I543" s="33" t="s">
        <v>68</v>
      </c>
    </row>
    <row r="544" spans="1:9" x14ac:dyDescent="0.2">
      <c r="A544" s="33" t="s">
        <v>317</v>
      </c>
      <c r="B544" s="33" t="s">
        <v>63</v>
      </c>
      <c r="C544" s="33" t="s">
        <v>887</v>
      </c>
      <c r="D544" s="42">
        <v>0</v>
      </c>
      <c r="E544" s="33" t="s">
        <v>224</v>
      </c>
      <c r="F544" s="34">
        <v>10</v>
      </c>
      <c r="G544" s="34">
        <v>10</v>
      </c>
      <c r="H544" s="33" t="s">
        <v>68</v>
      </c>
      <c r="I544" s="33" t="s">
        <v>68</v>
      </c>
    </row>
    <row r="545" spans="1:9" x14ac:dyDescent="0.2">
      <c r="A545" s="33" t="s">
        <v>317</v>
      </c>
      <c r="B545" s="33" t="s">
        <v>63</v>
      </c>
      <c r="C545" s="33" t="s">
        <v>888</v>
      </c>
      <c r="D545" s="42">
        <v>-5.0000000000007816E-3</v>
      </c>
      <c r="E545" s="33" t="s">
        <v>224</v>
      </c>
      <c r="F545" s="34">
        <v>10</v>
      </c>
      <c r="G545" s="34">
        <v>10.005000000000001</v>
      </c>
      <c r="H545" s="33" t="s">
        <v>889</v>
      </c>
      <c r="I545" s="33" t="s">
        <v>68</v>
      </c>
    </row>
    <row r="546" spans="1:9" x14ac:dyDescent="0.2">
      <c r="A546" s="33" t="s">
        <v>317</v>
      </c>
      <c r="B546" s="33" t="s">
        <v>63</v>
      </c>
      <c r="C546" s="33" t="s">
        <v>890</v>
      </c>
      <c r="D546" s="42">
        <v>0</v>
      </c>
      <c r="E546" s="33" t="s">
        <v>224</v>
      </c>
      <c r="F546" s="34">
        <v>10</v>
      </c>
      <c r="G546" s="34">
        <v>10</v>
      </c>
      <c r="H546" s="33" t="s">
        <v>891</v>
      </c>
      <c r="I546" s="33" t="s">
        <v>68</v>
      </c>
    </row>
    <row r="547" spans="1:9" x14ac:dyDescent="0.2">
      <c r="A547" s="33" t="s">
        <v>317</v>
      </c>
      <c r="B547" s="33" t="s">
        <v>63</v>
      </c>
      <c r="C547" s="33" t="s">
        <v>892</v>
      </c>
      <c r="D547" s="42">
        <v>-1.9999999999988916E-3</v>
      </c>
      <c r="E547" s="33" t="s">
        <v>224</v>
      </c>
      <c r="F547" s="34">
        <v>10</v>
      </c>
      <c r="G547" s="34">
        <v>10.001999999999999</v>
      </c>
      <c r="H547" s="33" t="s">
        <v>893</v>
      </c>
      <c r="I547" s="33" t="s">
        <v>68</v>
      </c>
    </row>
    <row r="548" spans="1:9" x14ac:dyDescent="0.2">
      <c r="A548" s="33" t="s">
        <v>317</v>
      </c>
      <c r="B548" s="33" t="s">
        <v>63</v>
      </c>
      <c r="C548" s="33" t="s">
        <v>894</v>
      </c>
      <c r="D548" s="42">
        <v>-1.9999999999988916E-3</v>
      </c>
      <c r="E548" s="33" t="s">
        <v>224</v>
      </c>
      <c r="F548" s="34">
        <v>10</v>
      </c>
      <c r="G548" s="34">
        <v>10.001999999999999</v>
      </c>
      <c r="H548" s="33" t="s">
        <v>895</v>
      </c>
      <c r="I548" s="33" t="s">
        <v>68</v>
      </c>
    </row>
    <row r="549" spans="1:9" x14ac:dyDescent="0.2">
      <c r="A549" s="33" t="s">
        <v>317</v>
      </c>
      <c r="B549" s="33" t="s">
        <v>63</v>
      </c>
      <c r="C549" s="33" t="s">
        <v>896</v>
      </c>
      <c r="D549" s="42">
        <v>0</v>
      </c>
      <c r="E549" s="33" t="s">
        <v>224</v>
      </c>
      <c r="F549" s="34">
        <v>10</v>
      </c>
      <c r="G549" s="34">
        <v>10</v>
      </c>
      <c r="H549" s="33" t="s">
        <v>897</v>
      </c>
      <c r="I549" s="33" t="s">
        <v>68</v>
      </c>
    </row>
    <row r="550" spans="1:9" x14ac:dyDescent="0.2">
      <c r="A550" s="33" t="s">
        <v>317</v>
      </c>
      <c r="B550" s="33" t="s">
        <v>63</v>
      </c>
      <c r="C550" s="33" t="s">
        <v>898</v>
      </c>
      <c r="D550" s="42">
        <v>1.7763568394002505E-15</v>
      </c>
      <c r="E550" s="33" t="s">
        <v>224</v>
      </c>
      <c r="F550" s="34">
        <v>13</v>
      </c>
      <c r="G550" s="34">
        <v>12.999999999999998</v>
      </c>
      <c r="H550" s="33" t="s">
        <v>899</v>
      </c>
      <c r="I550" s="33" t="s">
        <v>715</v>
      </c>
    </row>
    <row r="551" spans="1:9" x14ac:dyDescent="0.2">
      <c r="A551" s="33" t="s">
        <v>279</v>
      </c>
      <c r="B551" s="33" t="s">
        <v>64</v>
      </c>
      <c r="C551" s="33" t="s">
        <v>68</v>
      </c>
      <c r="D551" s="42">
        <v>0</v>
      </c>
      <c r="E551" s="33" t="s">
        <v>224</v>
      </c>
      <c r="F551" s="34">
        <v>39.630000000000003</v>
      </c>
      <c r="G551" s="34">
        <v>39.630000000000003</v>
      </c>
      <c r="H551" s="33" t="s">
        <v>68</v>
      </c>
      <c r="I551" s="33" t="s">
        <v>68</v>
      </c>
    </row>
    <row r="552" spans="1:9" x14ac:dyDescent="0.2">
      <c r="A552" s="33" t="s">
        <v>279</v>
      </c>
      <c r="B552" s="33" t="s">
        <v>64</v>
      </c>
      <c r="C552" s="33" t="s">
        <v>900</v>
      </c>
      <c r="D552" s="42">
        <v>0</v>
      </c>
      <c r="E552" s="33" t="s">
        <v>224</v>
      </c>
      <c r="F552" s="34">
        <v>115.43</v>
      </c>
      <c r="G552" s="34">
        <v>115.43</v>
      </c>
      <c r="H552" s="33" t="s">
        <v>68</v>
      </c>
      <c r="I552" s="33" t="s">
        <v>68</v>
      </c>
    </row>
    <row r="553" spans="1:9" x14ac:dyDescent="0.2">
      <c r="A553" s="33" t="s">
        <v>279</v>
      </c>
      <c r="B553" s="33" t="s">
        <v>64</v>
      </c>
      <c r="C553" s="33" t="s">
        <v>901</v>
      </c>
      <c r="D553" s="42">
        <v>0</v>
      </c>
      <c r="E553" s="33" t="s">
        <v>224</v>
      </c>
      <c r="F553" s="34">
        <v>84.939999999999984</v>
      </c>
      <c r="G553" s="34">
        <v>84.939999999999984</v>
      </c>
      <c r="H553" s="33" t="s">
        <v>68</v>
      </c>
      <c r="I553" s="33" t="s">
        <v>68</v>
      </c>
    </row>
    <row r="554" spans="1:9" x14ac:dyDescent="0.2">
      <c r="A554" s="33" t="s">
        <v>279</v>
      </c>
      <c r="B554" s="33" t="s">
        <v>64</v>
      </c>
      <c r="C554" s="33" t="s">
        <v>902</v>
      </c>
      <c r="D554" s="42">
        <v>0</v>
      </c>
      <c r="E554" s="33" t="s">
        <v>224</v>
      </c>
      <c r="F554" s="34">
        <v>50</v>
      </c>
      <c r="G554" s="34">
        <v>50</v>
      </c>
      <c r="H554" s="33" t="s">
        <v>68</v>
      </c>
      <c r="I554" s="33" t="s">
        <v>68</v>
      </c>
    </row>
    <row r="555" spans="1:9" x14ac:dyDescent="0.2">
      <c r="A555" s="33" t="s">
        <v>279</v>
      </c>
      <c r="B555" s="33" t="s">
        <v>64</v>
      </c>
      <c r="C555" s="33" t="s">
        <v>903</v>
      </c>
      <c r="D555" s="42">
        <v>0</v>
      </c>
      <c r="E555" s="33" t="s">
        <v>224</v>
      </c>
      <c r="F555" s="34">
        <v>70</v>
      </c>
      <c r="G555" s="34">
        <v>70</v>
      </c>
      <c r="H555" s="33" t="s">
        <v>68</v>
      </c>
      <c r="I555" s="33" t="s">
        <v>68</v>
      </c>
    </row>
    <row r="556" spans="1:9" x14ac:dyDescent="0.2">
      <c r="A556" s="33" t="s">
        <v>279</v>
      </c>
      <c r="B556" s="33" t="s">
        <v>64</v>
      </c>
      <c r="C556" s="33" t="s">
        <v>481</v>
      </c>
      <c r="D556" s="42">
        <v>0</v>
      </c>
      <c r="E556" s="33" t="s">
        <v>224</v>
      </c>
      <c r="F556" s="34">
        <v>3</v>
      </c>
      <c r="G556" s="34">
        <v>3</v>
      </c>
      <c r="H556" s="33" t="s">
        <v>68</v>
      </c>
      <c r="I556" s="33" t="s">
        <v>68</v>
      </c>
    </row>
    <row r="557" spans="1:9" x14ac:dyDescent="0.2">
      <c r="A557" s="33" t="s">
        <v>279</v>
      </c>
      <c r="B557" s="33" t="s">
        <v>64</v>
      </c>
      <c r="C557" s="33" t="s">
        <v>904</v>
      </c>
      <c r="D557" s="42">
        <v>7.1054273576010019E-15</v>
      </c>
      <c r="E557" s="33" t="s">
        <v>224</v>
      </c>
      <c r="F557" s="34">
        <v>37.6</v>
      </c>
      <c r="G557" s="34">
        <v>37.599999999999994</v>
      </c>
      <c r="H557" s="33" t="s">
        <v>68</v>
      </c>
      <c r="I557" s="33" t="s">
        <v>68</v>
      </c>
    </row>
    <row r="558" spans="1:9" x14ac:dyDescent="0.2">
      <c r="A558" s="33" t="s">
        <v>279</v>
      </c>
      <c r="B558" s="33" t="s">
        <v>64</v>
      </c>
      <c r="C558" s="33" t="s">
        <v>905</v>
      </c>
      <c r="D558" s="42">
        <v>0</v>
      </c>
      <c r="E558" s="33" t="s">
        <v>224</v>
      </c>
      <c r="F558" s="34">
        <v>1.1000000000000001</v>
      </c>
      <c r="G558" s="34">
        <v>1.1000000000000001</v>
      </c>
      <c r="H558" s="33" t="s">
        <v>68</v>
      </c>
      <c r="I558" s="33" t="s">
        <v>68</v>
      </c>
    </row>
    <row r="559" spans="1:9" x14ac:dyDescent="0.2">
      <c r="A559" s="33" t="s">
        <v>279</v>
      </c>
      <c r="B559" s="33" t="s">
        <v>64</v>
      </c>
      <c r="C559" s="33" t="s">
        <v>906</v>
      </c>
      <c r="D559" s="42">
        <v>0</v>
      </c>
      <c r="E559" s="33" t="s">
        <v>224</v>
      </c>
      <c r="F559" s="34">
        <v>2</v>
      </c>
      <c r="G559" s="34">
        <v>2</v>
      </c>
      <c r="H559" s="33" t="s">
        <v>68</v>
      </c>
      <c r="I559" s="33" t="s">
        <v>68</v>
      </c>
    </row>
    <row r="560" spans="1:9" x14ac:dyDescent="0.2">
      <c r="A560" s="33" t="s">
        <v>279</v>
      </c>
      <c r="B560" s="33" t="s">
        <v>64</v>
      </c>
      <c r="C560" s="33" t="s">
        <v>719</v>
      </c>
      <c r="D560" s="42">
        <v>7.1054273576010019E-15</v>
      </c>
      <c r="E560" s="33" t="s">
        <v>224</v>
      </c>
      <c r="F560" s="34">
        <v>43.2</v>
      </c>
      <c r="G560" s="34">
        <v>43.199999999999996</v>
      </c>
      <c r="H560" s="33" t="s">
        <v>68</v>
      </c>
      <c r="I560" s="33" t="s">
        <v>68</v>
      </c>
    </row>
    <row r="561" spans="1:9" x14ac:dyDescent="0.2">
      <c r="A561" s="33" t="s">
        <v>279</v>
      </c>
      <c r="B561" s="33" t="s">
        <v>64</v>
      </c>
      <c r="C561" s="33" t="s">
        <v>537</v>
      </c>
      <c r="D561" s="42">
        <v>0</v>
      </c>
      <c r="E561" s="33" t="s">
        <v>224</v>
      </c>
      <c r="F561" s="34">
        <v>6.3</v>
      </c>
      <c r="G561" s="34">
        <v>6.3</v>
      </c>
      <c r="H561" s="33" t="s">
        <v>68</v>
      </c>
      <c r="I561" s="33" t="s">
        <v>68</v>
      </c>
    </row>
    <row r="562" spans="1:9" x14ac:dyDescent="0.2">
      <c r="A562" s="33" t="s">
        <v>279</v>
      </c>
      <c r="B562" s="33" t="s">
        <v>64</v>
      </c>
      <c r="C562" s="33" t="s">
        <v>907</v>
      </c>
      <c r="D562" s="42">
        <v>7.1054273576010019E-15</v>
      </c>
      <c r="E562" s="33" t="s">
        <v>224</v>
      </c>
      <c r="F562" s="34">
        <v>39</v>
      </c>
      <c r="G562" s="34">
        <v>38.999999999999993</v>
      </c>
      <c r="H562" s="33" t="s">
        <v>68</v>
      </c>
      <c r="I562" s="33" t="s">
        <v>68</v>
      </c>
    </row>
    <row r="563" spans="1:9" x14ac:dyDescent="0.2">
      <c r="A563" s="33" t="s">
        <v>279</v>
      </c>
      <c r="B563" s="33" t="s">
        <v>64</v>
      </c>
      <c r="C563" s="33" t="s">
        <v>908</v>
      </c>
      <c r="D563" s="42">
        <v>0</v>
      </c>
      <c r="E563" s="33" t="s">
        <v>224</v>
      </c>
      <c r="F563" s="34">
        <v>45.4</v>
      </c>
      <c r="G563" s="34">
        <v>45.4</v>
      </c>
      <c r="H563" s="33" t="s">
        <v>68</v>
      </c>
      <c r="I563" s="33" t="s">
        <v>68</v>
      </c>
    </row>
    <row r="564" spans="1:9" x14ac:dyDescent="0.2">
      <c r="A564" s="33" t="s">
        <v>279</v>
      </c>
      <c r="B564" s="33" t="s">
        <v>64</v>
      </c>
      <c r="C564" s="33" t="s">
        <v>909</v>
      </c>
      <c r="D564" s="42">
        <v>0</v>
      </c>
      <c r="E564" s="33" t="s">
        <v>224</v>
      </c>
      <c r="F564" s="34">
        <v>1</v>
      </c>
      <c r="G564" s="34">
        <v>1</v>
      </c>
      <c r="H564" s="33" t="s">
        <v>68</v>
      </c>
      <c r="I564" s="33" t="s">
        <v>68</v>
      </c>
    </row>
    <row r="565" spans="1:9" x14ac:dyDescent="0.2">
      <c r="A565" s="33" t="s">
        <v>280</v>
      </c>
      <c r="B565" s="33" t="s">
        <v>65</v>
      </c>
      <c r="C565" s="33" t="s">
        <v>68</v>
      </c>
      <c r="D565" s="42">
        <v>0</v>
      </c>
      <c r="E565" s="33" t="s">
        <v>224</v>
      </c>
      <c r="F565" s="34">
        <v>16.61</v>
      </c>
      <c r="G565" s="34">
        <v>16.61</v>
      </c>
      <c r="H565" s="33" t="s">
        <v>68</v>
      </c>
      <c r="I565" s="33" t="s">
        <v>68</v>
      </c>
    </row>
    <row r="566" spans="1:9" x14ac:dyDescent="0.2">
      <c r="A566" s="33" t="s">
        <v>280</v>
      </c>
      <c r="B566" s="33" t="s">
        <v>65</v>
      </c>
      <c r="C566" s="33" t="s">
        <v>900</v>
      </c>
      <c r="D566" s="42">
        <v>0</v>
      </c>
      <c r="E566" s="33" t="s">
        <v>224</v>
      </c>
      <c r="F566" s="34">
        <v>12.368</v>
      </c>
      <c r="G566" s="34">
        <v>12.368</v>
      </c>
      <c r="H566" s="33" t="s">
        <v>68</v>
      </c>
      <c r="I566" s="33" t="s">
        <v>68</v>
      </c>
    </row>
    <row r="567" spans="1:9" x14ac:dyDescent="0.2">
      <c r="A567" s="33" t="s">
        <v>280</v>
      </c>
      <c r="B567" s="33" t="s">
        <v>65</v>
      </c>
      <c r="C567" s="33" t="s">
        <v>901</v>
      </c>
      <c r="D567" s="42">
        <v>0</v>
      </c>
      <c r="E567" s="33" t="s">
        <v>224</v>
      </c>
      <c r="F567" s="34">
        <v>8.0220000000000002</v>
      </c>
      <c r="G567" s="34">
        <v>8.0220000000000002</v>
      </c>
      <c r="H567" s="33" t="s">
        <v>68</v>
      </c>
      <c r="I567" s="33" t="s">
        <v>68</v>
      </c>
    </row>
    <row r="568" spans="1:9" x14ac:dyDescent="0.2">
      <c r="A568" s="33" t="s">
        <v>280</v>
      </c>
      <c r="B568" s="33" t="s">
        <v>65</v>
      </c>
      <c r="C568" s="33" t="s">
        <v>910</v>
      </c>
      <c r="D568" s="42">
        <v>0</v>
      </c>
      <c r="E568" s="33" t="s">
        <v>224</v>
      </c>
      <c r="F568" s="34">
        <v>21.5</v>
      </c>
      <c r="G568" s="34">
        <v>21.5</v>
      </c>
      <c r="H568" s="33" t="s">
        <v>68</v>
      </c>
      <c r="I568" s="33" t="s">
        <v>68</v>
      </c>
    </row>
    <row r="569" spans="1:9" x14ac:dyDescent="0.2">
      <c r="A569" s="33" t="s">
        <v>280</v>
      </c>
      <c r="B569" s="33" t="s">
        <v>65</v>
      </c>
      <c r="C569" s="33" t="s">
        <v>481</v>
      </c>
      <c r="D569" s="42">
        <v>2.7755575615628914E-17</v>
      </c>
      <c r="E569" s="33" t="s">
        <v>224</v>
      </c>
      <c r="F569" s="34">
        <v>0.24000000000000002</v>
      </c>
      <c r="G569" s="34">
        <v>0.24</v>
      </c>
      <c r="H569" s="33" t="s">
        <v>68</v>
      </c>
      <c r="I569" s="33" t="s">
        <v>68</v>
      </c>
    </row>
    <row r="570" spans="1:9" x14ac:dyDescent="0.2">
      <c r="A570" s="33" t="s">
        <v>280</v>
      </c>
      <c r="B570" s="33" t="s">
        <v>65</v>
      </c>
      <c r="C570" s="33" t="s">
        <v>911</v>
      </c>
      <c r="D570" s="42">
        <v>-1.7763568394002505E-15</v>
      </c>
      <c r="E570" s="33" t="s">
        <v>224</v>
      </c>
      <c r="F570" s="34">
        <v>12.1</v>
      </c>
      <c r="G570" s="34">
        <v>12.100000000000001</v>
      </c>
      <c r="H570" s="33" t="s">
        <v>68</v>
      </c>
      <c r="I570" s="33" t="s">
        <v>577</v>
      </c>
    </row>
    <row r="571" spans="1:9" x14ac:dyDescent="0.2">
      <c r="A571" s="33" t="s">
        <v>280</v>
      </c>
      <c r="B571" s="33" t="s">
        <v>65</v>
      </c>
      <c r="C571" s="33" t="s">
        <v>906</v>
      </c>
      <c r="D571" s="42">
        <v>2.7755575615628914E-17</v>
      </c>
      <c r="E571" s="33" t="s">
        <v>224</v>
      </c>
      <c r="F571" s="34">
        <v>0.2</v>
      </c>
      <c r="G571" s="34">
        <v>0.19999999999999998</v>
      </c>
      <c r="H571" s="33" t="s">
        <v>68</v>
      </c>
      <c r="I571" s="33" t="s">
        <v>68</v>
      </c>
    </row>
    <row r="572" spans="1:9" x14ac:dyDescent="0.2">
      <c r="A572" s="33" t="s">
        <v>280</v>
      </c>
      <c r="B572" s="33" t="s">
        <v>65</v>
      </c>
      <c r="C572" s="33" t="s">
        <v>719</v>
      </c>
      <c r="D572" s="42">
        <v>0</v>
      </c>
      <c r="E572" s="33" t="s">
        <v>224</v>
      </c>
      <c r="F572" s="34">
        <v>8.5</v>
      </c>
      <c r="G572" s="34">
        <v>8.5</v>
      </c>
      <c r="H572" s="33" t="s">
        <v>68</v>
      </c>
      <c r="I572" s="33" t="s">
        <v>577</v>
      </c>
    </row>
    <row r="573" spans="1:9" x14ac:dyDescent="0.2">
      <c r="A573" s="33" t="s">
        <v>280</v>
      </c>
      <c r="B573" s="33" t="s">
        <v>65</v>
      </c>
      <c r="C573" s="33" t="s">
        <v>912</v>
      </c>
      <c r="D573" s="42">
        <v>-1.9999999999988916E-3</v>
      </c>
      <c r="E573" s="33" t="s">
        <v>224</v>
      </c>
      <c r="F573" s="34">
        <v>12.5</v>
      </c>
      <c r="G573" s="34">
        <v>12.501999999999999</v>
      </c>
      <c r="H573" s="33" t="s">
        <v>68</v>
      </c>
      <c r="I573" s="33" t="s">
        <v>577</v>
      </c>
    </row>
    <row r="574" spans="1:9" x14ac:dyDescent="0.2">
      <c r="A574" s="33" t="s">
        <v>280</v>
      </c>
      <c r="B574" s="33" t="s">
        <v>65</v>
      </c>
      <c r="C574" s="33" t="s">
        <v>908</v>
      </c>
      <c r="D574" s="42">
        <v>1.7763568394002505E-15</v>
      </c>
      <c r="E574" s="33" t="s">
        <v>224</v>
      </c>
      <c r="F574" s="34">
        <v>10</v>
      </c>
      <c r="G574" s="34">
        <v>9.9999999999999982</v>
      </c>
      <c r="H574" s="33" t="s">
        <v>68</v>
      </c>
      <c r="I574" s="33" t="s">
        <v>577</v>
      </c>
    </row>
    <row r="575" spans="1:9" x14ac:dyDescent="0.2">
      <c r="A575" s="33" t="s">
        <v>280</v>
      </c>
      <c r="B575" s="33" t="s">
        <v>65</v>
      </c>
      <c r="C575" s="33" t="s">
        <v>909</v>
      </c>
      <c r="D575" s="42">
        <v>0</v>
      </c>
      <c r="E575" s="33" t="s">
        <v>224</v>
      </c>
      <c r="F575" s="34">
        <v>0.5</v>
      </c>
      <c r="G575" s="34">
        <v>0.5</v>
      </c>
      <c r="H575" s="33" t="s">
        <v>68</v>
      </c>
      <c r="I575" s="33" t="s">
        <v>68</v>
      </c>
    </row>
    <row r="576" spans="1:9" x14ac:dyDescent="0.2">
      <c r="A576" s="33" t="s">
        <v>281</v>
      </c>
      <c r="B576" s="33" t="s">
        <v>66</v>
      </c>
      <c r="C576" s="33" t="s">
        <v>68</v>
      </c>
      <c r="D576" s="42">
        <v>0</v>
      </c>
      <c r="E576" s="33" t="s">
        <v>224</v>
      </c>
      <c r="F576" s="34">
        <v>56.69</v>
      </c>
      <c r="G576" s="34">
        <v>56.69</v>
      </c>
      <c r="H576" s="33" t="s">
        <v>68</v>
      </c>
      <c r="I576" s="33" t="s">
        <v>68</v>
      </c>
    </row>
    <row r="577" spans="1:9" x14ac:dyDescent="0.2">
      <c r="A577" s="33" t="s">
        <v>281</v>
      </c>
      <c r="B577" s="33" t="s">
        <v>66</v>
      </c>
      <c r="C577" s="33" t="s">
        <v>900</v>
      </c>
      <c r="D577" s="42">
        <v>0</v>
      </c>
      <c r="E577" s="33" t="s">
        <v>224</v>
      </c>
      <c r="F577" s="34">
        <v>118.94000000000001</v>
      </c>
      <c r="G577" s="34">
        <v>118.94000000000001</v>
      </c>
      <c r="H577" s="33" t="s">
        <v>68</v>
      </c>
      <c r="I577" s="33" t="s">
        <v>68</v>
      </c>
    </row>
    <row r="578" spans="1:9" x14ac:dyDescent="0.2">
      <c r="A578" s="33" t="s">
        <v>281</v>
      </c>
      <c r="B578" s="33" t="s">
        <v>66</v>
      </c>
      <c r="C578" s="33" t="s">
        <v>901</v>
      </c>
      <c r="D578" s="42">
        <v>0</v>
      </c>
      <c r="E578" s="33" t="s">
        <v>224</v>
      </c>
      <c r="F578" s="34">
        <v>104.37</v>
      </c>
      <c r="G578" s="34">
        <v>104.37</v>
      </c>
      <c r="H578" s="33" t="s">
        <v>68</v>
      </c>
      <c r="I578" s="33" t="s">
        <v>68</v>
      </c>
    </row>
    <row r="579" spans="1:9" x14ac:dyDescent="0.2">
      <c r="A579" s="33" t="s">
        <v>281</v>
      </c>
      <c r="B579" s="33" t="s">
        <v>66</v>
      </c>
      <c r="C579" s="33" t="s">
        <v>902</v>
      </c>
      <c r="D579" s="42">
        <v>7.1054273576010019E-15</v>
      </c>
      <c r="E579" s="33" t="s">
        <v>224</v>
      </c>
      <c r="F579" s="34">
        <v>50</v>
      </c>
      <c r="G579" s="34">
        <v>49.999999999999993</v>
      </c>
      <c r="H579" s="33" t="s">
        <v>68</v>
      </c>
      <c r="I579" s="33" t="s">
        <v>68</v>
      </c>
    </row>
    <row r="580" spans="1:9" x14ac:dyDescent="0.2">
      <c r="A580" s="33" t="s">
        <v>281</v>
      </c>
      <c r="B580" s="33" t="s">
        <v>66</v>
      </c>
      <c r="C580" s="33" t="s">
        <v>903</v>
      </c>
      <c r="D580" s="42">
        <v>0</v>
      </c>
      <c r="E580" s="33" t="s">
        <v>224</v>
      </c>
      <c r="F580" s="34">
        <v>70</v>
      </c>
      <c r="G580" s="34">
        <v>70</v>
      </c>
      <c r="H580" s="33" t="s">
        <v>68</v>
      </c>
      <c r="I580" s="33" t="s">
        <v>68</v>
      </c>
    </row>
    <row r="581" spans="1:9" x14ac:dyDescent="0.2">
      <c r="A581" s="33" t="s">
        <v>281</v>
      </c>
      <c r="B581" s="33" t="s">
        <v>66</v>
      </c>
      <c r="C581" s="33" t="s">
        <v>481</v>
      </c>
      <c r="D581" s="42">
        <v>0</v>
      </c>
      <c r="E581" s="33" t="s">
        <v>224</v>
      </c>
      <c r="F581" s="34">
        <v>2</v>
      </c>
      <c r="G581" s="34">
        <v>2</v>
      </c>
      <c r="H581" s="33" t="s">
        <v>68</v>
      </c>
      <c r="I581" s="33" t="s">
        <v>68</v>
      </c>
    </row>
    <row r="582" spans="1:9" x14ac:dyDescent="0.2">
      <c r="A582" s="33" t="s">
        <v>281</v>
      </c>
      <c r="B582" s="33" t="s">
        <v>66</v>
      </c>
      <c r="C582" s="33" t="s">
        <v>904</v>
      </c>
      <c r="D582" s="42">
        <v>0</v>
      </c>
      <c r="E582" s="33" t="s">
        <v>224</v>
      </c>
      <c r="F582" s="34">
        <v>54.7</v>
      </c>
      <c r="G582" s="34">
        <v>54.7</v>
      </c>
      <c r="H582" s="33" t="s">
        <v>68</v>
      </c>
      <c r="I582" s="33" t="s">
        <v>68</v>
      </c>
    </row>
    <row r="583" spans="1:9" x14ac:dyDescent="0.2">
      <c r="A583" s="33" t="s">
        <v>281</v>
      </c>
      <c r="B583" s="33" t="s">
        <v>66</v>
      </c>
      <c r="C583" s="33" t="s">
        <v>905</v>
      </c>
      <c r="D583" s="42">
        <v>0</v>
      </c>
      <c r="E583" s="33" t="s">
        <v>224</v>
      </c>
      <c r="F583" s="34">
        <v>1.5</v>
      </c>
      <c r="G583" s="34">
        <v>1.5</v>
      </c>
      <c r="H583" s="33" t="s">
        <v>68</v>
      </c>
      <c r="I583" s="33" t="s">
        <v>68</v>
      </c>
    </row>
    <row r="584" spans="1:9" x14ac:dyDescent="0.2">
      <c r="A584" s="33" t="s">
        <v>281</v>
      </c>
      <c r="B584" s="33" t="s">
        <v>66</v>
      </c>
      <c r="C584" s="33" t="s">
        <v>906</v>
      </c>
      <c r="D584" s="42">
        <v>0</v>
      </c>
      <c r="E584" s="33" t="s">
        <v>224</v>
      </c>
      <c r="F584" s="34">
        <v>1</v>
      </c>
      <c r="G584" s="34">
        <v>1</v>
      </c>
      <c r="H584" s="33" t="s">
        <v>68</v>
      </c>
      <c r="I584" s="33" t="s">
        <v>68</v>
      </c>
    </row>
    <row r="585" spans="1:9" x14ac:dyDescent="0.2">
      <c r="A585" s="33" t="s">
        <v>281</v>
      </c>
      <c r="B585" s="33" t="s">
        <v>66</v>
      </c>
      <c r="C585" s="33" t="s">
        <v>719</v>
      </c>
      <c r="D585" s="42">
        <v>-7.1054273576010019E-15</v>
      </c>
      <c r="E585" s="33" t="s">
        <v>224</v>
      </c>
      <c r="F585" s="34">
        <v>53</v>
      </c>
      <c r="G585" s="34">
        <v>53.000000000000007</v>
      </c>
      <c r="H585" s="33" t="s">
        <v>68</v>
      </c>
      <c r="I585" s="33" t="s">
        <v>68</v>
      </c>
    </row>
    <row r="586" spans="1:9" x14ac:dyDescent="0.2">
      <c r="A586" s="33" t="s">
        <v>281</v>
      </c>
      <c r="B586" s="33" t="s">
        <v>66</v>
      </c>
      <c r="C586" s="33" t="s">
        <v>537</v>
      </c>
      <c r="D586" s="42">
        <v>-8.8817841970012523E-16</v>
      </c>
      <c r="E586" s="33" t="s">
        <v>224</v>
      </c>
      <c r="F586" s="34">
        <v>6.7</v>
      </c>
      <c r="G586" s="34">
        <v>6.7000000000000011</v>
      </c>
      <c r="H586" s="33" t="s">
        <v>68</v>
      </c>
      <c r="I586" s="33" t="s">
        <v>68</v>
      </c>
    </row>
    <row r="587" spans="1:9" x14ac:dyDescent="0.2">
      <c r="A587" s="33" t="s">
        <v>281</v>
      </c>
      <c r="B587" s="33" t="s">
        <v>66</v>
      </c>
      <c r="C587" s="33" t="s">
        <v>907</v>
      </c>
      <c r="D587" s="42">
        <v>7.1054273576010019E-15</v>
      </c>
      <c r="E587" s="33" t="s">
        <v>224</v>
      </c>
      <c r="F587" s="34">
        <v>49.5</v>
      </c>
      <c r="G587" s="34">
        <v>49.499999999999993</v>
      </c>
      <c r="H587" s="33" t="s">
        <v>68</v>
      </c>
      <c r="I587" s="33" t="s">
        <v>68</v>
      </c>
    </row>
    <row r="588" spans="1:9" x14ac:dyDescent="0.2">
      <c r="A588" s="33" t="s">
        <v>281</v>
      </c>
      <c r="B588" s="33" t="s">
        <v>66</v>
      </c>
      <c r="C588" s="33" t="s">
        <v>908</v>
      </c>
      <c r="D588" s="42">
        <v>0</v>
      </c>
      <c r="E588" s="33" t="s">
        <v>224</v>
      </c>
      <c r="F588" s="34">
        <v>47.5</v>
      </c>
      <c r="G588" s="34">
        <v>47.5</v>
      </c>
      <c r="H588" s="33" t="s">
        <v>68</v>
      </c>
      <c r="I588" s="33" t="s">
        <v>68</v>
      </c>
    </row>
    <row r="589" spans="1:9" x14ac:dyDescent="0.2">
      <c r="A589" s="33" t="s">
        <v>281</v>
      </c>
      <c r="B589" s="33" t="s">
        <v>66</v>
      </c>
      <c r="C589" s="33" t="s">
        <v>909</v>
      </c>
      <c r="D589" s="42">
        <v>-2.2204460492503131E-16</v>
      </c>
      <c r="E589" s="33" t="s">
        <v>224</v>
      </c>
      <c r="F589" s="34">
        <v>1.9</v>
      </c>
      <c r="G589" s="34">
        <v>1.9000000000000001</v>
      </c>
      <c r="H589" s="33" t="s">
        <v>68</v>
      </c>
      <c r="I589" s="33" t="s">
        <v>68</v>
      </c>
    </row>
    <row r="590" spans="1:9" x14ac:dyDescent="0.2">
      <c r="A590" s="33" t="s">
        <v>282</v>
      </c>
      <c r="B590" s="33" t="s">
        <v>70</v>
      </c>
      <c r="C590" s="33" t="s">
        <v>913</v>
      </c>
      <c r="D590" s="42">
        <v>-7.1054273576010019E-15</v>
      </c>
      <c r="E590" s="33" t="s">
        <v>224</v>
      </c>
      <c r="F590" s="34">
        <v>51</v>
      </c>
      <c r="G590" s="34">
        <v>51.000000000000007</v>
      </c>
      <c r="H590" s="33" t="s">
        <v>68</v>
      </c>
      <c r="I590" s="33" t="s">
        <v>518</v>
      </c>
    </row>
    <row r="591" spans="1:9" x14ac:dyDescent="0.2">
      <c r="A591" s="33" t="s">
        <v>282</v>
      </c>
      <c r="B591" s="33" t="s">
        <v>70</v>
      </c>
      <c r="C591" s="33" t="s">
        <v>914</v>
      </c>
      <c r="D591" s="42">
        <v>0</v>
      </c>
      <c r="E591" s="33" t="s">
        <v>224</v>
      </c>
      <c r="F591" s="34">
        <v>270</v>
      </c>
      <c r="G591" s="34">
        <v>270</v>
      </c>
      <c r="H591" s="33" t="s">
        <v>68</v>
      </c>
      <c r="I591" s="33" t="s">
        <v>518</v>
      </c>
    </row>
    <row r="592" spans="1:9" x14ac:dyDescent="0.2">
      <c r="A592" s="33" t="s">
        <v>282</v>
      </c>
      <c r="B592" s="33" t="s">
        <v>70</v>
      </c>
      <c r="C592" s="33" t="s">
        <v>653</v>
      </c>
      <c r="D592" s="42">
        <v>0</v>
      </c>
      <c r="E592" s="33" t="s">
        <v>224</v>
      </c>
      <c r="F592" s="34">
        <v>3115.5</v>
      </c>
      <c r="G592" s="34">
        <v>3115.5</v>
      </c>
      <c r="H592" s="33" t="s">
        <v>68</v>
      </c>
      <c r="I592" s="33" t="s">
        <v>68</v>
      </c>
    </row>
    <row r="593" spans="1:9" x14ac:dyDescent="0.2">
      <c r="A593" s="33" t="s">
        <v>282</v>
      </c>
      <c r="B593" s="33" t="s">
        <v>70</v>
      </c>
      <c r="C593" s="33" t="s">
        <v>915</v>
      </c>
      <c r="D593" s="42">
        <v>0</v>
      </c>
      <c r="E593" s="33" t="s">
        <v>224</v>
      </c>
      <c r="F593" s="34">
        <v>2065</v>
      </c>
      <c r="G593" s="34">
        <v>2065</v>
      </c>
      <c r="H593" s="33" t="s">
        <v>68</v>
      </c>
      <c r="I593" s="33" t="s">
        <v>68</v>
      </c>
    </row>
    <row r="594" spans="1:9" x14ac:dyDescent="0.2">
      <c r="A594" s="33" t="s">
        <v>282</v>
      </c>
      <c r="B594" s="33" t="s">
        <v>70</v>
      </c>
      <c r="C594" s="33" t="s">
        <v>916</v>
      </c>
      <c r="D594" s="42">
        <v>9.0949470177292824E-13</v>
      </c>
      <c r="E594" s="33" t="s">
        <v>224</v>
      </c>
      <c r="F594" s="34">
        <v>3377</v>
      </c>
      <c r="G594" s="34">
        <v>3376.9999999999991</v>
      </c>
      <c r="H594" s="33" t="s">
        <v>68</v>
      </c>
      <c r="I594" s="33" t="s">
        <v>917</v>
      </c>
    </row>
    <row r="595" spans="1:9" x14ac:dyDescent="0.2">
      <c r="A595" s="33" t="s">
        <v>282</v>
      </c>
      <c r="B595" s="33" t="s">
        <v>70</v>
      </c>
      <c r="C595" s="33" t="s">
        <v>918</v>
      </c>
      <c r="D595" s="42">
        <v>0</v>
      </c>
      <c r="E595" s="33" t="s">
        <v>224</v>
      </c>
      <c r="F595" s="34">
        <v>4264</v>
      </c>
      <c r="G595" s="34">
        <v>4264</v>
      </c>
      <c r="H595" s="33" t="s">
        <v>68</v>
      </c>
      <c r="I595" s="33" t="s">
        <v>68</v>
      </c>
    </row>
    <row r="596" spans="1:9" x14ac:dyDescent="0.2">
      <c r="A596" s="33" t="s">
        <v>282</v>
      </c>
      <c r="B596" s="33" t="s">
        <v>70</v>
      </c>
      <c r="C596" s="33" t="s">
        <v>919</v>
      </c>
      <c r="D596" s="42">
        <v>0</v>
      </c>
      <c r="E596" s="33" t="s">
        <v>224</v>
      </c>
      <c r="F596" s="34">
        <v>871.3</v>
      </c>
      <c r="G596" s="34">
        <v>871.3</v>
      </c>
      <c r="H596" s="33" t="s">
        <v>68</v>
      </c>
      <c r="I596" s="33" t="s">
        <v>917</v>
      </c>
    </row>
    <row r="597" spans="1:9" x14ac:dyDescent="0.2">
      <c r="A597" s="33" t="s">
        <v>282</v>
      </c>
      <c r="B597" s="33" t="s">
        <v>70</v>
      </c>
      <c r="C597" s="33" t="s">
        <v>920</v>
      </c>
      <c r="D597" s="42">
        <v>4.5474735088646412E-13</v>
      </c>
      <c r="E597" s="33" t="s">
        <v>224</v>
      </c>
      <c r="F597" s="34">
        <v>3152.5</v>
      </c>
      <c r="G597" s="34">
        <v>3152.4999999999995</v>
      </c>
      <c r="H597" s="33" t="s">
        <v>68</v>
      </c>
      <c r="I597" s="33" t="s">
        <v>68</v>
      </c>
    </row>
    <row r="598" spans="1:9" x14ac:dyDescent="0.2">
      <c r="A598" s="33" t="s">
        <v>282</v>
      </c>
      <c r="B598" s="33" t="s">
        <v>70</v>
      </c>
      <c r="C598" s="33" t="s">
        <v>921</v>
      </c>
      <c r="D598" s="42">
        <v>4.5474735088646412E-13</v>
      </c>
      <c r="E598" s="33" t="s">
        <v>224</v>
      </c>
      <c r="F598" s="34">
        <v>2807.2</v>
      </c>
      <c r="G598" s="34">
        <v>2807.1999999999994</v>
      </c>
      <c r="H598" s="33" t="s">
        <v>68</v>
      </c>
      <c r="I598" s="33" t="s">
        <v>917</v>
      </c>
    </row>
    <row r="599" spans="1:9" x14ac:dyDescent="0.2">
      <c r="A599" s="33" t="s">
        <v>282</v>
      </c>
      <c r="B599" s="33" t="s">
        <v>70</v>
      </c>
      <c r="C599" s="33" t="s">
        <v>922</v>
      </c>
      <c r="D599" s="42">
        <v>0</v>
      </c>
      <c r="E599" s="33" t="s">
        <v>224</v>
      </c>
      <c r="F599" s="34">
        <v>2109.4</v>
      </c>
      <c r="G599" s="34">
        <v>2109.4</v>
      </c>
      <c r="H599" s="33" t="s">
        <v>68</v>
      </c>
      <c r="I599" s="33" t="s">
        <v>68</v>
      </c>
    </row>
    <row r="600" spans="1:9" x14ac:dyDescent="0.2">
      <c r="A600" s="33" t="s">
        <v>282</v>
      </c>
      <c r="B600" s="33" t="s">
        <v>70</v>
      </c>
      <c r="C600" s="33" t="s">
        <v>923</v>
      </c>
      <c r="D600" s="42">
        <v>0</v>
      </c>
      <c r="E600" s="33" t="s">
        <v>224</v>
      </c>
      <c r="F600" s="34">
        <v>2200.5</v>
      </c>
      <c r="G600" s="34">
        <v>2200.5</v>
      </c>
      <c r="H600" s="33" t="s">
        <v>68</v>
      </c>
      <c r="I600" s="33" t="s">
        <v>917</v>
      </c>
    </row>
    <row r="601" spans="1:9" x14ac:dyDescent="0.2">
      <c r="A601" s="33" t="s">
        <v>282</v>
      </c>
      <c r="B601" s="33" t="s">
        <v>70</v>
      </c>
      <c r="C601" s="33" t="s">
        <v>924</v>
      </c>
      <c r="D601" s="42">
        <v>0</v>
      </c>
      <c r="E601" s="33" t="s">
        <v>224</v>
      </c>
      <c r="F601" s="34">
        <v>1812</v>
      </c>
      <c r="G601" s="34">
        <v>1812</v>
      </c>
      <c r="H601" s="33" t="s">
        <v>68</v>
      </c>
      <c r="I601" s="33" t="s">
        <v>917</v>
      </c>
    </row>
    <row r="602" spans="1:9" x14ac:dyDescent="0.2">
      <c r="A602" s="33" t="s">
        <v>282</v>
      </c>
      <c r="B602" s="33" t="s">
        <v>70</v>
      </c>
      <c r="C602" s="33" t="s">
        <v>925</v>
      </c>
      <c r="D602" s="42">
        <v>0</v>
      </c>
      <c r="E602" s="33" t="s">
        <v>224</v>
      </c>
      <c r="F602" s="34">
        <v>192.1</v>
      </c>
      <c r="G602" s="34">
        <v>192.1</v>
      </c>
      <c r="H602" s="33" t="s">
        <v>926</v>
      </c>
      <c r="I602" s="33" t="s">
        <v>68</v>
      </c>
    </row>
    <row r="603" spans="1:9" x14ac:dyDescent="0.2">
      <c r="A603" s="33" t="s">
        <v>282</v>
      </c>
      <c r="B603" s="33" t="s">
        <v>70</v>
      </c>
      <c r="C603" s="33" t="s">
        <v>927</v>
      </c>
      <c r="D603" s="42">
        <v>0</v>
      </c>
      <c r="E603" s="33" t="s">
        <v>224</v>
      </c>
      <c r="F603" s="34">
        <v>16.2</v>
      </c>
      <c r="G603" s="34">
        <v>16.2</v>
      </c>
      <c r="H603" s="33" t="s">
        <v>68</v>
      </c>
      <c r="I603" s="33" t="s">
        <v>68</v>
      </c>
    </row>
    <row r="604" spans="1:9" x14ac:dyDescent="0.2">
      <c r="A604" s="33" t="s">
        <v>282</v>
      </c>
      <c r="B604" s="33" t="s">
        <v>70</v>
      </c>
      <c r="C604" s="33" t="s">
        <v>928</v>
      </c>
      <c r="D604" s="42">
        <v>-1.4210854715202004E-14</v>
      </c>
      <c r="E604" s="33" t="s">
        <v>224</v>
      </c>
      <c r="F604" s="34">
        <v>109.9</v>
      </c>
      <c r="G604" s="34">
        <v>109.90000000000002</v>
      </c>
      <c r="H604" s="33" t="s">
        <v>68</v>
      </c>
      <c r="I604" s="33" t="s">
        <v>68</v>
      </c>
    </row>
    <row r="605" spans="1:9" x14ac:dyDescent="0.2">
      <c r="A605" s="33" t="s">
        <v>282</v>
      </c>
      <c r="B605" s="33" t="s">
        <v>70</v>
      </c>
      <c r="C605" s="33" t="s">
        <v>929</v>
      </c>
      <c r="D605" s="42">
        <v>0</v>
      </c>
      <c r="E605" s="33" t="s">
        <v>224</v>
      </c>
      <c r="F605" s="34">
        <v>1497.9</v>
      </c>
      <c r="G605" s="34">
        <v>1497.9</v>
      </c>
      <c r="H605" s="33" t="s">
        <v>68</v>
      </c>
      <c r="I605" s="33" t="s">
        <v>68</v>
      </c>
    </row>
    <row r="606" spans="1:9" x14ac:dyDescent="0.2">
      <c r="A606" s="33" t="s">
        <v>282</v>
      </c>
      <c r="B606" s="33" t="s">
        <v>70</v>
      </c>
      <c r="C606" s="33" t="s">
        <v>930</v>
      </c>
      <c r="D606" s="42">
        <v>0</v>
      </c>
      <c r="E606" s="33" t="s">
        <v>224</v>
      </c>
      <c r="F606" s="34">
        <v>2743.1</v>
      </c>
      <c r="G606" s="34">
        <v>2743.1</v>
      </c>
      <c r="H606" s="33" t="s">
        <v>68</v>
      </c>
      <c r="I606" s="33" t="s">
        <v>917</v>
      </c>
    </row>
    <row r="607" spans="1:9" x14ac:dyDescent="0.2">
      <c r="A607" s="33" t="s">
        <v>282</v>
      </c>
      <c r="B607" s="33" t="s">
        <v>70</v>
      </c>
      <c r="C607" s="33" t="s">
        <v>931</v>
      </c>
      <c r="D607" s="42">
        <v>0</v>
      </c>
      <c r="E607" s="33" t="s">
        <v>224</v>
      </c>
      <c r="F607" s="34">
        <v>15.5</v>
      </c>
      <c r="G607" s="34">
        <v>15.5</v>
      </c>
      <c r="H607" s="33" t="s">
        <v>68</v>
      </c>
      <c r="I607" s="33" t="s">
        <v>68</v>
      </c>
    </row>
    <row r="608" spans="1:9" x14ac:dyDescent="0.2">
      <c r="A608" s="33" t="s">
        <v>282</v>
      </c>
      <c r="B608" s="33" t="s">
        <v>70</v>
      </c>
      <c r="C608" s="33" t="s">
        <v>491</v>
      </c>
      <c r="D608" s="42">
        <v>0</v>
      </c>
      <c r="E608" s="33" t="s">
        <v>224</v>
      </c>
      <c r="F608" s="34">
        <v>18.440000000000001</v>
      </c>
      <c r="G608" s="34">
        <v>18.440000000000001</v>
      </c>
      <c r="H608" s="33" t="s">
        <v>68</v>
      </c>
      <c r="I608" s="33" t="s">
        <v>68</v>
      </c>
    </row>
    <row r="609" spans="1:9" x14ac:dyDescent="0.2">
      <c r="A609" s="33" t="s">
        <v>282</v>
      </c>
      <c r="B609" s="33" t="s">
        <v>70</v>
      </c>
      <c r="C609" s="33" t="s">
        <v>932</v>
      </c>
      <c r="D609" s="42">
        <v>9.1000000000000085</v>
      </c>
      <c r="E609" s="33" t="s">
        <v>224</v>
      </c>
      <c r="F609" s="34">
        <v>83.6</v>
      </c>
      <c r="G609" s="34">
        <v>74.499999999999986</v>
      </c>
      <c r="H609" s="33" t="s">
        <v>68</v>
      </c>
      <c r="I609" s="33" t="s">
        <v>68</v>
      </c>
    </row>
    <row r="610" spans="1:9" x14ac:dyDescent="0.2">
      <c r="A610" s="33" t="s">
        <v>407</v>
      </c>
      <c r="B610" s="33" t="s">
        <v>933</v>
      </c>
      <c r="C610" s="33" t="s">
        <v>934</v>
      </c>
      <c r="D610" s="42">
        <v>38.700000000000003</v>
      </c>
      <c r="E610" s="33" t="s">
        <v>224</v>
      </c>
      <c r="F610" s="34">
        <v>47.9</v>
      </c>
      <c r="G610" s="34">
        <v>9.1999999999999993</v>
      </c>
      <c r="H610" s="33" t="s">
        <v>68</v>
      </c>
      <c r="I610" s="33" t="s">
        <v>68</v>
      </c>
    </row>
    <row r="611" spans="1:9" x14ac:dyDescent="0.2">
      <c r="A611" s="33" t="s">
        <v>398</v>
      </c>
      <c r="B611" s="33" t="s">
        <v>229</v>
      </c>
      <c r="C611" s="33" t="s">
        <v>935</v>
      </c>
      <c r="D611" s="42">
        <v>0</v>
      </c>
      <c r="E611" s="33" t="s">
        <v>224</v>
      </c>
      <c r="F611" s="34">
        <v>359.1</v>
      </c>
      <c r="G611" s="34">
        <v>359.1</v>
      </c>
      <c r="H611" s="33" t="s">
        <v>68</v>
      </c>
      <c r="I611" s="33" t="s">
        <v>68</v>
      </c>
    </row>
    <row r="612" spans="1:9" x14ac:dyDescent="0.2">
      <c r="A612" s="33" t="s">
        <v>398</v>
      </c>
      <c r="B612" s="33" t="s">
        <v>229</v>
      </c>
      <c r="C612" s="33" t="s">
        <v>936</v>
      </c>
      <c r="D612" s="42">
        <v>0</v>
      </c>
      <c r="E612" s="33" t="s">
        <v>224</v>
      </c>
      <c r="F612" s="34">
        <v>350</v>
      </c>
      <c r="G612" s="34">
        <v>350</v>
      </c>
      <c r="H612" s="33" t="s">
        <v>68</v>
      </c>
      <c r="I612" s="33" t="s">
        <v>68</v>
      </c>
    </row>
    <row r="613" spans="1:9" x14ac:dyDescent="0.2">
      <c r="A613" s="33" t="s">
        <v>398</v>
      </c>
      <c r="B613" s="33" t="s">
        <v>229</v>
      </c>
      <c r="C613" s="33" t="s">
        <v>937</v>
      </c>
      <c r="D613" s="42">
        <v>0</v>
      </c>
      <c r="E613" s="33" t="s">
        <v>224</v>
      </c>
      <c r="F613" s="34">
        <v>5</v>
      </c>
      <c r="G613" s="34">
        <v>5</v>
      </c>
      <c r="H613" s="33" t="s">
        <v>68</v>
      </c>
      <c r="I613" s="33" t="s">
        <v>68</v>
      </c>
    </row>
    <row r="614" spans="1:9" x14ac:dyDescent="0.2">
      <c r="A614" s="33" t="s">
        <v>398</v>
      </c>
      <c r="B614" s="33" t="s">
        <v>229</v>
      </c>
      <c r="C614" s="33" t="s">
        <v>642</v>
      </c>
      <c r="D614" s="42">
        <v>8.6</v>
      </c>
      <c r="E614" s="33" t="s">
        <v>224</v>
      </c>
      <c r="F614" s="34">
        <v>9.6999999999999993</v>
      </c>
      <c r="G614" s="34">
        <v>1.1000000000000001</v>
      </c>
      <c r="H614" s="33" t="s">
        <v>68</v>
      </c>
      <c r="I614" s="33" t="s">
        <v>938</v>
      </c>
    </row>
    <row r="615" spans="1:9" x14ac:dyDescent="0.2">
      <c r="A615" s="33" t="s">
        <v>939</v>
      </c>
      <c r="B615" s="33" t="s">
        <v>940</v>
      </c>
      <c r="C615" s="33" t="s">
        <v>581</v>
      </c>
      <c r="D615" s="42">
        <v>1.7763568394002505E-15</v>
      </c>
      <c r="E615" s="33" t="s">
        <v>224</v>
      </c>
      <c r="F615" s="34">
        <v>9.9</v>
      </c>
      <c r="G615" s="34">
        <v>9.8999999999999986</v>
      </c>
      <c r="H615" s="33" t="s">
        <v>68</v>
      </c>
      <c r="I615" s="33" t="s">
        <v>68</v>
      </c>
    </row>
    <row r="616" spans="1:9" x14ac:dyDescent="0.2">
      <c r="A616" s="33" t="s">
        <v>259</v>
      </c>
      <c r="B616" s="33" t="s">
        <v>230</v>
      </c>
      <c r="C616" s="33" t="s">
        <v>941</v>
      </c>
      <c r="D616" s="42">
        <v>0</v>
      </c>
      <c r="E616" s="33" t="s">
        <v>224</v>
      </c>
      <c r="F616" s="34">
        <v>979.6</v>
      </c>
      <c r="G616" s="34">
        <v>979.6</v>
      </c>
      <c r="H616" s="33" t="s">
        <v>68</v>
      </c>
      <c r="I616" s="33" t="s">
        <v>68</v>
      </c>
    </row>
    <row r="617" spans="1:9" x14ac:dyDescent="0.2">
      <c r="A617" s="33" t="s">
        <v>259</v>
      </c>
      <c r="B617" s="33" t="s">
        <v>230</v>
      </c>
      <c r="C617" s="33" t="s">
        <v>432</v>
      </c>
      <c r="D617" s="42">
        <v>0</v>
      </c>
      <c r="E617" s="33" t="s">
        <v>224</v>
      </c>
      <c r="F617" s="34">
        <v>971.2</v>
      </c>
      <c r="G617" s="34">
        <v>971.2</v>
      </c>
      <c r="H617" s="33" t="s">
        <v>68</v>
      </c>
      <c r="I617" s="33" t="s">
        <v>68</v>
      </c>
    </row>
    <row r="618" spans="1:9" x14ac:dyDescent="0.2">
      <c r="A618" s="33" t="s">
        <v>259</v>
      </c>
      <c r="B618" s="33" t="s">
        <v>230</v>
      </c>
      <c r="C618" s="33" t="s">
        <v>942</v>
      </c>
      <c r="D618" s="42">
        <v>0</v>
      </c>
      <c r="E618" s="33" t="s">
        <v>224</v>
      </c>
      <c r="F618" s="34">
        <v>1100</v>
      </c>
      <c r="G618" s="34">
        <v>1100</v>
      </c>
      <c r="H618" s="33" t="s">
        <v>68</v>
      </c>
      <c r="I618" s="33" t="s">
        <v>518</v>
      </c>
    </row>
    <row r="619" spans="1:9" x14ac:dyDescent="0.2">
      <c r="A619" s="33" t="s">
        <v>259</v>
      </c>
      <c r="B619" s="33" t="s">
        <v>230</v>
      </c>
      <c r="C619" s="33" t="s">
        <v>943</v>
      </c>
      <c r="D619" s="42">
        <v>1.1368683772161603E-13</v>
      </c>
      <c r="E619" s="33" t="s">
        <v>224</v>
      </c>
      <c r="F619" s="34">
        <v>774.1</v>
      </c>
      <c r="G619" s="34">
        <v>774.09999999999991</v>
      </c>
      <c r="H619" s="33" t="s">
        <v>68</v>
      </c>
      <c r="I619" s="33" t="s">
        <v>68</v>
      </c>
    </row>
    <row r="620" spans="1:9" x14ac:dyDescent="0.2">
      <c r="A620" s="33" t="s">
        <v>259</v>
      </c>
      <c r="B620" s="33" t="s">
        <v>230</v>
      </c>
      <c r="C620" s="33" t="s">
        <v>944</v>
      </c>
      <c r="D620" s="42">
        <v>0</v>
      </c>
      <c r="E620" s="33" t="s">
        <v>224</v>
      </c>
      <c r="F620" s="34">
        <v>86</v>
      </c>
      <c r="G620" s="34">
        <v>86</v>
      </c>
      <c r="H620" s="33" t="s">
        <v>68</v>
      </c>
      <c r="I620" s="33" t="s">
        <v>68</v>
      </c>
    </row>
    <row r="621" spans="1:9" x14ac:dyDescent="0.2">
      <c r="A621" s="33" t="s">
        <v>259</v>
      </c>
      <c r="B621" s="33" t="s">
        <v>230</v>
      </c>
      <c r="C621" s="33" t="s">
        <v>945</v>
      </c>
      <c r="D621" s="42">
        <v>0</v>
      </c>
      <c r="E621" s="33" t="s">
        <v>224</v>
      </c>
      <c r="F621" s="34">
        <v>20</v>
      </c>
      <c r="G621" s="34">
        <v>20</v>
      </c>
      <c r="H621" s="33" t="s">
        <v>68</v>
      </c>
      <c r="I621" s="33" t="s">
        <v>68</v>
      </c>
    </row>
    <row r="622" spans="1:9" x14ac:dyDescent="0.2">
      <c r="A622" s="33" t="s">
        <v>259</v>
      </c>
      <c r="B622" s="33" t="s">
        <v>230</v>
      </c>
      <c r="C622" s="33" t="s">
        <v>719</v>
      </c>
      <c r="D622" s="42">
        <v>1.4210854715202004E-14</v>
      </c>
      <c r="E622" s="33" t="s">
        <v>224</v>
      </c>
      <c r="F622" s="34">
        <v>108.9</v>
      </c>
      <c r="G622" s="34">
        <v>108.89999999999999</v>
      </c>
      <c r="H622" s="33" t="s">
        <v>68</v>
      </c>
      <c r="I622" s="33" t="s">
        <v>68</v>
      </c>
    </row>
    <row r="623" spans="1:9" x14ac:dyDescent="0.2">
      <c r="A623" s="33" t="s">
        <v>259</v>
      </c>
      <c r="B623" s="33" t="s">
        <v>230</v>
      </c>
      <c r="C623" s="33" t="s">
        <v>946</v>
      </c>
      <c r="D623" s="42">
        <v>0</v>
      </c>
      <c r="E623" s="33" t="s">
        <v>224</v>
      </c>
      <c r="F623" s="34">
        <v>21.6</v>
      </c>
      <c r="G623" s="34">
        <v>21.6</v>
      </c>
      <c r="H623" s="33" t="s">
        <v>68</v>
      </c>
      <c r="I623" s="33" t="s">
        <v>68</v>
      </c>
    </row>
    <row r="624" spans="1:9" x14ac:dyDescent="0.2">
      <c r="A624" s="33" t="s">
        <v>259</v>
      </c>
      <c r="B624" s="33" t="s">
        <v>230</v>
      </c>
      <c r="C624" s="33" t="s">
        <v>947</v>
      </c>
      <c r="D624" s="42">
        <v>0</v>
      </c>
      <c r="E624" s="33" t="s">
        <v>224</v>
      </c>
      <c r="F624" s="34">
        <v>130.4</v>
      </c>
      <c r="G624" s="34">
        <v>130.4</v>
      </c>
      <c r="H624" s="33" t="s">
        <v>68</v>
      </c>
      <c r="I624" s="33" t="s">
        <v>68</v>
      </c>
    </row>
    <row r="625" spans="1:9" x14ac:dyDescent="0.2">
      <c r="A625" s="33" t="s">
        <v>259</v>
      </c>
      <c r="B625" s="33" t="s">
        <v>230</v>
      </c>
      <c r="C625" s="33" t="s">
        <v>948</v>
      </c>
      <c r="D625" s="42">
        <v>0</v>
      </c>
      <c r="E625" s="33" t="s">
        <v>224</v>
      </c>
      <c r="F625" s="34">
        <v>129.6</v>
      </c>
      <c r="G625" s="34">
        <v>129.6</v>
      </c>
      <c r="H625" s="33" t="s">
        <v>68</v>
      </c>
      <c r="I625" s="33" t="s">
        <v>68</v>
      </c>
    </row>
    <row r="626" spans="1:9" x14ac:dyDescent="0.2">
      <c r="A626" s="33" t="s">
        <v>259</v>
      </c>
      <c r="B626" s="33" t="s">
        <v>230</v>
      </c>
      <c r="C626" s="33" t="s">
        <v>949</v>
      </c>
      <c r="D626" s="42">
        <v>-2.2737367544323206E-13</v>
      </c>
      <c r="E626" s="33" t="s">
        <v>224</v>
      </c>
      <c r="F626" s="34">
        <v>1623</v>
      </c>
      <c r="G626" s="34">
        <v>1623.0000000000002</v>
      </c>
      <c r="H626" s="33" t="s">
        <v>68</v>
      </c>
      <c r="I626" s="33" t="s">
        <v>68</v>
      </c>
    </row>
    <row r="627" spans="1:9" x14ac:dyDescent="0.2">
      <c r="A627" s="33" t="s">
        <v>259</v>
      </c>
      <c r="B627" s="33" t="s">
        <v>230</v>
      </c>
      <c r="C627" s="33" t="s">
        <v>950</v>
      </c>
      <c r="D627" s="42">
        <v>0</v>
      </c>
      <c r="E627" s="33" t="s">
        <v>224</v>
      </c>
      <c r="F627" s="34">
        <v>1295.2</v>
      </c>
      <c r="G627" s="34">
        <v>1295.2</v>
      </c>
      <c r="H627" s="33" t="s">
        <v>68</v>
      </c>
      <c r="I627" s="33" t="s">
        <v>68</v>
      </c>
    </row>
    <row r="628" spans="1:9" x14ac:dyDescent="0.2">
      <c r="A628" s="33" t="s">
        <v>390</v>
      </c>
      <c r="B628" s="33" t="s">
        <v>231</v>
      </c>
      <c r="C628" s="33" t="s">
        <v>476</v>
      </c>
      <c r="D628" s="42">
        <v>0</v>
      </c>
      <c r="E628" s="33" t="s">
        <v>224</v>
      </c>
      <c r="F628" s="34">
        <v>1000</v>
      </c>
      <c r="G628" s="34">
        <v>1000</v>
      </c>
      <c r="H628" s="33" t="s">
        <v>68</v>
      </c>
      <c r="I628" s="33" t="s">
        <v>518</v>
      </c>
    </row>
    <row r="629" spans="1:9" x14ac:dyDescent="0.2">
      <c r="A629" s="33" t="s">
        <v>390</v>
      </c>
      <c r="B629" s="33" t="s">
        <v>231</v>
      </c>
      <c r="C629" s="33" t="s">
        <v>951</v>
      </c>
      <c r="D629" s="42">
        <v>0</v>
      </c>
      <c r="E629" s="33" t="s">
        <v>224</v>
      </c>
      <c r="F629" s="34">
        <v>10</v>
      </c>
      <c r="G629" s="34">
        <v>10</v>
      </c>
      <c r="H629" s="33" t="s">
        <v>68</v>
      </c>
      <c r="I629" s="33" t="s">
        <v>68</v>
      </c>
    </row>
    <row r="630" spans="1:9" x14ac:dyDescent="0.2">
      <c r="A630" s="33" t="s">
        <v>390</v>
      </c>
      <c r="B630" s="33" t="s">
        <v>231</v>
      </c>
      <c r="C630" s="33" t="s">
        <v>952</v>
      </c>
      <c r="D630" s="42">
        <v>0</v>
      </c>
      <c r="E630" s="33" t="s">
        <v>224</v>
      </c>
      <c r="F630" s="34">
        <v>500</v>
      </c>
      <c r="G630" s="34">
        <v>500</v>
      </c>
      <c r="H630" s="33" t="s">
        <v>68</v>
      </c>
      <c r="I630" s="33" t="s">
        <v>68</v>
      </c>
    </row>
    <row r="631" spans="1:9" x14ac:dyDescent="0.2">
      <c r="A631" s="33" t="s">
        <v>390</v>
      </c>
      <c r="B631" s="33" t="s">
        <v>231</v>
      </c>
      <c r="C631" s="33" t="s">
        <v>953</v>
      </c>
      <c r="D631" s="42">
        <v>0</v>
      </c>
      <c r="E631" s="33" t="s">
        <v>224</v>
      </c>
      <c r="F631" s="34">
        <v>20</v>
      </c>
      <c r="G631" s="34">
        <v>20</v>
      </c>
      <c r="H631" s="33" t="s">
        <v>68</v>
      </c>
      <c r="I631" s="33" t="s">
        <v>68</v>
      </c>
    </row>
    <row r="632" spans="1:9" x14ac:dyDescent="0.2">
      <c r="A632" s="33" t="s">
        <v>390</v>
      </c>
      <c r="B632" s="33" t="s">
        <v>231</v>
      </c>
      <c r="C632" s="33" t="s">
        <v>954</v>
      </c>
      <c r="D632" s="42">
        <v>0</v>
      </c>
      <c r="E632" s="33" t="s">
        <v>224</v>
      </c>
      <c r="F632" s="34">
        <v>350</v>
      </c>
      <c r="G632" s="34">
        <v>350</v>
      </c>
      <c r="H632" s="33" t="s">
        <v>68</v>
      </c>
      <c r="I632" s="33" t="s">
        <v>68</v>
      </c>
    </row>
    <row r="633" spans="1:9" x14ac:dyDescent="0.2">
      <c r="A633" s="33" t="s">
        <v>390</v>
      </c>
      <c r="B633" s="33" t="s">
        <v>231</v>
      </c>
      <c r="C633" s="33" t="s">
        <v>955</v>
      </c>
      <c r="D633" s="42">
        <v>0</v>
      </c>
      <c r="E633" s="33" t="s">
        <v>224</v>
      </c>
      <c r="F633" s="34">
        <v>350</v>
      </c>
      <c r="G633" s="34">
        <v>350</v>
      </c>
      <c r="H633" s="33" t="s">
        <v>68</v>
      </c>
      <c r="I633" s="33" t="s">
        <v>68</v>
      </c>
    </row>
    <row r="634" spans="1:9" x14ac:dyDescent="0.2">
      <c r="A634" s="33" t="s">
        <v>390</v>
      </c>
      <c r="B634" s="33" t="s">
        <v>231</v>
      </c>
      <c r="C634" s="33" t="s">
        <v>956</v>
      </c>
      <c r="D634" s="42">
        <v>1.1368683772161603E-13</v>
      </c>
      <c r="E634" s="33" t="s">
        <v>224</v>
      </c>
      <c r="F634" s="34">
        <v>910</v>
      </c>
      <c r="G634" s="34">
        <v>909.99999999999989</v>
      </c>
      <c r="H634" s="33" t="s">
        <v>68</v>
      </c>
      <c r="I634" s="33" t="s">
        <v>68</v>
      </c>
    </row>
    <row r="635" spans="1:9" x14ac:dyDescent="0.2">
      <c r="A635" s="33" t="s">
        <v>283</v>
      </c>
      <c r="B635" s="33" t="s">
        <v>232</v>
      </c>
      <c r="C635" s="33" t="s">
        <v>957</v>
      </c>
      <c r="D635" s="42">
        <v>0</v>
      </c>
      <c r="E635" s="33" t="s">
        <v>224</v>
      </c>
      <c r="F635" s="34">
        <v>184.1</v>
      </c>
      <c r="G635" s="34">
        <v>184.1</v>
      </c>
      <c r="H635" s="33" t="s">
        <v>68</v>
      </c>
      <c r="I635" s="33" t="s">
        <v>68</v>
      </c>
    </row>
    <row r="636" spans="1:9" x14ac:dyDescent="0.2">
      <c r="A636" s="33" t="s">
        <v>283</v>
      </c>
      <c r="B636" s="33" t="s">
        <v>232</v>
      </c>
      <c r="C636" s="33" t="s">
        <v>958</v>
      </c>
      <c r="D636" s="42">
        <v>0</v>
      </c>
      <c r="E636" s="33" t="s">
        <v>224</v>
      </c>
      <c r="F636" s="34">
        <v>110</v>
      </c>
      <c r="G636" s="34">
        <v>110</v>
      </c>
      <c r="H636" s="33" t="s">
        <v>68</v>
      </c>
      <c r="I636" s="33" t="s">
        <v>68</v>
      </c>
    </row>
    <row r="637" spans="1:9" x14ac:dyDescent="0.2">
      <c r="A637" s="33" t="s">
        <v>283</v>
      </c>
      <c r="B637" s="33" t="s">
        <v>232</v>
      </c>
      <c r="C637" s="33" t="s">
        <v>429</v>
      </c>
      <c r="D637" s="42">
        <v>0</v>
      </c>
      <c r="E637" s="33" t="s">
        <v>224</v>
      </c>
      <c r="F637" s="34">
        <v>96.9</v>
      </c>
      <c r="G637" s="34">
        <v>96.9</v>
      </c>
      <c r="H637" s="33" t="s">
        <v>68</v>
      </c>
      <c r="I637" s="33" t="s">
        <v>68</v>
      </c>
    </row>
    <row r="638" spans="1:9" x14ac:dyDescent="0.2">
      <c r="A638" s="33" t="s">
        <v>283</v>
      </c>
      <c r="B638" s="33" t="s">
        <v>232</v>
      </c>
      <c r="C638" s="33" t="s">
        <v>959</v>
      </c>
      <c r="D638" s="42">
        <v>0</v>
      </c>
      <c r="E638" s="33" t="s">
        <v>224</v>
      </c>
      <c r="F638" s="34">
        <v>268</v>
      </c>
      <c r="G638" s="34">
        <v>268</v>
      </c>
      <c r="H638" s="33" t="s">
        <v>68</v>
      </c>
      <c r="I638" s="33" t="s">
        <v>518</v>
      </c>
    </row>
    <row r="639" spans="1:9" x14ac:dyDescent="0.2">
      <c r="A639" s="33" t="s">
        <v>283</v>
      </c>
      <c r="B639" s="33" t="s">
        <v>232</v>
      </c>
      <c r="C639" s="33" t="s">
        <v>960</v>
      </c>
      <c r="D639" s="42">
        <v>-1.4210854715202004E-14</v>
      </c>
      <c r="E639" s="33" t="s">
        <v>224</v>
      </c>
      <c r="F639" s="34">
        <v>126</v>
      </c>
      <c r="G639" s="34">
        <v>126.00000000000001</v>
      </c>
      <c r="H639" s="33" t="s">
        <v>68</v>
      </c>
      <c r="I639" s="33" t="s">
        <v>518</v>
      </c>
    </row>
    <row r="640" spans="1:9" x14ac:dyDescent="0.2">
      <c r="A640" s="33" t="s">
        <v>283</v>
      </c>
      <c r="B640" s="33" t="s">
        <v>232</v>
      </c>
      <c r="C640" s="33" t="s">
        <v>961</v>
      </c>
      <c r="D640" s="42">
        <v>0</v>
      </c>
      <c r="E640" s="33" t="s">
        <v>224</v>
      </c>
      <c r="F640" s="34">
        <v>300</v>
      </c>
      <c r="G640" s="34">
        <v>300</v>
      </c>
      <c r="H640" s="33" t="s">
        <v>68</v>
      </c>
      <c r="I640" s="33" t="s">
        <v>68</v>
      </c>
    </row>
    <row r="641" spans="1:9" x14ac:dyDescent="0.2">
      <c r="A641" s="33" t="s">
        <v>283</v>
      </c>
      <c r="B641" s="33" t="s">
        <v>232</v>
      </c>
      <c r="C641" s="33" t="s">
        <v>962</v>
      </c>
      <c r="D641" s="42">
        <v>0</v>
      </c>
      <c r="E641" s="33" t="s">
        <v>224</v>
      </c>
      <c r="F641" s="34">
        <v>192</v>
      </c>
      <c r="G641" s="34">
        <v>192</v>
      </c>
      <c r="H641" s="33" t="s">
        <v>68</v>
      </c>
      <c r="I641" s="33" t="s">
        <v>518</v>
      </c>
    </row>
    <row r="642" spans="1:9" x14ac:dyDescent="0.2">
      <c r="A642" s="33" t="s">
        <v>283</v>
      </c>
      <c r="B642" s="33" t="s">
        <v>232</v>
      </c>
      <c r="C642" s="33" t="s">
        <v>963</v>
      </c>
      <c r="D642" s="42">
        <v>0</v>
      </c>
      <c r="E642" s="33" t="s">
        <v>224</v>
      </c>
      <c r="F642" s="34">
        <v>147.41999999999999</v>
      </c>
      <c r="G642" s="34">
        <v>147.41999999999999</v>
      </c>
      <c r="H642" s="33" t="s">
        <v>68</v>
      </c>
      <c r="I642" s="33" t="s">
        <v>964</v>
      </c>
    </row>
    <row r="643" spans="1:9" x14ac:dyDescent="0.2">
      <c r="A643" s="33" t="s">
        <v>283</v>
      </c>
      <c r="B643" s="33" t="s">
        <v>232</v>
      </c>
      <c r="C643" s="33" t="s">
        <v>965</v>
      </c>
      <c r="D643" s="42">
        <v>0</v>
      </c>
      <c r="E643" s="33" t="s">
        <v>224</v>
      </c>
      <c r="F643" s="34">
        <v>22.6</v>
      </c>
      <c r="G643" s="34">
        <v>22.6</v>
      </c>
      <c r="H643" s="33" t="s">
        <v>966</v>
      </c>
      <c r="I643" s="33" t="s">
        <v>964</v>
      </c>
    </row>
    <row r="644" spans="1:9" x14ac:dyDescent="0.2">
      <c r="A644" s="33" t="s">
        <v>283</v>
      </c>
      <c r="B644" s="33" t="s">
        <v>232</v>
      </c>
      <c r="C644" s="33" t="s">
        <v>967</v>
      </c>
      <c r="D644" s="42">
        <v>0</v>
      </c>
      <c r="E644" s="33" t="s">
        <v>224</v>
      </c>
      <c r="F644" s="34">
        <v>227</v>
      </c>
      <c r="G644" s="34">
        <v>227</v>
      </c>
      <c r="H644" s="33" t="s">
        <v>968</v>
      </c>
      <c r="I644" s="33" t="s">
        <v>964</v>
      </c>
    </row>
    <row r="645" spans="1:9" x14ac:dyDescent="0.2">
      <c r="A645" s="33" t="s">
        <v>283</v>
      </c>
      <c r="B645" s="33" t="s">
        <v>232</v>
      </c>
      <c r="C645" s="33" t="s">
        <v>969</v>
      </c>
      <c r="D645" s="42">
        <v>0</v>
      </c>
      <c r="E645" s="33" t="s">
        <v>224</v>
      </c>
      <c r="F645" s="34">
        <v>270.3</v>
      </c>
      <c r="G645" s="34">
        <v>270.3</v>
      </c>
      <c r="H645" s="33" t="s">
        <v>68</v>
      </c>
      <c r="I645" s="33" t="s">
        <v>970</v>
      </c>
    </row>
    <row r="646" spans="1:9" x14ac:dyDescent="0.2">
      <c r="A646" s="33" t="s">
        <v>283</v>
      </c>
      <c r="B646" s="33" t="s">
        <v>232</v>
      </c>
      <c r="C646" s="33" t="s">
        <v>971</v>
      </c>
      <c r="D646" s="42">
        <v>7.1054273576010019E-15</v>
      </c>
      <c r="E646" s="33" t="s">
        <v>224</v>
      </c>
      <c r="F646" s="34">
        <v>39.200000000000003</v>
      </c>
      <c r="G646" s="34">
        <v>39.199999999999996</v>
      </c>
      <c r="H646" s="33" t="s">
        <v>68</v>
      </c>
      <c r="I646" s="33" t="s">
        <v>68</v>
      </c>
    </row>
    <row r="647" spans="1:9" x14ac:dyDescent="0.2">
      <c r="A647" s="33" t="s">
        <v>283</v>
      </c>
      <c r="B647" s="33" t="s">
        <v>232</v>
      </c>
      <c r="C647" s="33" t="s">
        <v>972</v>
      </c>
      <c r="D647" s="42">
        <v>0</v>
      </c>
      <c r="E647" s="33" t="s">
        <v>224</v>
      </c>
      <c r="F647" s="34">
        <v>1.5</v>
      </c>
      <c r="G647" s="34">
        <v>1.5</v>
      </c>
      <c r="H647" s="33" t="s">
        <v>973</v>
      </c>
      <c r="I647" s="33" t="s">
        <v>974</v>
      </c>
    </row>
    <row r="648" spans="1:9" x14ac:dyDescent="0.2">
      <c r="A648" s="33" t="s">
        <v>283</v>
      </c>
      <c r="B648" s="33" t="s">
        <v>232</v>
      </c>
      <c r="C648" s="33" t="s">
        <v>975</v>
      </c>
      <c r="D648" s="42">
        <v>0</v>
      </c>
      <c r="E648" s="33" t="s">
        <v>224</v>
      </c>
      <c r="F648" s="34">
        <v>84</v>
      </c>
      <c r="G648" s="34">
        <v>84</v>
      </c>
      <c r="H648" s="33" t="s">
        <v>68</v>
      </c>
      <c r="I648" s="33" t="s">
        <v>68</v>
      </c>
    </row>
    <row r="649" spans="1:9" x14ac:dyDescent="0.2">
      <c r="A649" s="33" t="s">
        <v>283</v>
      </c>
      <c r="B649" s="33" t="s">
        <v>232</v>
      </c>
      <c r="C649" s="33" t="s">
        <v>467</v>
      </c>
      <c r="D649" s="42">
        <v>0</v>
      </c>
      <c r="E649" s="33" t="s">
        <v>224</v>
      </c>
      <c r="F649" s="34">
        <v>275.8</v>
      </c>
      <c r="G649" s="34">
        <v>275.8</v>
      </c>
      <c r="H649" s="33" t="s">
        <v>68</v>
      </c>
      <c r="I649" s="33" t="s">
        <v>68</v>
      </c>
    </row>
    <row r="650" spans="1:9" x14ac:dyDescent="0.2">
      <c r="A650" s="33" t="s">
        <v>283</v>
      </c>
      <c r="B650" s="33" t="s">
        <v>232</v>
      </c>
      <c r="C650" s="33" t="s">
        <v>488</v>
      </c>
      <c r="D650" s="42">
        <v>-2.8421709430404007E-14</v>
      </c>
      <c r="E650" s="33" t="s">
        <v>224</v>
      </c>
      <c r="F650" s="34">
        <v>214.5</v>
      </c>
      <c r="G650" s="34">
        <v>214.50000000000003</v>
      </c>
      <c r="H650" s="33" t="s">
        <v>68</v>
      </c>
      <c r="I650" s="33" t="s">
        <v>68</v>
      </c>
    </row>
    <row r="651" spans="1:9" x14ac:dyDescent="0.2">
      <c r="A651" s="33" t="s">
        <v>283</v>
      </c>
      <c r="B651" s="33" t="s">
        <v>232</v>
      </c>
      <c r="C651" s="33" t="s">
        <v>559</v>
      </c>
      <c r="D651" s="42">
        <v>0</v>
      </c>
      <c r="E651" s="33" t="s">
        <v>224</v>
      </c>
      <c r="F651" s="34">
        <v>30.5</v>
      </c>
      <c r="G651" s="34">
        <v>30.5</v>
      </c>
      <c r="H651" s="33" t="s">
        <v>68</v>
      </c>
      <c r="I651" s="33" t="s">
        <v>68</v>
      </c>
    </row>
    <row r="652" spans="1:9" x14ac:dyDescent="0.2">
      <c r="A652" s="33" t="s">
        <v>283</v>
      </c>
      <c r="B652" s="33" t="s">
        <v>232</v>
      </c>
      <c r="C652" s="33" t="s">
        <v>528</v>
      </c>
      <c r="D652" s="42">
        <v>0</v>
      </c>
      <c r="E652" s="33" t="s">
        <v>224</v>
      </c>
      <c r="F652" s="34">
        <v>15.4</v>
      </c>
      <c r="G652" s="34">
        <v>15.4</v>
      </c>
      <c r="H652" s="33" t="s">
        <v>68</v>
      </c>
      <c r="I652" s="33" t="s">
        <v>68</v>
      </c>
    </row>
    <row r="653" spans="1:9" x14ac:dyDescent="0.2">
      <c r="A653" s="33" t="s">
        <v>283</v>
      </c>
      <c r="B653" s="33" t="s">
        <v>232</v>
      </c>
      <c r="C653" s="33" t="s">
        <v>515</v>
      </c>
      <c r="D653" s="42">
        <v>0</v>
      </c>
      <c r="E653" s="33" t="s">
        <v>224</v>
      </c>
      <c r="F653" s="34">
        <v>15.4</v>
      </c>
      <c r="G653" s="34">
        <v>15.4</v>
      </c>
      <c r="H653" s="33" t="s">
        <v>68</v>
      </c>
      <c r="I653" s="33" t="s">
        <v>68</v>
      </c>
    </row>
    <row r="654" spans="1:9" x14ac:dyDescent="0.2">
      <c r="A654" s="33" t="s">
        <v>283</v>
      </c>
      <c r="B654" s="33" t="s">
        <v>232</v>
      </c>
      <c r="C654" s="33" t="s">
        <v>872</v>
      </c>
      <c r="D654" s="42">
        <v>0</v>
      </c>
      <c r="E654" s="33" t="s">
        <v>224</v>
      </c>
      <c r="F654" s="34">
        <v>42</v>
      </c>
      <c r="G654" s="34">
        <v>42</v>
      </c>
      <c r="H654" s="33" t="s">
        <v>68</v>
      </c>
      <c r="I654" s="33" t="s">
        <v>68</v>
      </c>
    </row>
    <row r="655" spans="1:9" x14ac:dyDescent="0.2">
      <c r="A655" s="33" t="s">
        <v>283</v>
      </c>
      <c r="B655" s="33" t="s">
        <v>232</v>
      </c>
      <c r="C655" s="33" t="s">
        <v>976</v>
      </c>
      <c r="D655" s="42">
        <v>0</v>
      </c>
      <c r="E655" s="33" t="s">
        <v>224</v>
      </c>
      <c r="F655" s="34">
        <v>28</v>
      </c>
      <c r="G655" s="34">
        <v>28</v>
      </c>
      <c r="H655" s="33" t="s">
        <v>977</v>
      </c>
      <c r="I655" s="33" t="s">
        <v>68</v>
      </c>
    </row>
    <row r="656" spans="1:9" x14ac:dyDescent="0.2">
      <c r="A656" s="33" t="s">
        <v>283</v>
      </c>
      <c r="B656" s="33" t="s">
        <v>232</v>
      </c>
      <c r="C656" s="33" t="s">
        <v>541</v>
      </c>
      <c r="D656" s="42">
        <v>18.3</v>
      </c>
      <c r="E656" s="33" t="s">
        <v>224</v>
      </c>
      <c r="F656" s="34">
        <v>20.3</v>
      </c>
      <c r="G656" s="34">
        <v>2</v>
      </c>
      <c r="H656" s="33" t="s">
        <v>68</v>
      </c>
      <c r="I656" s="33" t="s">
        <v>68</v>
      </c>
    </row>
    <row r="657" spans="1:9" x14ac:dyDescent="0.2">
      <c r="A657" s="33" t="s">
        <v>414</v>
      </c>
      <c r="B657" s="33" t="s">
        <v>415</v>
      </c>
      <c r="C657" s="33" t="s">
        <v>978</v>
      </c>
      <c r="D657" s="42">
        <v>0</v>
      </c>
      <c r="E657" s="33" t="s">
        <v>224</v>
      </c>
      <c r="F657" s="34">
        <v>32</v>
      </c>
      <c r="G657" s="34">
        <v>32</v>
      </c>
      <c r="H657" s="33" t="s">
        <v>68</v>
      </c>
      <c r="I657" s="33" t="s">
        <v>68</v>
      </c>
    </row>
    <row r="658" spans="1:9" x14ac:dyDescent="0.2">
      <c r="A658" s="33" t="s">
        <v>979</v>
      </c>
      <c r="B658" s="33" t="s">
        <v>980</v>
      </c>
      <c r="C658" s="33" t="s">
        <v>581</v>
      </c>
      <c r="D658" s="42">
        <v>0</v>
      </c>
      <c r="E658" s="33" t="s">
        <v>224</v>
      </c>
      <c r="F658" s="34">
        <v>10.4</v>
      </c>
      <c r="G658" s="34">
        <v>10.4</v>
      </c>
      <c r="H658" s="33" t="s">
        <v>68</v>
      </c>
      <c r="I658" s="33" t="s">
        <v>68</v>
      </c>
    </row>
    <row r="659" spans="1:9" x14ac:dyDescent="0.2">
      <c r="A659" s="33" t="s">
        <v>284</v>
      </c>
      <c r="B659" s="33" t="s">
        <v>233</v>
      </c>
      <c r="C659" s="33" t="s">
        <v>981</v>
      </c>
      <c r="D659" s="42">
        <v>0</v>
      </c>
      <c r="E659" s="33" t="s">
        <v>224</v>
      </c>
      <c r="F659" s="34">
        <v>125</v>
      </c>
      <c r="G659" s="34">
        <v>125</v>
      </c>
      <c r="H659" s="33" t="s">
        <v>68</v>
      </c>
      <c r="I659" s="33" t="s">
        <v>68</v>
      </c>
    </row>
    <row r="660" spans="1:9" x14ac:dyDescent="0.2">
      <c r="A660" s="33" t="s">
        <v>284</v>
      </c>
      <c r="B660" s="33" t="s">
        <v>233</v>
      </c>
      <c r="C660" s="33" t="s">
        <v>982</v>
      </c>
      <c r="D660" s="42">
        <v>0</v>
      </c>
      <c r="E660" s="33" t="s">
        <v>224</v>
      </c>
      <c r="F660" s="34">
        <v>50</v>
      </c>
      <c r="G660" s="34">
        <v>50</v>
      </c>
      <c r="H660" s="33" t="s">
        <v>68</v>
      </c>
      <c r="I660" s="33" t="s">
        <v>68</v>
      </c>
    </row>
    <row r="661" spans="1:9" x14ac:dyDescent="0.2">
      <c r="A661" s="33" t="s">
        <v>284</v>
      </c>
      <c r="B661" s="33" t="s">
        <v>233</v>
      </c>
      <c r="C661" s="33" t="s">
        <v>983</v>
      </c>
      <c r="D661" s="42">
        <v>0</v>
      </c>
      <c r="E661" s="33" t="s">
        <v>224</v>
      </c>
      <c r="F661" s="34">
        <v>50</v>
      </c>
      <c r="G661" s="34">
        <v>50</v>
      </c>
      <c r="H661" s="33" t="s">
        <v>984</v>
      </c>
      <c r="I661" s="33" t="s">
        <v>68</v>
      </c>
    </row>
    <row r="662" spans="1:9" x14ac:dyDescent="0.2">
      <c r="A662" s="33" t="s">
        <v>284</v>
      </c>
      <c r="B662" s="33" t="s">
        <v>233</v>
      </c>
      <c r="C662" s="33" t="s">
        <v>985</v>
      </c>
      <c r="D662" s="42">
        <v>0</v>
      </c>
      <c r="E662" s="33" t="s">
        <v>224</v>
      </c>
      <c r="F662" s="34">
        <v>50</v>
      </c>
      <c r="G662" s="34">
        <v>50</v>
      </c>
      <c r="H662" s="33" t="s">
        <v>986</v>
      </c>
      <c r="I662" s="33" t="s">
        <v>68</v>
      </c>
    </row>
    <row r="663" spans="1:9" x14ac:dyDescent="0.2">
      <c r="A663" s="33" t="s">
        <v>284</v>
      </c>
      <c r="B663" s="33" t="s">
        <v>233</v>
      </c>
      <c r="C663" s="33" t="s">
        <v>987</v>
      </c>
      <c r="D663" s="42">
        <v>0</v>
      </c>
      <c r="E663" s="33" t="s">
        <v>224</v>
      </c>
      <c r="F663" s="34">
        <v>50</v>
      </c>
      <c r="G663" s="34">
        <v>50</v>
      </c>
      <c r="H663" s="33" t="s">
        <v>988</v>
      </c>
      <c r="I663" s="33" t="s">
        <v>68</v>
      </c>
    </row>
    <row r="664" spans="1:9" x14ac:dyDescent="0.2">
      <c r="A664" s="33" t="s">
        <v>284</v>
      </c>
      <c r="B664" s="33" t="s">
        <v>233</v>
      </c>
      <c r="C664" s="33" t="s">
        <v>989</v>
      </c>
      <c r="D664" s="42">
        <v>3.5999999999999943</v>
      </c>
      <c r="E664" s="33" t="s">
        <v>224</v>
      </c>
      <c r="F664" s="34">
        <v>100</v>
      </c>
      <c r="G664" s="34">
        <v>96.4</v>
      </c>
      <c r="H664" s="33" t="s">
        <v>990</v>
      </c>
      <c r="I664" s="33" t="s">
        <v>68</v>
      </c>
    </row>
    <row r="665" spans="1:9" x14ac:dyDescent="0.2">
      <c r="A665" s="33" t="s">
        <v>991</v>
      </c>
      <c r="B665" s="33" t="s">
        <v>992</v>
      </c>
      <c r="C665" s="33" t="s">
        <v>993</v>
      </c>
      <c r="D665" s="42">
        <v>0</v>
      </c>
      <c r="E665" s="33" t="s">
        <v>224</v>
      </c>
      <c r="F665" s="34">
        <v>40</v>
      </c>
      <c r="G665" s="34">
        <v>40</v>
      </c>
      <c r="H665" s="33" t="s">
        <v>68</v>
      </c>
      <c r="I665" s="33" t="s">
        <v>526</v>
      </c>
    </row>
    <row r="666" spans="1:9" x14ac:dyDescent="0.2">
      <c r="A666" s="33" t="s">
        <v>994</v>
      </c>
      <c r="B666" s="33" t="s">
        <v>995</v>
      </c>
      <c r="C666" s="33" t="s">
        <v>582</v>
      </c>
      <c r="D666" s="42">
        <v>0</v>
      </c>
      <c r="E666" s="33" t="s">
        <v>224</v>
      </c>
      <c r="F666" s="34">
        <v>7</v>
      </c>
      <c r="G666" s="34">
        <v>7</v>
      </c>
      <c r="H666" s="33" t="s">
        <v>68</v>
      </c>
      <c r="I666" s="33" t="s">
        <v>526</v>
      </c>
    </row>
    <row r="667" spans="1:9" x14ac:dyDescent="0.2">
      <c r="A667" s="33" t="s">
        <v>996</v>
      </c>
      <c r="B667" s="33" t="s">
        <v>997</v>
      </c>
      <c r="C667" s="33" t="s">
        <v>998</v>
      </c>
      <c r="D667" s="42">
        <v>0</v>
      </c>
      <c r="E667" s="33" t="s">
        <v>224</v>
      </c>
      <c r="F667" s="34">
        <v>14.4</v>
      </c>
      <c r="G667" s="34">
        <v>14.4</v>
      </c>
      <c r="H667" s="33" t="s">
        <v>68</v>
      </c>
      <c r="I667" s="33" t="s">
        <v>999</v>
      </c>
    </row>
    <row r="668" spans="1:9" x14ac:dyDescent="0.2">
      <c r="A668" s="33" t="s">
        <v>996</v>
      </c>
      <c r="B668" s="33" t="s">
        <v>997</v>
      </c>
      <c r="C668" s="33" t="s">
        <v>1000</v>
      </c>
      <c r="D668" s="42">
        <v>1.7763568394002505E-15</v>
      </c>
      <c r="E668" s="33" t="s">
        <v>224</v>
      </c>
      <c r="F668" s="34">
        <v>14.4</v>
      </c>
      <c r="G668" s="34">
        <v>14.399999999999999</v>
      </c>
      <c r="H668" s="33" t="s">
        <v>1001</v>
      </c>
      <c r="I668" s="33" t="s">
        <v>1002</v>
      </c>
    </row>
    <row r="669" spans="1:9" x14ac:dyDescent="0.2">
      <c r="A669" s="33" t="s">
        <v>1003</v>
      </c>
      <c r="B669" s="33" t="s">
        <v>1004</v>
      </c>
      <c r="C669" s="33" t="s">
        <v>1005</v>
      </c>
      <c r="D669" s="42">
        <v>0</v>
      </c>
      <c r="E669" s="33" t="s">
        <v>224</v>
      </c>
      <c r="F669" s="34">
        <v>20</v>
      </c>
      <c r="G669" s="34">
        <v>20</v>
      </c>
      <c r="H669" s="33" t="s">
        <v>68</v>
      </c>
      <c r="I669" s="33" t="s">
        <v>518</v>
      </c>
    </row>
    <row r="670" spans="1:9" x14ac:dyDescent="0.2">
      <c r="A670" s="33" t="s">
        <v>1006</v>
      </c>
      <c r="B670" s="33" t="s">
        <v>1007</v>
      </c>
      <c r="C670" s="33" t="s">
        <v>1005</v>
      </c>
      <c r="D670" s="42">
        <v>0</v>
      </c>
      <c r="E670" s="33" t="s">
        <v>224</v>
      </c>
      <c r="F670" s="34">
        <v>3</v>
      </c>
      <c r="G670" s="34">
        <v>3</v>
      </c>
      <c r="H670" s="33" t="s">
        <v>68</v>
      </c>
      <c r="I670" s="33" t="s">
        <v>68</v>
      </c>
    </row>
    <row r="671" spans="1:9" x14ac:dyDescent="0.2">
      <c r="A671" s="33" t="s">
        <v>1008</v>
      </c>
      <c r="B671" s="33" t="s">
        <v>1009</v>
      </c>
      <c r="C671" s="33" t="s">
        <v>552</v>
      </c>
      <c r="D671" s="42">
        <v>0</v>
      </c>
      <c r="E671" s="33" t="s">
        <v>239</v>
      </c>
      <c r="F671" s="34">
        <v>5.7</v>
      </c>
      <c r="G671" s="34">
        <v>5.7</v>
      </c>
      <c r="H671" s="33" t="s">
        <v>68</v>
      </c>
      <c r="I671" s="33" t="s">
        <v>68</v>
      </c>
    </row>
    <row r="672" spans="1:9" x14ac:dyDescent="0.2">
      <c r="A672" s="33" t="s">
        <v>1008</v>
      </c>
      <c r="B672" s="33" t="s">
        <v>1009</v>
      </c>
      <c r="C672" s="33" t="s">
        <v>438</v>
      </c>
      <c r="D672" s="42">
        <v>0</v>
      </c>
      <c r="E672" s="33" t="s">
        <v>239</v>
      </c>
      <c r="F672" s="34">
        <v>5</v>
      </c>
      <c r="G672" s="34">
        <v>5</v>
      </c>
      <c r="H672" s="33" t="s">
        <v>68</v>
      </c>
      <c r="I672" s="33" t="s">
        <v>68</v>
      </c>
    </row>
    <row r="673" spans="1:9" x14ac:dyDescent="0.2">
      <c r="A673" s="33" t="s">
        <v>1008</v>
      </c>
      <c r="B673" s="33" t="s">
        <v>1009</v>
      </c>
      <c r="C673" s="33" t="s">
        <v>445</v>
      </c>
      <c r="D673" s="42">
        <v>0</v>
      </c>
      <c r="E673" s="33" t="s">
        <v>239</v>
      </c>
      <c r="F673" s="34">
        <v>15.1</v>
      </c>
      <c r="G673" s="34">
        <v>15.1</v>
      </c>
      <c r="H673" s="33" t="s">
        <v>68</v>
      </c>
      <c r="I673" s="33" t="s">
        <v>1010</v>
      </c>
    </row>
    <row r="674" spans="1:9" x14ac:dyDescent="0.2">
      <c r="A674" s="33" t="s">
        <v>1011</v>
      </c>
      <c r="B674" s="33" t="s">
        <v>1012</v>
      </c>
      <c r="C674" s="33" t="s">
        <v>552</v>
      </c>
      <c r="D674" s="42">
        <v>0</v>
      </c>
      <c r="E674" s="33" t="s">
        <v>239</v>
      </c>
      <c r="F674" s="34">
        <v>10</v>
      </c>
      <c r="G674" s="34">
        <v>10</v>
      </c>
      <c r="H674" s="33" t="s">
        <v>68</v>
      </c>
      <c r="I674" s="33" t="s">
        <v>68</v>
      </c>
    </row>
    <row r="675" spans="1:9" x14ac:dyDescent="0.2">
      <c r="A675" s="33" t="s">
        <v>1011</v>
      </c>
      <c r="B675" s="33" t="s">
        <v>1012</v>
      </c>
      <c r="C675" s="33" t="s">
        <v>438</v>
      </c>
      <c r="D675" s="42">
        <v>0</v>
      </c>
      <c r="E675" s="33" t="s">
        <v>239</v>
      </c>
      <c r="F675" s="34">
        <v>6</v>
      </c>
      <c r="G675" s="34">
        <v>6</v>
      </c>
      <c r="H675" s="33" t="s">
        <v>68</v>
      </c>
      <c r="I675" s="33" t="s">
        <v>68</v>
      </c>
    </row>
    <row r="676" spans="1:9" x14ac:dyDescent="0.2">
      <c r="A676" s="33" t="s">
        <v>1011</v>
      </c>
      <c r="B676" s="33" t="s">
        <v>1012</v>
      </c>
      <c r="C676" s="33" t="s">
        <v>445</v>
      </c>
      <c r="D676" s="42">
        <v>0</v>
      </c>
      <c r="E676" s="33" t="s">
        <v>239</v>
      </c>
      <c r="F676" s="34">
        <v>20.5</v>
      </c>
      <c r="G676" s="34">
        <v>20.5</v>
      </c>
      <c r="H676" s="33" t="s">
        <v>68</v>
      </c>
      <c r="I676" s="33" t="s">
        <v>68</v>
      </c>
    </row>
    <row r="677" spans="1:9" x14ac:dyDescent="0.2">
      <c r="A677" s="33" t="s">
        <v>1011</v>
      </c>
      <c r="B677" s="33" t="s">
        <v>1012</v>
      </c>
      <c r="C677" s="33" t="s">
        <v>581</v>
      </c>
      <c r="D677" s="42">
        <v>0</v>
      </c>
      <c r="E677" s="33" t="s">
        <v>239</v>
      </c>
      <c r="F677" s="34">
        <v>6.7</v>
      </c>
      <c r="G677" s="34">
        <v>6.7</v>
      </c>
      <c r="H677" s="33" t="s">
        <v>68</v>
      </c>
      <c r="I677" s="33" t="s">
        <v>68</v>
      </c>
    </row>
    <row r="678" spans="1:9" x14ac:dyDescent="0.2">
      <c r="A678" s="33" t="s">
        <v>1013</v>
      </c>
      <c r="B678" s="33" t="s">
        <v>1014</v>
      </c>
      <c r="C678" s="33" t="s">
        <v>552</v>
      </c>
      <c r="D678" s="42">
        <v>0</v>
      </c>
      <c r="E678" s="33" t="s">
        <v>239</v>
      </c>
      <c r="F678" s="34">
        <v>6</v>
      </c>
      <c r="G678" s="34">
        <v>6</v>
      </c>
      <c r="H678" s="33" t="s">
        <v>68</v>
      </c>
      <c r="I678" s="33" t="s">
        <v>68</v>
      </c>
    </row>
    <row r="679" spans="1:9" x14ac:dyDescent="0.2">
      <c r="A679" s="33" t="s">
        <v>1013</v>
      </c>
      <c r="B679" s="33" t="s">
        <v>1014</v>
      </c>
      <c r="C679" s="33" t="s">
        <v>438</v>
      </c>
      <c r="D679" s="42">
        <v>0</v>
      </c>
      <c r="E679" s="33" t="s">
        <v>239</v>
      </c>
      <c r="F679" s="34">
        <v>4.8</v>
      </c>
      <c r="G679" s="34">
        <v>4.8</v>
      </c>
      <c r="H679" s="33" t="s">
        <v>68</v>
      </c>
      <c r="I679" s="33" t="s">
        <v>68</v>
      </c>
    </row>
    <row r="680" spans="1:9" x14ac:dyDescent="0.2">
      <c r="A680" s="33" t="s">
        <v>1013</v>
      </c>
      <c r="B680" s="33" t="s">
        <v>1014</v>
      </c>
      <c r="C680" s="33" t="s">
        <v>1015</v>
      </c>
      <c r="D680" s="42">
        <v>1.1102230246251565E-16</v>
      </c>
      <c r="E680" s="33" t="s">
        <v>239</v>
      </c>
      <c r="F680" s="34">
        <v>0.60000000000000009</v>
      </c>
      <c r="G680" s="34">
        <v>0.6</v>
      </c>
      <c r="H680" s="33" t="s">
        <v>68</v>
      </c>
      <c r="I680" s="33" t="s">
        <v>68</v>
      </c>
    </row>
    <row r="681" spans="1:9" x14ac:dyDescent="0.2">
      <c r="A681" s="33" t="s">
        <v>1013</v>
      </c>
      <c r="B681" s="33" t="s">
        <v>1014</v>
      </c>
      <c r="C681" s="33" t="s">
        <v>445</v>
      </c>
      <c r="D681" s="42">
        <v>0</v>
      </c>
      <c r="E681" s="33" t="s">
        <v>239</v>
      </c>
      <c r="F681" s="34">
        <v>19</v>
      </c>
      <c r="G681" s="34">
        <v>19</v>
      </c>
      <c r="H681" s="33" t="s">
        <v>68</v>
      </c>
      <c r="I681" s="33" t="s">
        <v>68</v>
      </c>
    </row>
    <row r="682" spans="1:9" x14ac:dyDescent="0.2">
      <c r="A682" s="33" t="s">
        <v>1016</v>
      </c>
      <c r="B682" s="33" t="s">
        <v>1017</v>
      </c>
      <c r="C682" s="33" t="s">
        <v>552</v>
      </c>
      <c r="D682" s="42">
        <v>0</v>
      </c>
      <c r="E682" s="33" t="s">
        <v>239</v>
      </c>
      <c r="F682" s="34">
        <v>8.3000000000000007</v>
      </c>
      <c r="G682" s="34">
        <v>8.3000000000000007</v>
      </c>
      <c r="H682" s="33" t="s">
        <v>68</v>
      </c>
      <c r="I682" s="33" t="s">
        <v>526</v>
      </c>
    </row>
    <row r="683" spans="1:9" x14ac:dyDescent="0.2">
      <c r="A683" s="33" t="s">
        <v>1016</v>
      </c>
      <c r="B683" s="33" t="s">
        <v>1017</v>
      </c>
      <c r="C683" s="33" t="s">
        <v>1018</v>
      </c>
      <c r="D683" s="42">
        <v>0</v>
      </c>
      <c r="E683" s="33" t="s">
        <v>239</v>
      </c>
      <c r="F683" s="34">
        <v>5</v>
      </c>
      <c r="G683" s="34">
        <v>5</v>
      </c>
      <c r="H683" s="33" t="s">
        <v>68</v>
      </c>
      <c r="I683" s="33" t="s">
        <v>68</v>
      </c>
    </row>
    <row r="684" spans="1:9" x14ac:dyDescent="0.2">
      <c r="A684" s="33" t="s">
        <v>1016</v>
      </c>
      <c r="B684" s="33" t="s">
        <v>1017</v>
      </c>
      <c r="C684" s="33" t="s">
        <v>445</v>
      </c>
      <c r="D684" s="42">
        <v>0</v>
      </c>
      <c r="E684" s="33" t="s">
        <v>239</v>
      </c>
      <c r="F684" s="34">
        <v>10.5</v>
      </c>
      <c r="G684" s="34">
        <v>10.5</v>
      </c>
      <c r="H684" s="33" t="s">
        <v>68</v>
      </c>
      <c r="I684" s="33" t="s">
        <v>1019</v>
      </c>
    </row>
    <row r="685" spans="1:9" x14ac:dyDescent="0.2">
      <c r="A685" s="33" t="s">
        <v>1020</v>
      </c>
      <c r="B685" s="33" t="s">
        <v>1021</v>
      </c>
      <c r="C685" s="33" t="s">
        <v>552</v>
      </c>
      <c r="D685" s="42">
        <v>0</v>
      </c>
      <c r="E685" s="33" t="s">
        <v>239</v>
      </c>
      <c r="F685" s="34">
        <v>6</v>
      </c>
      <c r="G685" s="34">
        <v>6</v>
      </c>
      <c r="H685" s="33" t="s">
        <v>68</v>
      </c>
      <c r="I685" s="33" t="s">
        <v>68</v>
      </c>
    </row>
    <row r="686" spans="1:9" x14ac:dyDescent="0.2">
      <c r="A686" s="33" t="s">
        <v>1020</v>
      </c>
      <c r="B686" s="33" t="s">
        <v>1021</v>
      </c>
      <c r="C686" s="33" t="s">
        <v>438</v>
      </c>
      <c r="D686" s="42">
        <v>0</v>
      </c>
      <c r="E686" s="33" t="s">
        <v>239</v>
      </c>
      <c r="F686" s="34">
        <v>7</v>
      </c>
      <c r="G686" s="34">
        <v>7</v>
      </c>
      <c r="H686" s="33" t="s">
        <v>68</v>
      </c>
      <c r="I686" s="33" t="s">
        <v>68</v>
      </c>
    </row>
    <row r="687" spans="1:9" x14ac:dyDescent="0.2">
      <c r="A687" s="33" t="s">
        <v>1020</v>
      </c>
      <c r="B687" s="33" t="s">
        <v>1021</v>
      </c>
      <c r="C687" s="33" t="s">
        <v>445</v>
      </c>
      <c r="D687" s="42">
        <v>0</v>
      </c>
      <c r="E687" s="33" t="s">
        <v>239</v>
      </c>
      <c r="F687" s="34">
        <v>10.4</v>
      </c>
      <c r="G687" s="34">
        <v>10.4</v>
      </c>
      <c r="H687" s="33" t="s">
        <v>68</v>
      </c>
      <c r="I687" s="33" t="s">
        <v>68</v>
      </c>
    </row>
    <row r="688" spans="1:9" x14ac:dyDescent="0.2">
      <c r="A688" s="33" t="s">
        <v>1022</v>
      </c>
      <c r="B688" s="33" t="s">
        <v>1023</v>
      </c>
      <c r="C688" s="33" t="s">
        <v>1024</v>
      </c>
      <c r="D688" s="42">
        <v>-8.8817841970012523E-16</v>
      </c>
      <c r="E688" s="33" t="s">
        <v>239</v>
      </c>
      <c r="F688" s="34">
        <v>6</v>
      </c>
      <c r="G688" s="34">
        <v>6.0000000000000009</v>
      </c>
      <c r="H688" s="33" t="s">
        <v>1025</v>
      </c>
      <c r="I688" s="33" t="s">
        <v>1026</v>
      </c>
    </row>
    <row r="689" spans="1:9" x14ac:dyDescent="0.2">
      <c r="A689" s="33" t="s">
        <v>1027</v>
      </c>
      <c r="B689" s="33" t="s">
        <v>1028</v>
      </c>
      <c r="C689" s="33" t="s">
        <v>1029</v>
      </c>
      <c r="D689" s="42">
        <v>0</v>
      </c>
      <c r="E689" s="33" t="s">
        <v>239</v>
      </c>
      <c r="F689" s="34">
        <v>28</v>
      </c>
      <c r="G689" s="34">
        <v>28</v>
      </c>
      <c r="H689" s="33" t="s">
        <v>68</v>
      </c>
      <c r="I689" s="33" t="s">
        <v>1030</v>
      </c>
    </row>
    <row r="690" spans="1:9" x14ac:dyDescent="0.2">
      <c r="A690" s="33" t="s">
        <v>1031</v>
      </c>
      <c r="B690" s="33" t="s">
        <v>1032</v>
      </c>
      <c r="C690" s="33" t="s">
        <v>1033</v>
      </c>
      <c r="D690" s="42">
        <v>1.7763568394002505E-15</v>
      </c>
      <c r="E690" s="33" t="s">
        <v>239</v>
      </c>
      <c r="F690" s="34">
        <v>11.9</v>
      </c>
      <c r="G690" s="34">
        <v>11.899999999999999</v>
      </c>
      <c r="H690" s="33" t="s">
        <v>68</v>
      </c>
      <c r="I690" s="33" t="s">
        <v>1034</v>
      </c>
    </row>
    <row r="691" spans="1:9" x14ac:dyDescent="0.2">
      <c r="A691" s="33" t="s">
        <v>1031</v>
      </c>
      <c r="B691" s="33" t="s">
        <v>1032</v>
      </c>
      <c r="C691" s="33" t="s">
        <v>1035</v>
      </c>
      <c r="D691" s="42">
        <v>0</v>
      </c>
      <c r="E691" s="33" t="s">
        <v>239</v>
      </c>
      <c r="F691" s="34">
        <v>27</v>
      </c>
      <c r="G691" s="34">
        <v>27</v>
      </c>
      <c r="H691" s="33" t="s">
        <v>811</v>
      </c>
      <c r="I691" s="33" t="s">
        <v>1036</v>
      </c>
    </row>
    <row r="692" spans="1:9" x14ac:dyDescent="0.2">
      <c r="A692" s="33" t="s">
        <v>1037</v>
      </c>
      <c r="B692" s="33" t="s">
        <v>1038</v>
      </c>
      <c r="C692" s="33" t="s">
        <v>1039</v>
      </c>
      <c r="D692" s="42">
        <v>0</v>
      </c>
      <c r="E692" s="33" t="s">
        <v>239</v>
      </c>
      <c r="F692" s="34">
        <v>1</v>
      </c>
      <c r="G692" s="34">
        <v>1</v>
      </c>
      <c r="H692" s="33" t="s">
        <v>68</v>
      </c>
      <c r="I692" s="33" t="s">
        <v>1034</v>
      </c>
    </row>
    <row r="693" spans="1:9" x14ac:dyDescent="0.2">
      <c r="A693" s="33" t="s">
        <v>1037</v>
      </c>
      <c r="B693" s="33" t="s">
        <v>1038</v>
      </c>
      <c r="C693" s="33" t="s">
        <v>1040</v>
      </c>
      <c r="D693" s="42">
        <v>0</v>
      </c>
      <c r="E693" s="33" t="s">
        <v>239</v>
      </c>
      <c r="F693" s="34">
        <v>2.4</v>
      </c>
      <c r="G693" s="34">
        <v>2.4</v>
      </c>
      <c r="H693" s="33" t="s">
        <v>1041</v>
      </c>
      <c r="I693" s="33" t="s">
        <v>1036</v>
      </c>
    </row>
    <row r="694" spans="1:9" x14ac:dyDescent="0.2">
      <c r="A694" s="33" t="s">
        <v>1042</v>
      </c>
      <c r="B694" s="33" t="s">
        <v>1043</v>
      </c>
      <c r="C694" s="33" t="s">
        <v>1044</v>
      </c>
      <c r="D694" s="42">
        <v>1.7763568394002505E-15</v>
      </c>
      <c r="E694" s="33" t="s">
        <v>239</v>
      </c>
      <c r="F694" s="34">
        <v>14</v>
      </c>
      <c r="G694" s="34">
        <v>13.999999999999998</v>
      </c>
      <c r="H694" s="33" t="s">
        <v>68</v>
      </c>
      <c r="I694" s="33" t="s">
        <v>1045</v>
      </c>
    </row>
    <row r="695" spans="1:9" x14ac:dyDescent="0.2">
      <c r="A695" s="33" t="s">
        <v>1042</v>
      </c>
      <c r="B695" s="33" t="s">
        <v>1043</v>
      </c>
      <c r="C695" s="33" t="s">
        <v>1046</v>
      </c>
      <c r="D695" s="42">
        <v>0</v>
      </c>
      <c r="E695" s="33" t="s">
        <v>239</v>
      </c>
      <c r="F695" s="34">
        <v>2</v>
      </c>
      <c r="G695" s="34">
        <v>2</v>
      </c>
      <c r="H695" s="33" t="s">
        <v>68</v>
      </c>
      <c r="I695" s="33" t="s">
        <v>1045</v>
      </c>
    </row>
    <row r="696" spans="1:9" x14ac:dyDescent="0.2">
      <c r="A696" s="33" t="s">
        <v>1042</v>
      </c>
      <c r="B696" s="33" t="s">
        <v>1043</v>
      </c>
      <c r="C696" s="33" t="s">
        <v>1047</v>
      </c>
      <c r="D696" s="42">
        <v>0</v>
      </c>
      <c r="E696" s="33" t="s">
        <v>239</v>
      </c>
      <c r="F696" s="34">
        <v>6</v>
      </c>
      <c r="G696" s="34">
        <v>6</v>
      </c>
      <c r="H696" s="33" t="s">
        <v>68</v>
      </c>
      <c r="I696" s="33" t="s">
        <v>1048</v>
      </c>
    </row>
    <row r="697" spans="1:9" x14ac:dyDescent="0.2">
      <c r="A697" s="33" t="s">
        <v>1042</v>
      </c>
      <c r="B697" s="33" t="s">
        <v>1043</v>
      </c>
      <c r="C697" s="33" t="s">
        <v>1049</v>
      </c>
      <c r="D697" s="42">
        <v>0</v>
      </c>
      <c r="E697" s="33" t="s">
        <v>239</v>
      </c>
      <c r="F697" s="34">
        <v>17.5</v>
      </c>
      <c r="G697" s="34">
        <v>17.5</v>
      </c>
      <c r="H697" s="33" t="s">
        <v>68</v>
      </c>
      <c r="I697" s="33" t="s">
        <v>1048</v>
      </c>
    </row>
    <row r="698" spans="1:9" x14ac:dyDescent="0.2">
      <c r="A698" s="33" t="s">
        <v>1042</v>
      </c>
      <c r="B698" s="33" t="s">
        <v>1043</v>
      </c>
      <c r="C698" s="33" t="s">
        <v>1050</v>
      </c>
      <c r="D698" s="42">
        <v>0</v>
      </c>
      <c r="E698" s="33" t="s">
        <v>239</v>
      </c>
      <c r="F698" s="34">
        <v>10.5</v>
      </c>
      <c r="G698" s="34">
        <v>10.5</v>
      </c>
      <c r="H698" s="33" t="s">
        <v>68</v>
      </c>
      <c r="I698" s="33" t="s">
        <v>1048</v>
      </c>
    </row>
    <row r="699" spans="1:9" x14ac:dyDescent="0.2">
      <c r="A699" s="33" t="s">
        <v>1051</v>
      </c>
      <c r="B699" s="33" t="s">
        <v>1052</v>
      </c>
      <c r="C699" s="33" t="s">
        <v>1053</v>
      </c>
      <c r="D699" s="42">
        <v>0</v>
      </c>
      <c r="E699" s="33" t="s">
        <v>239</v>
      </c>
      <c r="F699" s="34">
        <v>2.2999999999999998</v>
      </c>
      <c r="G699" s="34">
        <v>2.2999999999999998</v>
      </c>
      <c r="H699" s="33" t="s">
        <v>1054</v>
      </c>
      <c r="I699" s="33" t="s">
        <v>1034</v>
      </c>
    </row>
    <row r="700" spans="1:9" x14ac:dyDescent="0.2">
      <c r="A700" s="33" t="s">
        <v>1055</v>
      </c>
      <c r="B700" s="33" t="s">
        <v>99</v>
      </c>
      <c r="C700" s="33" t="s">
        <v>1056</v>
      </c>
      <c r="D700" s="42">
        <v>0</v>
      </c>
      <c r="E700" s="33" t="s">
        <v>239</v>
      </c>
      <c r="F700" s="34">
        <v>19</v>
      </c>
      <c r="G700" s="34">
        <v>19</v>
      </c>
      <c r="H700" s="33" t="s">
        <v>1057</v>
      </c>
      <c r="I700" s="33" t="s">
        <v>1058</v>
      </c>
    </row>
    <row r="701" spans="1:9" x14ac:dyDescent="0.2">
      <c r="A701" s="33" t="s">
        <v>1055</v>
      </c>
      <c r="B701" s="33" t="s">
        <v>99</v>
      </c>
      <c r="C701" s="33" t="s">
        <v>1059</v>
      </c>
      <c r="D701" s="42">
        <v>0</v>
      </c>
      <c r="E701" s="33" t="s">
        <v>239</v>
      </c>
      <c r="F701" s="34">
        <v>9</v>
      </c>
      <c r="G701" s="34">
        <v>9</v>
      </c>
      <c r="H701" s="33" t="s">
        <v>68</v>
      </c>
      <c r="I701" s="33" t="s">
        <v>1060</v>
      </c>
    </row>
    <row r="702" spans="1:9" x14ac:dyDescent="0.2">
      <c r="A702" s="33" t="s">
        <v>1061</v>
      </c>
      <c r="B702" s="33" t="s">
        <v>100</v>
      </c>
      <c r="C702" s="33" t="s">
        <v>1062</v>
      </c>
      <c r="D702" s="42">
        <v>-3.5527136788005009E-15</v>
      </c>
      <c r="E702" s="33" t="s">
        <v>239</v>
      </c>
      <c r="F702" s="34">
        <v>25</v>
      </c>
      <c r="G702" s="34">
        <v>25.000000000000004</v>
      </c>
      <c r="H702" s="33" t="s">
        <v>68</v>
      </c>
      <c r="I702" s="33" t="s">
        <v>68</v>
      </c>
    </row>
    <row r="703" spans="1:9" x14ac:dyDescent="0.2">
      <c r="A703" s="33" t="s">
        <v>1061</v>
      </c>
      <c r="B703" s="33" t="s">
        <v>100</v>
      </c>
      <c r="C703" s="33" t="s">
        <v>1063</v>
      </c>
      <c r="D703" s="42">
        <v>0</v>
      </c>
      <c r="E703" s="33" t="s">
        <v>239</v>
      </c>
      <c r="F703" s="34">
        <v>50</v>
      </c>
      <c r="G703" s="34">
        <v>50</v>
      </c>
      <c r="H703" s="33" t="s">
        <v>1064</v>
      </c>
      <c r="I703" s="33" t="s">
        <v>68</v>
      </c>
    </row>
    <row r="704" spans="1:9" x14ac:dyDescent="0.2">
      <c r="A704" s="33" t="s">
        <v>1065</v>
      </c>
      <c r="B704" s="33" t="s">
        <v>101</v>
      </c>
      <c r="C704" s="33" t="s">
        <v>1066</v>
      </c>
      <c r="D704" s="42">
        <v>0</v>
      </c>
      <c r="E704" s="33" t="s">
        <v>239</v>
      </c>
      <c r="F704" s="34">
        <v>15</v>
      </c>
      <c r="G704" s="34">
        <v>15</v>
      </c>
      <c r="H704" s="33" t="s">
        <v>1064</v>
      </c>
      <c r="I704" s="33" t="s">
        <v>1067</v>
      </c>
    </row>
    <row r="705" spans="1:9" x14ac:dyDescent="0.2">
      <c r="A705" s="33" t="s">
        <v>1065</v>
      </c>
      <c r="B705" s="33" t="s">
        <v>101</v>
      </c>
      <c r="C705" s="33" t="s">
        <v>1068</v>
      </c>
      <c r="D705" s="42">
        <v>0</v>
      </c>
      <c r="E705" s="33" t="s">
        <v>239</v>
      </c>
      <c r="F705" s="34">
        <v>5</v>
      </c>
      <c r="G705" s="34">
        <v>5</v>
      </c>
      <c r="H705" s="33" t="s">
        <v>68</v>
      </c>
      <c r="I705" s="33" t="s">
        <v>1069</v>
      </c>
    </row>
    <row r="706" spans="1:9" x14ac:dyDescent="0.2">
      <c r="A706" s="33" t="s">
        <v>1070</v>
      </c>
      <c r="B706" s="33" t="s">
        <v>102</v>
      </c>
      <c r="C706" s="33" t="s">
        <v>1066</v>
      </c>
      <c r="D706" s="42">
        <v>0</v>
      </c>
      <c r="E706" s="33" t="s">
        <v>239</v>
      </c>
      <c r="F706" s="34">
        <v>15</v>
      </c>
      <c r="G706" s="34">
        <v>15</v>
      </c>
      <c r="H706" s="33" t="s">
        <v>68</v>
      </c>
      <c r="I706" s="33" t="s">
        <v>1067</v>
      </c>
    </row>
    <row r="707" spans="1:9" x14ac:dyDescent="0.2">
      <c r="A707" s="33" t="s">
        <v>1071</v>
      </c>
      <c r="B707" s="33" t="s">
        <v>103</v>
      </c>
      <c r="C707" s="33" t="s">
        <v>1066</v>
      </c>
      <c r="D707" s="42">
        <v>0</v>
      </c>
      <c r="E707" s="33" t="s">
        <v>239</v>
      </c>
      <c r="F707" s="34">
        <v>30</v>
      </c>
      <c r="G707" s="34">
        <v>30</v>
      </c>
      <c r="H707" s="33" t="s">
        <v>68</v>
      </c>
      <c r="I707" s="33" t="s">
        <v>1067</v>
      </c>
    </row>
    <row r="708" spans="1:9" x14ac:dyDescent="0.2">
      <c r="A708" s="33" t="s">
        <v>1072</v>
      </c>
      <c r="B708" s="33" t="s">
        <v>104</v>
      </c>
      <c r="C708" s="33" t="s">
        <v>1073</v>
      </c>
      <c r="D708" s="42">
        <v>0</v>
      </c>
      <c r="E708" s="33" t="s">
        <v>239</v>
      </c>
      <c r="F708" s="34">
        <v>30</v>
      </c>
      <c r="G708" s="34">
        <v>30</v>
      </c>
      <c r="H708" s="33" t="s">
        <v>68</v>
      </c>
      <c r="I708" s="33" t="s">
        <v>68</v>
      </c>
    </row>
    <row r="709" spans="1:9" x14ac:dyDescent="0.2">
      <c r="A709" s="33" t="s">
        <v>1074</v>
      </c>
      <c r="B709" s="33" t="s">
        <v>1075</v>
      </c>
      <c r="C709" s="33" t="s">
        <v>1076</v>
      </c>
      <c r="D709" s="42">
        <v>8.8817841970012523E-16</v>
      </c>
      <c r="E709" s="33" t="s">
        <v>239</v>
      </c>
      <c r="F709" s="34">
        <v>6</v>
      </c>
      <c r="G709" s="34">
        <v>5.9999999999999991</v>
      </c>
      <c r="H709" s="33" t="s">
        <v>68</v>
      </c>
      <c r="I709" s="33" t="s">
        <v>1077</v>
      </c>
    </row>
    <row r="710" spans="1:9" x14ac:dyDescent="0.2">
      <c r="A710" s="33" t="s">
        <v>1078</v>
      </c>
      <c r="B710" s="33" t="s">
        <v>1079</v>
      </c>
      <c r="C710" s="33" t="s">
        <v>1080</v>
      </c>
      <c r="D710" s="42">
        <v>0</v>
      </c>
      <c r="E710" s="33" t="s">
        <v>239</v>
      </c>
      <c r="F710" s="34">
        <v>4</v>
      </c>
      <c r="G710" s="34">
        <v>4</v>
      </c>
      <c r="H710" s="33" t="s">
        <v>68</v>
      </c>
      <c r="I710" s="33" t="s">
        <v>1077</v>
      </c>
    </row>
    <row r="711" spans="1:9" x14ac:dyDescent="0.2">
      <c r="A711" s="33" t="s">
        <v>404</v>
      </c>
      <c r="B711" s="33" t="s">
        <v>405</v>
      </c>
      <c r="C711" s="33" t="s">
        <v>581</v>
      </c>
      <c r="D711" s="42">
        <v>0.90000000000000036</v>
      </c>
      <c r="E711" s="33" t="s">
        <v>224</v>
      </c>
      <c r="F711" s="34">
        <v>5</v>
      </c>
      <c r="G711" s="34">
        <v>4.0999999999999996</v>
      </c>
      <c r="H711" s="33" t="s">
        <v>68</v>
      </c>
      <c r="I711" s="33" t="s">
        <v>68</v>
      </c>
    </row>
    <row r="712" spans="1:9" x14ac:dyDescent="0.2">
      <c r="A712" s="33" t="s">
        <v>1081</v>
      </c>
      <c r="B712" s="33" t="s">
        <v>1082</v>
      </c>
      <c r="C712" s="33" t="s">
        <v>537</v>
      </c>
      <c r="D712" s="42">
        <v>-8.8817841970012523E-16</v>
      </c>
      <c r="E712" s="33" t="s">
        <v>224</v>
      </c>
      <c r="F712" s="34">
        <v>6.1</v>
      </c>
      <c r="G712" s="34">
        <v>6.1000000000000005</v>
      </c>
      <c r="H712" s="33" t="s">
        <v>68</v>
      </c>
      <c r="I712" s="33" t="s">
        <v>68</v>
      </c>
    </row>
    <row r="713" spans="1:9" x14ac:dyDescent="0.2">
      <c r="A713" s="33" t="s">
        <v>1083</v>
      </c>
      <c r="B713" s="33" t="s">
        <v>1084</v>
      </c>
      <c r="C713" s="33" t="s">
        <v>581</v>
      </c>
      <c r="D713" s="42">
        <v>0</v>
      </c>
      <c r="E713" s="33" t="s">
        <v>224</v>
      </c>
      <c r="F713" s="34">
        <v>10.3</v>
      </c>
      <c r="G713" s="34">
        <v>10.3</v>
      </c>
      <c r="H713" s="33" t="s">
        <v>68</v>
      </c>
      <c r="I713" s="33" t="s">
        <v>68</v>
      </c>
    </row>
    <row r="714" spans="1:9" x14ac:dyDescent="0.2">
      <c r="A714" s="33" t="s">
        <v>1085</v>
      </c>
      <c r="B714" s="33" t="s">
        <v>1086</v>
      </c>
      <c r="C714" s="33" t="s">
        <v>537</v>
      </c>
      <c r="D714" s="42">
        <v>0</v>
      </c>
      <c r="E714" s="33" t="s">
        <v>224</v>
      </c>
      <c r="F714" s="34">
        <v>6.2</v>
      </c>
      <c r="G714" s="34">
        <v>6.2</v>
      </c>
      <c r="H714" s="33" t="s">
        <v>68</v>
      </c>
      <c r="I714" s="33" t="s">
        <v>68</v>
      </c>
    </row>
    <row r="715" spans="1:9" x14ac:dyDescent="0.2">
      <c r="A715" s="33" t="s">
        <v>1087</v>
      </c>
      <c r="B715" s="33" t="s">
        <v>1088</v>
      </c>
      <c r="C715" s="33" t="s">
        <v>538</v>
      </c>
      <c r="D715" s="42">
        <v>1.7763568394002505E-15</v>
      </c>
      <c r="E715" s="33" t="s">
        <v>224</v>
      </c>
      <c r="F715" s="34">
        <v>9.3000000000000007</v>
      </c>
      <c r="G715" s="34">
        <v>9.2999999999999989</v>
      </c>
      <c r="H715" s="33" t="s">
        <v>68</v>
      </c>
      <c r="I715" s="33" t="s">
        <v>68</v>
      </c>
    </row>
    <row r="716" spans="1:9" ht="26" x14ac:dyDescent="0.2">
      <c r="A716" s="33" t="s">
        <v>1089</v>
      </c>
      <c r="B716" s="33" t="s">
        <v>1090</v>
      </c>
      <c r="C716" s="33" t="s">
        <v>1091</v>
      </c>
      <c r="D716" s="42">
        <v>0</v>
      </c>
      <c r="E716" s="33" t="s">
        <v>224</v>
      </c>
      <c r="F716" s="34">
        <v>12.5</v>
      </c>
      <c r="G716" s="34">
        <v>12.5</v>
      </c>
      <c r="H716" s="33" t="s">
        <v>811</v>
      </c>
      <c r="I716" s="33" t="s">
        <v>1077</v>
      </c>
    </row>
    <row r="717" spans="1:9" x14ac:dyDescent="0.2">
      <c r="A717" s="33" t="s">
        <v>416</v>
      </c>
      <c r="B717" s="33" t="s">
        <v>417</v>
      </c>
      <c r="C717" s="33" t="s">
        <v>1092</v>
      </c>
      <c r="D717" s="42">
        <v>1.7763568394002505E-15</v>
      </c>
      <c r="E717" s="33" t="s">
        <v>224</v>
      </c>
      <c r="F717" s="34">
        <v>12.5</v>
      </c>
      <c r="G717" s="34">
        <v>12.499999999999998</v>
      </c>
      <c r="H717" s="33" t="s">
        <v>1093</v>
      </c>
      <c r="I717" s="33" t="s">
        <v>1077</v>
      </c>
    </row>
    <row r="718" spans="1:9" ht="26" x14ac:dyDescent="0.2">
      <c r="A718" s="33" t="s">
        <v>1094</v>
      </c>
      <c r="B718" s="33" t="s">
        <v>1095</v>
      </c>
      <c r="C718" s="33" t="s">
        <v>1096</v>
      </c>
      <c r="D718" s="42">
        <v>1.7763568394002505E-15</v>
      </c>
      <c r="E718" s="33" t="s">
        <v>224</v>
      </c>
      <c r="F718" s="34">
        <v>10</v>
      </c>
      <c r="G718" s="34">
        <v>9.9999999999999982</v>
      </c>
      <c r="H718" s="33" t="s">
        <v>1097</v>
      </c>
      <c r="I718" s="33" t="s">
        <v>1077</v>
      </c>
    </row>
    <row r="719" spans="1:9" x14ac:dyDescent="0.2">
      <c r="A719" s="33" t="s">
        <v>343</v>
      </c>
      <c r="B719" s="33" t="s">
        <v>234</v>
      </c>
      <c r="C719" s="33" t="s">
        <v>932</v>
      </c>
      <c r="D719" s="42">
        <v>1</v>
      </c>
      <c r="E719" s="33" t="s">
        <v>224</v>
      </c>
      <c r="F719" s="34">
        <v>27.4</v>
      </c>
      <c r="G719" s="34">
        <v>26.4</v>
      </c>
      <c r="H719" s="33" t="s">
        <v>68</v>
      </c>
      <c r="I719" s="33" t="s">
        <v>68</v>
      </c>
    </row>
    <row r="720" spans="1:9" x14ac:dyDescent="0.2">
      <c r="A720" s="33" t="s">
        <v>344</v>
      </c>
      <c r="B720" s="33" t="s">
        <v>235</v>
      </c>
      <c r="C720" s="33" t="s">
        <v>932</v>
      </c>
      <c r="D720" s="42">
        <v>3.5527136788005009E-15</v>
      </c>
      <c r="E720" s="33" t="s">
        <v>224</v>
      </c>
      <c r="F720" s="34">
        <v>26.1</v>
      </c>
      <c r="G720" s="34">
        <v>26.099999999999998</v>
      </c>
      <c r="H720" s="33" t="s">
        <v>68</v>
      </c>
      <c r="I720" s="33" t="s">
        <v>68</v>
      </c>
    </row>
    <row r="721" spans="1:9" x14ac:dyDescent="0.2">
      <c r="A721" s="33" t="s">
        <v>345</v>
      </c>
      <c r="B721" s="33" t="s">
        <v>236</v>
      </c>
      <c r="C721" s="33" t="s">
        <v>932</v>
      </c>
      <c r="D721" s="42">
        <v>0</v>
      </c>
      <c r="E721" s="33" t="s">
        <v>224</v>
      </c>
      <c r="F721" s="34">
        <v>16.3</v>
      </c>
      <c r="G721" s="34">
        <v>16.3</v>
      </c>
      <c r="H721" s="33" t="s">
        <v>68</v>
      </c>
      <c r="I721" s="33" t="s">
        <v>68</v>
      </c>
    </row>
    <row r="722" spans="1:9" x14ac:dyDescent="0.2">
      <c r="A722" s="33" t="s">
        <v>346</v>
      </c>
      <c r="B722" s="33" t="s">
        <v>237</v>
      </c>
      <c r="C722" s="33" t="s">
        <v>932</v>
      </c>
      <c r="D722" s="42">
        <v>1.7763568394002505E-15</v>
      </c>
      <c r="E722" s="33" t="s">
        <v>224</v>
      </c>
      <c r="F722" s="34">
        <v>15.3</v>
      </c>
      <c r="G722" s="34">
        <v>15.299999999999999</v>
      </c>
      <c r="H722" s="33" t="s">
        <v>68</v>
      </c>
      <c r="I722" s="33" t="s">
        <v>68</v>
      </c>
    </row>
    <row r="723" spans="1:9" x14ac:dyDescent="0.2">
      <c r="A723" s="33" t="s">
        <v>318</v>
      </c>
      <c r="B723" s="33" t="s">
        <v>238</v>
      </c>
      <c r="C723" s="33" t="s">
        <v>1098</v>
      </c>
      <c r="D723" s="42">
        <v>0</v>
      </c>
      <c r="E723" s="33" t="s">
        <v>239</v>
      </c>
      <c r="F723" s="34">
        <v>840</v>
      </c>
      <c r="G723" s="34">
        <v>840</v>
      </c>
      <c r="H723" s="33" t="s">
        <v>68</v>
      </c>
      <c r="I723" s="33" t="s">
        <v>68</v>
      </c>
    </row>
    <row r="724" spans="1:9" x14ac:dyDescent="0.2">
      <c r="A724" s="33" t="s">
        <v>318</v>
      </c>
      <c r="B724" s="33" t="s">
        <v>238</v>
      </c>
      <c r="C724" s="33" t="s">
        <v>1099</v>
      </c>
      <c r="D724" s="42">
        <v>0</v>
      </c>
      <c r="E724" s="33" t="s">
        <v>239</v>
      </c>
      <c r="F724" s="34">
        <v>300</v>
      </c>
      <c r="G724" s="34">
        <v>300</v>
      </c>
      <c r="H724" s="33" t="s">
        <v>68</v>
      </c>
      <c r="I724" s="33" t="s">
        <v>68</v>
      </c>
    </row>
    <row r="725" spans="1:9" x14ac:dyDescent="0.2">
      <c r="A725" s="33" t="s">
        <v>318</v>
      </c>
      <c r="B725" s="33" t="s">
        <v>238</v>
      </c>
      <c r="C725" s="33" t="s">
        <v>1100</v>
      </c>
      <c r="D725" s="42">
        <v>0</v>
      </c>
      <c r="E725" s="33" t="s">
        <v>239</v>
      </c>
      <c r="F725" s="34">
        <v>210</v>
      </c>
      <c r="G725" s="34">
        <v>210</v>
      </c>
      <c r="H725" s="33" t="s">
        <v>68</v>
      </c>
      <c r="I725" s="33" t="s">
        <v>68</v>
      </c>
    </row>
    <row r="726" spans="1:9" x14ac:dyDescent="0.2">
      <c r="A726" s="33" t="s">
        <v>318</v>
      </c>
      <c r="B726" s="33" t="s">
        <v>238</v>
      </c>
      <c r="C726" s="33" t="s">
        <v>1101</v>
      </c>
      <c r="D726" s="42">
        <v>0</v>
      </c>
      <c r="E726" s="33" t="s">
        <v>239</v>
      </c>
      <c r="F726" s="34">
        <v>150</v>
      </c>
      <c r="G726" s="34">
        <v>150</v>
      </c>
      <c r="H726" s="33" t="s">
        <v>68</v>
      </c>
      <c r="I726" s="33" t="s">
        <v>68</v>
      </c>
    </row>
    <row r="727" spans="1:9" x14ac:dyDescent="0.2">
      <c r="A727" s="33" t="s">
        <v>318</v>
      </c>
      <c r="B727" s="33" t="s">
        <v>238</v>
      </c>
      <c r="C727" s="33" t="s">
        <v>1102</v>
      </c>
      <c r="D727" s="42">
        <v>0</v>
      </c>
      <c r="E727" s="33" t="s">
        <v>239</v>
      </c>
      <c r="F727" s="34">
        <v>30</v>
      </c>
      <c r="G727" s="34">
        <v>30</v>
      </c>
      <c r="H727" s="33" t="s">
        <v>1103</v>
      </c>
      <c r="I727" s="33" t="s">
        <v>68</v>
      </c>
    </row>
    <row r="728" spans="1:9" x14ac:dyDescent="0.2">
      <c r="A728" s="33" t="s">
        <v>318</v>
      </c>
      <c r="B728" s="33" t="s">
        <v>238</v>
      </c>
      <c r="C728" s="33" t="s">
        <v>1104</v>
      </c>
      <c r="D728" s="42">
        <v>0</v>
      </c>
      <c r="E728" s="33" t="s">
        <v>239</v>
      </c>
      <c r="F728" s="34">
        <v>60</v>
      </c>
      <c r="G728" s="34">
        <v>60</v>
      </c>
      <c r="H728" s="33" t="s">
        <v>68</v>
      </c>
      <c r="I728" s="33" t="s">
        <v>68</v>
      </c>
    </row>
    <row r="729" spans="1:9" x14ac:dyDescent="0.2">
      <c r="A729" s="33" t="s">
        <v>318</v>
      </c>
      <c r="B729" s="33" t="s">
        <v>238</v>
      </c>
      <c r="C729" s="33" t="s">
        <v>1105</v>
      </c>
      <c r="D729" s="42">
        <v>0</v>
      </c>
      <c r="E729" s="33" t="s">
        <v>239</v>
      </c>
      <c r="F729" s="34">
        <v>15</v>
      </c>
      <c r="G729" s="34">
        <v>15</v>
      </c>
      <c r="H729" s="33" t="s">
        <v>68</v>
      </c>
      <c r="I729" s="33" t="s">
        <v>68</v>
      </c>
    </row>
    <row r="730" spans="1:9" x14ac:dyDescent="0.2">
      <c r="A730" s="33" t="s">
        <v>318</v>
      </c>
      <c r="B730" s="33" t="s">
        <v>238</v>
      </c>
      <c r="C730" s="33" t="s">
        <v>1106</v>
      </c>
      <c r="D730" s="42">
        <v>0</v>
      </c>
      <c r="E730" s="33" t="s">
        <v>239</v>
      </c>
      <c r="F730" s="34">
        <v>120</v>
      </c>
      <c r="G730" s="34">
        <v>120</v>
      </c>
      <c r="H730" s="33" t="s">
        <v>68</v>
      </c>
      <c r="I730" s="33" t="s">
        <v>68</v>
      </c>
    </row>
    <row r="731" spans="1:9" x14ac:dyDescent="0.2">
      <c r="A731" s="33" t="s">
        <v>263</v>
      </c>
      <c r="B731" s="33" t="s">
        <v>120</v>
      </c>
      <c r="C731" s="33" t="s">
        <v>1107</v>
      </c>
      <c r="D731" s="42">
        <v>0</v>
      </c>
      <c r="E731" s="33" t="s">
        <v>224</v>
      </c>
      <c r="F731" s="34">
        <v>25</v>
      </c>
      <c r="G731" s="34">
        <v>25</v>
      </c>
      <c r="H731" s="33" t="s">
        <v>68</v>
      </c>
      <c r="I731" s="33" t="s">
        <v>68</v>
      </c>
    </row>
    <row r="732" spans="1:9" x14ac:dyDescent="0.2">
      <c r="A732" s="33" t="s">
        <v>263</v>
      </c>
      <c r="B732" s="33" t="s">
        <v>120</v>
      </c>
      <c r="C732" s="33" t="s">
        <v>1108</v>
      </c>
      <c r="D732" s="42">
        <v>0</v>
      </c>
      <c r="E732" s="33" t="s">
        <v>224</v>
      </c>
      <c r="F732" s="34">
        <v>2732</v>
      </c>
      <c r="G732" s="34">
        <v>2732</v>
      </c>
      <c r="H732" s="33" t="s">
        <v>68</v>
      </c>
      <c r="I732" s="33" t="s">
        <v>68</v>
      </c>
    </row>
    <row r="733" spans="1:9" x14ac:dyDescent="0.2">
      <c r="A733" s="33" t="s">
        <v>263</v>
      </c>
      <c r="B733" s="33" t="s">
        <v>120</v>
      </c>
      <c r="C733" s="33" t="s">
        <v>1109</v>
      </c>
      <c r="D733" s="42">
        <v>0</v>
      </c>
      <c r="E733" s="33" t="s">
        <v>224</v>
      </c>
      <c r="F733" s="34">
        <v>3691.5</v>
      </c>
      <c r="G733" s="34">
        <v>3691.5</v>
      </c>
      <c r="H733" s="33" t="s">
        <v>68</v>
      </c>
      <c r="I733" s="33" t="s">
        <v>68</v>
      </c>
    </row>
    <row r="734" spans="1:9" x14ac:dyDescent="0.2">
      <c r="A734" s="33" t="s">
        <v>263</v>
      </c>
      <c r="B734" s="33" t="s">
        <v>120</v>
      </c>
      <c r="C734" s="33" t="s">
        <v>1110</v>
      </c>
      <c r="D734" s="42">
        <v>0</v>
      </c>
      <c r="E734" s="33" t="s">
        <v>224</v>
      </c>
      <c r="F734" s="34">
        <v>1935</v>
      </c>
      <c r="G734" s="34">
        <v>1935</v>
      </c>
      <c r="H734" s="33" t="s">
        <v>68</v>
      </c>
      <c r="I734" s="33" t="s">
        <v>68</v>
      </c>
    </row>
    <row r="735" spans="1:9" x14ac:dyDescent="0.2">
      <c r="A735" s="33" t="s">
        <v>263</v>
      </c>
      <c r="B735" s="33" t="s">
        <v>120</v>
      </c>
      <c r="C735" s="33" t="s">
        <v>1111</v>
      </c>
      <c r="D735" s="42">
        <v>0</v>
      </c>
      <c r="E735" s="33" t="s">
        <v>224</v>
      </c>
      <c r="F735" s="34">
        <v>5556.5</v>
      </c>
      <c r="G735" s="34">
        <v>5556.5</v>
      </c>
      <c r="H735" s="33" t="s">
        <v>68</v>
      </c>
      <c r="I735" s="33" t="s">
        <v>68</v>
      </c>
    </row>
    <row r="736" spans="1:9" x14ac:dyDescent="0.2">
      <c r="A736" s="33" t="s">
        <v>263</v>
      </c>
      <c r="B736" s="33" t="s">
        <v>120</v>
      </c>
      <c r="C736" s="33" t="s">
        <v>1112</v>
      </c>
      <c r="D736" s="42">
        <v>0</v>
      </c>
      <c r="E736" s="33" t="s">
        <v>224</v>
      </c>
      <c r="F736" s="34">
        <v>16590</v>
      </c>
      <c r="G736" s="34">
        <v>16590</v>
      </c>
      <c r="H736" s="33" t="s">
        <v>68</v>
      </c>
      <c r="I736" s="33" t="s">
        <v>68</v>
      </c>
    </row>
    <row r="737" spans="1:9" x14ac:dyDescent="0.2">
      <c r="A737" s="33" t="s">
        <v>263</v>
      </c>
      <c r="B737" s="33" t="s">
        <v>120</v>
      </c>
      <c r="C737" s="33" t="s">
        <v>1113</v>
      </c>
      <c r="D737" s="42">
        <v>1.8189894035458565E-12</v>
      </c>
      <c r="E737" s="33" t="s">
        <v>224</v>
      </c>
      <c r="F737" s="34">
        <v>14220</v>
      </c>
      <c r="G737" s="34">
        <v>14219.999999999998</v>
      </c>
      <c r="H737" s="33" t="s">
        <v>68</v>
      </c>
      <c r="I737" s="33" t="s">
        <v>68</v>
      </c>
    </row>
    <row r="738" spans="1:9" x14ac:dyDescent="0.2">
      <c r="A738" s="33" t="s">
        <v>263</v>
      </c>
      <c r="B738" s="33" t="s">
        <v>120</v>
      </c>
      <c r="C738" s="33" t="s">
        <v>1114</v>
      </c>
      <c r="D738" s="42">
        <v>0</v>
      </c>
      <c r="E738" s="33" t="s">
        <v>224</v>
      </c>
      <c r="F738" s="34">
        <v>1140</v>
      </c>
      <c r="G738" s="34">
        <v>1140</v>
      </c>
      <c r="H738" s="33" t="s">
        <v>68</v>
      </c>
      <c r="I738" s="33" t="s">
        <v>68</v>
      </c>
    </row>
    <row r="739" spans="1:9" x14ac:dyDescent="0.2">
      <c r="A739" s="33" t="s">
        <v>263</v>
      </c>
      <c r="B739" s="33" t="s">
        <v>120</v>
      </c>
      <c r="C739" s="33" t="s">
        <v>1115</v>
      </c>
      <c r="D739" s="42">
        <v>0</v>
      </c>
      <c r="E739" s="33" t="s">
        <v>224</v>
      </c>
      <c r="F739" s="34">
        <v>5280</v>
      </c>
      <c r="G739" s="34">
        <v>5280</v>
      </c>
      <c r="H739" s="33" t="s">
        <v>68</v>
      </c>
      <c r="I739" s="33" t="s">
        <v>68</v>
      </c>
    </row>
    <row r="740" spans="1:9" x14ac:dyDescent="0.2">
      <c r="A740" s="33" t="s">
        <v>263</v>
      </c>
      <c r="B740" s="33" t="s">
        <v>120</v>
      </c>
      <c r="C740" s="33" t="s">
        <v>1116</v>
      </c>
      <c r="D740" s="42">
        <v>0</v>
      </c>
      <c r="E740" s="33" t="s">
        <v>224</v>
      </c>
      <c r="F740" s="34">
        <v>150</v>
      </c>
      <c r="G740" s="34">
        <v>150</v>
      </c>
      <c r="H740" s="33" t="s">
        <v>68</v>
      </c>
      <c r="I740" s="33" t="s">
        <v>68</v>
      </c>
    </row>
    <row r="741" spans="1:9" x14ac:dyDescent="0.2">
      <c r="A741" s="33" t="s">
        <v>263</v>
      </c>
      <c r="B741" s="33" t="s">
        <v>120</v>
      </c>
      <c r="C741" s="33" t="s">
        <v>1117</v>
      </c>
      <c r="D741" s="42">
        <v>0</v>
      </c>
      <c r="E741" s="33" t="s">
        <v>224</v>
      </c>
      <c r="F741" s="34">
        <v>1560</v>
      </c>
      <c r="G741" s="34">
        <v>1560</v>
      </c>
      <c r="H741" s="33" t="s">
        <v>68</v>
      </c>
      <c r="I741" s="33" t="s">
        <v>68</v>
      </c>
    </row>
    <row r="742" spans="1:9" x14ac:dyDescent="0.2">
      <c r="A742" s="33" t="s">
        <v>263</v>
      </c>
      <c r="B742" s="33" t="s">
        <v>120</v>
      </c>
      <c r="C742" s="33" t="s">
        <v>1118</v>
      </c>
      <c r="D742" s="42">
        <v>0</v>
      </c>
      <c r="E742" s="33" t="s">
        <v>224</v>
      </c>
      <c r="F742" s="34">
        <v>9810</v>
      </c>
      <c r="G742" s="34">
        <v>9810</v>
      </c>
      <c r="H742" s="33" t="s">
        <v>68</v>
      </c>
      <c r="I742" s="33" t="s">
        <v>68</v>
      </c>
    </row>
    <row r="743" spans="1:9" x14ac:dyDescent="0.2">
      <c r="A743" s="33" t="s">
        <v>263</v>
      </c>
      <c r="B743" s="33" t="s">
        <v>120</v>
      </c>
      <c r="C743" s="33" t="s">
        <v>1119</v>
      </c>
      <c r="D743" s="42">
        <v>0</v>
      </c>
      <c r="E743" s="33" t="s">
        <v>224</v>
      </c>
      <c r="F743" s="34">
        <v>10170</v>
      </c>
      <c r="G743" s="34">
        <v>10170</v>
      </c>
      <c r="H743" s="33" t="s">
        <v>68</v>
      </c>
      <c r="I743" s="33" t="s">
        <v>68</v>
      </c>
    </row>
    <row r="744" spans="1:9" x14ac:dyDescent="0.2">
      <c r="A744" s="33" t="s">
        <v>263</v>
      </c>
      <c r="B744" s="33" t="s">
        <v>120</v>
      </c>
      <c r="C744" s="33" t="s">
        <v>1120</v>
      </c>
      <c r="D744" s="42">
        <v>-9.0949470177292824E-13</v>
      </c>
      <c r="E744" s="33" t="s">
        <v>224</v>
      </c>
      <c r="F744" s="34">
        <v>4530</v>
      </c>
      <c r="G744" s="34">
        <v>4530.0000000000009</v>
      </c>
      <c r="H744" s="33" t="s">
        <v>68</v>
      </c>
      <c r="I744" s="33" t="s">
        <v>68</v>
      </c>
    </row>
    <row r="745" spans="1:9" x14ac:dyDescent="0.2">
      <c r="A745" s="33" t="s">
        <v>263</v>
      </c>
      <c r="B745" s="33" t="s">
        <v>120</v>
      </c>
      <c r="C745" s="33" t="s">
        <v>1121</v>
      </c>
      <c r="D745" s="42">
        <v>1.1368683772161603E-13</v>
      </c>
      <c r="E745" s="33" t="s">
        <v>224</v>
      </c>
      <c r="F745" s="34">
        <v>630</v>
      </c>
      <c r="G745" s="34">
        <v>629.99999999999989</v>
      </c>
      <c r="H745" s="33" t="s">
        <v>68</v>
      </c>
      <c r="I745" s="33" t="s">
        <v>68</v>
      </c>
    </row>
    <row r="746" spans="1:9" x14ac:dyDescent="0.2">
      <c r="A746" s="33" t="s">
        <v>263</v>
      </c>
      <c r="B746" s="33" t="s">
        <v>120</v>
      </c>
      <c r="C746" s="33" t="s">
        <v>1122</v>
      </c>
      <c r="D746" s="42">
        <v>0</v>
      </c>
      <c r="E746" s="33" t="s">
        <v>224</v>
      </c>
      <c r="F746" s="34">
        <v>806.8</v>
      </c>
      <c r="G746" s="34">
        <v>806.8</v>
      </c>
      <c r="H746" s="33" t="s">
        <v>68</v>
      </c>
      <c r="I746" s="33" t="s">
        <v>68</v>
      </c>
    </row>
    <row r="747" spans="1:9" x14ac:dyDescent="0.2">
      <c r="A747" s="33" t="s">
        <v>263</v>
      </c>
      <c r="B747" s="33" t="s">
        <v>120</v>
      </c>
      <c r="C747" s="33" t="s">
        <v>1123</v>
      </c>
      <c r="D747" s="42">
        <v>0</v>
      </c>
      <c r="E747" s="33" t="s">
        <v>224</v>
      </c>
      <c r="F747" s="34">
        <v>120</v>
      </c>
      <c r="G747" s="34">
        <v>120</v>
      </c>
      <c r="H747" s="33" t="s">
        <v>68</v>
      </c>
      <c r="I747" s="33" t="s">
        <v>68</v>
      </c>
    </row>
    <row r="748" spans="1:9" x14ac:dyDescent="0.2">
      <c r="A748" s="33" t="s">
        <v>263</v>
      </c>
      <c r="B748" s="33" t="s">
        <v>120</v>
      </c>
      <c r="C748" s="33" t="s">
        <v>1124</v>
      </c>
      <c r="D748" s="42">
        <v>0</v>
      </c>
      <c r="E748" s="33" t="s">
        <v>224</v>
      </c>
      <c r="F748" s="34">
        <v>260</v>
      </c>
      <c r="G748" s="34">
        <v>260</v>
      </c>
      <c r="H748" s="33" t="s">
        <v>68</v>
      </c>
      <c r="I748" s="33" t="s">
        <v>68</v>
      </c>
    </row>
    <row r="749" spans="1:9" x14ac:dyDescent="0.2">
      <c r="A749" s="33" t="s">
        <v>263</v>
      </c>
      <c r="B749" s="33" t="s">
        <v>120</v>
      </c>
      <c r="C749" s="33" t="s">
        <v>1125</v>
      </c>
      <c r="D749" s="42">
        <v>-7.1054273576010019E-15</v>
      </c>
      <c r="E749" s="33" t="s">
        <v>224</v>
      </c>
      <c r="F749" s="34">
        <v>60</v>
      </c>
      <c r="G749" s="34">
        <v>60.000000000000007</v>
      </c>
      <c r="H749" s="33" t="s">
        <v>68</v>
      </c>
      <c r="I749" s="33" t="s">
        <v>68</v>
      </c>
    </row>
    <row r="750" spans="1:9" x14ac:dyDescent="0.2">
      <c r="A750" s="33" t="s">
        <v>263</v>
      </c>
      <c r="B750" s="33" t="s">
        <v>120</v>
      </c>
      <c r="C750" s="33" t="s">
        <v>1126</v>
      </c>
      <c r="D750" s="42">
        <v>0</v>
      </c>
      <c r="E750" s="33" t="s">
        <v>224</v>
      </c>
      <c r="F750" s="34">
        <v>300</v>
      </c>
      <c r="G750" s="34">
        <v>300</v>
      </c>
      <c r="H750" s="33" t="s">
        <v>68</v>
      </c>
      <c r="I750" s="33" t="s">
        <v>68</v>
      </c>
    </row>
    <row r="751" spans="1:9" x14ac:dyDescent="0.2">
      <c r="A751" s="33" t="s">
        <v>263</v>
      </c>
      <c r="B751" s="33" t="s">
        <v>120</v>
      </c>
      <c r="C751" s="33" t="s">
        <v>1127</v>
      </c>
      <c r="D751" s="42">
        <v>0</v>
      </c>
      <c r="E751" s="33" t="s">
        <v>224</v>
      </c>
      <c r="F751" s="34">
        <v>80</v>
      </c>
      <c r="G751" s="34">
        <v>80</v>
      </c>
      <c r="H751" s="33" t="s">
        <v>68</v>
      </c>
      <c r="I751" s="33" t="s">
        <v>68</v>
      </c>
    </row>
    <row r="752" spans="1:9" x14ac:dyDescent="0.2">
      <c r="A752" s="33" t="s">
        <v>263</v>
      </c>
      <c r="B752" s="33" t="s">
        <v>120</v>
      </c>
      <c r="C752" s="33" t="s">
        <v>1128</v>
      </c>
      <c r="D752" s="42">
        <v>0</v>
      </c>
      <c r="E752" s="33" t="s">
        <v>224</v>
      </c>
      <c r="F752" s="34">
        <v>160</v>
      </c>
      <c r="G752" s="34">
        <v>160</v>
      </c>
      <c r="H752" s="33" t="s">
        <v>68</v>
      </c>
      <c r="I752" s="33" t="s">
        <v>68</v>
      </c>
    </row>
    <row r="753" spans="1:9" x14ac:dyDescent="0.2">
      <c r="A753" s="33" t="s">
        <v>263</v>
      </c>
      <c r="B753" s="33" t="s">
        <v>120</v>
      </c>
      <c r="C753" s="33" t="s">
        <v>1129</v>
      </c>
      <c r="D753" s="42">
        <v>0</v>
      </c>
      <c r="E753" s="33" t="s">
        <v>224</v>
      </c>
      <c r="F753" s="34">
        <v>4710</v>
      </c>
      <c r="G753" s="34">
        <v>4710</v>
      </c>
      <c r="H753" s="33" t="s">
        <v>68</v>
      </c>
      <c r="I753" s="33" t="s">
        <v>68</v>
      </c>
    </row>
    <row r="754" spans="1:9" x14ac:dyDescent="0.2">
      <c r="A754" s="33" t="s">
        <v>263</v>
      </c>
      <c r="B754" s="33" t="s">
        <v>120</v>
      </c>
      <c r="C754" s="33" t="s">
        <v>1130</v>
      </c>
      <c r="D754" s="42">
        <v>0</v>
      </c>
      <c r="E754" s="33" t="s">
        <v>224</v>
      </c>
      <c r="F754" s="34">
        <v>420</v>
      </c>
      <c r="G754" s="34">
        <v>420</v>
      </c>
      <c r="H754" s="33" t="s">
        <v>68</v>
      </c>
      <c r="I754" s="33" t="s">
        <v>68</v>
      </c>
    </row>
    <row r="755" spans="1:9" x14ac:dyDescent="0.2">
      <c r="A755" s="33" t="s">
        <v>263</v>
      </c>
      <c r="B755" s="33" t="s">
        <v>120</v>
      </c>
      <c r="C755" s="33" t="s">
        <v>1131</v>
      </c>
      <c r="D755" s="42">
        <v>0</v>
      </c>
      <c r="E755" s="33" t="s">
        <v>224</v>
      </c>
      <c r="F755" s="34">
        <v>3090</v>
      </c>
      <c r="G755" s="34">
        <v>3090</v>
      </c>
      <c r="H755" s="33" t="s">
        <v>68</v>
      </c>
      <c r="I755" s="33" t="s">
        <v>68</v>
      </c>
    </row>
    <row r="756" spans="1:9" x14ac:dyDescent="0.2">
      <c r="A756" s="33" t="s">
        <v>263</v>
      </c>
      <c r="B756" s="33" t="s">
        <v>120</v>
      </c>
      <c r="C756" s="33" t="s">
        <v>1132</v>
      </c>
      <c r="D756" s="42">
        <v>0</v>
      </c>
      <c r="E756" s="33" t="s">
        <v>224</v>
      </c>
      <c r="F756" s="34">
        <v>7560</v>
      </c>
      <c r="G756" s="34">
        <v>7560</v>
      </c>
      <c r="H756" s="33" t="s">
        <v>68</v>
      </c>
      <c r="I756" s="33" t="s">
        <v>68</v>
      </c>
    </row>
    <row r="757" spans="1:9" x14ac:dyDescent="0.2">
      <c r="A757" s="33" t="s">
        <v>263</v>
      </c>
      <c r="B757" s="33" t="s">
        <v>120</v>
      </c>
      <c r="C757" s="33" t="s">
        <v>1133</v>
      </c>
      <c r="D757" s="42">
        <v>0</v>
      </c>
      <c r="E757" s="33" t="s">
        <v>224</v>
      </c>
      <c r="F757" s="34">
        <v>6660</v>
      </c>
      <c r="G757" s="34">
        <v>6660</v>
      </c>
      <c r="H757" s="33" t="s">
        <v>68</v>
      </c>
      <c r="I757" s="33" t="s">
        <v>68</v>
      </c>
    </row>
    <row r="758" spans="1:9" x14ac:dyDescent="0.2">
      <c r="A758" s="33" t="s">
        <v>263</v>
      </c>
      <c r="B758" s="33" t="s">
        <v>120</v>
      </c>
      <c r="C758" s="33" t="s">
        <v>1134</v>
      </c>
      <c r="D758" s="42">
        <v>0</v>
      </c>
      <c r="E758" s="33" t="s">
        <v>224</v>
      </c>
      <c r="F758" s="34">
        <v>3300</v>
      </c>
      <c r="G758" s="34">
        <v>3300</v>
      </c>
      <c r="H758" s="33" t="s">
        <v>68</v>
      </c>
      <c r="I758" s="33" t="s">
        <v>68</v>
      </c>
    </row>
    <row r="759" spans="1:9" x14ac:dyDescent="0.2">
      <c r="A759" s="33" t="s">
        <v>263</v>
      </c>
      <c r="B759" s="33" t="s">
        <v>120</v>
      </c>
      <c r="C759" s="33" t="s">
        <v>1135</v>
      </c>
      <c r="D759" s="42">
        <v>0</v>
      </c>
      <c r="E759" s="33" t="s">
        <v>224</v>
      </c>
      <c r="F759" s="34">
        <v>3420</v>
      </c>
      <c r="G759" s="34">
        <v>3420</v>
      </c>
      <c r="H759" s="33" t="s">
        <v>68</v>
      </c>
      <c r="I759" s="33" t="s">
        <v>68</v>
      </c>
    </row>
    <row r="760" spans="1:9" x14ac:dyDescent="0.2">
      <c r="A760" s="33" t="s">
        <v>263</v>
      </c>
      <c r="B760" s="33" t="s">
        <v>120</v>
      </c>
      <c r="C760" s="33" t="s">
        <v>1136</v>
      </c>
      <c r="D760" s="42">
        <v>-9.0949470177292824E-13</v>
      </c>
      <c r="E760" s="33" t="s">
        <v>224</v>
      </c>
      <c r="F760" s="34">
        <v>7980</v>
      </c>
      <c r="G760" s="34">
        <v>7980.0000000000009</v>
      </c>
      <c r="H760" s="33" t="s">
        <v>68</v>
      </c>
      <c r="I760" s="33" t="s">
        <v>68</v>
      </c>
    </row>
    <row r="761" spans="1:9" x14ac:dyDescent="0.2">
      <c r="A761" s="33" t="s">
        <v>263</v>
      </c>
      <c r="B761" s="33" t="s">
        <v>120</v>
      </c>
      <c r="C761" s="33" t="s">
        <v>1137</v>
      </c>
      <c r="D761" s="42">
        <v>0</v>
      </c>
      <c r="E761" s="33" t="s">
        <v>224</v>
      </c>
      <c r="F761" s="34">
        <v>8520</v>
      </c>
      <c r="G761" s="34">
        <v>8520</v>
      </c>
      <c r="H761" s="33" t="s">
        <v>68</v>
      </c>
      <c r="I761" s="33" t="s">
        <v>68</v>
      </c>
    </row>
    <row r="762" spans="1:9" x14ac:dyDescent="0.2">
      <c r="A762" s="33" t="s">
        <v>263</v>
      </c>
      <c r="B762" s="33" t="s">
        <v>120</v>
      </c>
      <c r="C762" s="33" t="s">
        <v>1138</v>
      </c>
      <c r="D762" s="42">
        <v>0</v>
      </c>
      <c r="E762" s="33" t="s">
        <v>224</v>
      </c>
      <c r="F762" s="34">
        <v>3690</v>
      </c>
      <c r="G762" s="34">
        <v>3690</v>
      </c>
      <c r="H762" s="33" t="s">
        <v>68</v>
      </c>
      <c r="I762" s="33" t="s">
        <v>68</v>
      </c>
    </row>
    <row r="763" spans="1:9" x14ac:dyDescent="0.2">
      <c r="A763" s="33" t="s">
        <v>263</v>
      </c>
      <c r="B763" s="33" t="s">
        <v>120</v>
      </c>
      <c r="C763" s="33" t="s">
        <v>1139</v>
      </c>
      <c r="D763" s="42">
        <v>0</v>
      </c>
      <c r="E763" s="33" t="s">
        <v>224</v>
      </c>
      <c r="F763" s="34">
        <v>1410</v>
      </c>
      <c r="G763" s="34">
        <v>1410</v>
      </c>
      <c r="H763" s="33" t="s">
        <v>68</v>
      </c>
      <c r="I763" s="33" t="s">
        <v>68</v>
      </c>
    </row>
    <row r="764" spans="1:9" x14ac:dyDescent="0.2">
      <c r="A764" s="33" t="s">
        <v>263</v>
      </c>
      <c r="B764" s="33" t="s">
        <v>120</v>
      </c>
      <c r="C764" s="33" t="s">
        <v>1140</v>
      </c>
      <c r="D764" s="42">
        <v>0</v>
      </c>
      <c r="E764" s="33" t="s">
        <v>224</v>
      </c>
      <c r="F764" s="34">
        <v>5280</v>
      </c>
      <c r="G764" s="34">
        <v>5280</v>
      </c>
      <c r="H764" s="33" t="s">
        <v>68</v>
      </c>
      <c r="I764" s="33" t="s">
        <v>68</v>
      </c>
    </row>
    <row r="765" spans="1:9" x14ac:dyDescent="0.2">
      <c r="A765" s="33" t="s">
        <v>263</v>
      </c>
      <c r="B765" s="33" t="s">
        <v>120</v>
      </c>
      <c r="C765" s="33" t="s">
        <v>1141</v>
      </c>
      <c r="D765" s="42">
        <v>0</v>
      </c>
      <c r="E765" s="33" t="s">
        <v>224</v>
      </c>
      <c r="F765" s="34">
        <v>250</v>
      </c>
      <c r="G765" s="34">
        <v>250</v>
      </c>
      <c r="H765" s="33" t="s">
        <v>68</v>
      </c>
      <c r="I765" s="33" t="s">
        <v>68</v>
      </c>
    </row>
    <row r="766" spans="1:9" x14ac:dyDescent="0.2">
      <c r="A766" s="33" t="s">
        <v>263</v>
      </c>
      <c r="B766" s="33" t="s">
        <v>120</v>
      </c>
      <c r="C766" s="33" t="s">
        <v>1142</v>
      </c>
      <c r="D766" s="42">
        <v>0</v>
      </c>
      <c r="E766" s="33" t="s">
        <v>224</v>
      </c>
      <c r="F766" s="34">
        <v>13980</v>
      </c>
      <c r="G766" s="34">
        <v>13980</v>
      </c>
      <c r="H766" s="33" t="s">
        <v>68</v>
      </c>
      <c r="I766" s="33" t="s">
        <v>68</v>
      </c>
    </row>
    <row r="767" spans="1:9" x14ac:dyDescent="0.2">
      <c r="A767" s="33" t="s">
        <v>263</v>
      </c>
      <c r="B767" s="33" t="s">
        <v>120</v>
      </c>
      <c r="C767" s="33" t="s">
        <v>1143</v>
      </c>
      <c r="D767" s="42">
        <v>0</v>
      </c>
      <c r="E767" s="33" t="s">
        <v>224</v>
      </c>
      <c r="F767" s="34">
        <v>12900</v>
      </c>
      <c r="G767" s="34">
        <v>12900</v>
      </c>
      <c r="H767" s="33" t="s">
        <v>68</v>
      </c>
      <c r="I767" s="33" t="s">
        <v>68</v>
      </c>
    </row>
    <row r="768" spans="1:9" x14ac:dyDescent="0.2">
      <c r="A768" s="33" t="s">
        <v>263</v>
      </c>
      <c r="B768" s="33" t="s">
        <v>120</v>
      </c>
      <c r="C768" s="33" t="s">
        <v>1144</v>
      </c>
      <c r="D768" s="42">
        <v>0</v>
      </c>
      <c r="E768" s="33" t="s">
        <v>224</v>
      </c>
      <c r="F768" s="34">
        <v>6330</v>
      </c>
      <c r="G768" s="34">
        <v>6330</v>
      </c>
      <c r="H768" s="33" t="s">
        <v>68</v>
      </c>
      <c r="I768" s="33" t="s">
        <v>68</v>
      </c>
    </row>
    <row r="769" spans="1:9" x14ac:dyDescent="0.2">
      <c r="A769" s="33" t="s">
        <v>263</v>
      </c>
      <c r="B769" s="33" t="s">
        <v>120</v>
      </c>
      <c r="C769" s="33" t="s">
        <v>1145</v>
      </c>
      <c r="D769" s="42">
        <v>2149.3000000000002</v>
      </c>
      <c r="E769" s="33" t="s">
        <v>224</v>
      </c>
      <c r="F769" s="34">
        <v>4110</v>
      </c>
      <c r="G769" s="34">
        <v>1960.7</v>
      </c>
      <c r="H769" s="33" t="s">
        <v>68</v>
      </c>
      <c r="I769" s="33" t="s">
        <v>68</v>
      </c>
    </row>
    <row r="770" spans="1:9" x14ac:dyDescent="0.2">
      <c r="A770" s="33" t="s">
        <v>263</v>
      </c>
      <c r="B770" s="33" t="s">
        <v>120</v>
      </c>
      <c r="C770" s="33" t="s">
        <v>1146</v>
      </c>
      <c r="D770" s="42">
        <v>0</v>
      </c>
      <c r="E770" s="33" t="s">
        <v>224</v>
      </c>
      <c r="F770" s="34">
        <v>4980</v>
      </c>
      <c r="G770" s="34">
        <v>4980</v>
      </c>
      <c r="H770" s="33" t="s">
        <v>68</v>
      </c>
      <c r="I770" s="33" t="s">
        <v>68</v>
      </c>
    </row>
    <row r="771" spans="1:9" x14ac:dyDescent="0.2">
      <c r="A771" s="33" t="s">
        <v>263</v>
      </c>
      <c r="B771" s="33" t="s">
        <v>120</v>
      </c>
      <c r="C771" s="33" t="s">
        <v>1147</v>
      </c>
      <c r="D771" s="42">
        <v>0</v>
      </c>
      <c r="E771" s="33" t="s">
        <v>224</v>
      </c>
      <c r="F771" s="34">
        <v>4980</v>
      </c>
      <c r="G771" s="34">
        <v>4980</v>
      </c>
      <c r="H771" s="33" t="s">
        <v>68</v>
      </c>
      <c r="I771" s="33" t="s">
        <v>1148</v>
      </c>
    </row>
    <row r="772" spans="1:9" x14ac:dyDescent="0.2">
      <c r="A772" s="33" t="s">
        <v>263</v>
      </c>
      <c r="B772" s="33" t="s">
        <v>120</v>
      </c>
      <c r="C772" s="33" t="s">
        <v>1149</v>
      </c>
      <c r="D772" s="42">
        <v>0</v>
      </c>
      <c r="E772" s="33" t="s">
        <v>224</v>
      </c>
      <c r="F772" s="34">
        <v>9960</v>
      </c>
      <c r="G772" s="34">
        <v>9960</v>
      </c>
      <c r="H772" s="33" t="s">
        <v>68</v>
      </c>
      <c r="I772" s="33" t="s">
        <v>68</v>
      </c>
    </row>
    <row r="773" spans="1:9" x14ac:dyDescent="0.2">
      <c r="A773" s="33" t="s">
        <v>263</v>
      </c>
      <c r="B773" s="33" t="s">
        <v>120</v>
      </c>
      <c r="C773" s="33" t="s">
        <v>1150</v>
      </c>
      <c r="D773" s="42">
        <v>0</v>
      </c>
      <c r="E773" s="33" t="s">
        <v>224</v>
      </c>
      <c r="F773" s="34">
        <v>4980</v>
      </c>
      <c r="G773" s="34">
        <v>4980</v>
      </c>
      <c r="H773" s="33" t="s">
        <v>68</v>
      </c>
      <c r="I773" s="33" t="s">
        <v>1151</v>
      </c>
    </row>
    <row r="774" spans="1:9" x14ac:dyDescent="0.2">
      <c r="A774" s="33" t="s">
        <v>263</v>
      </c>
      <c r="B774" s="33" t="s">
        <v>120</v>
      </c>
      <c r="C774" s="33" t="s">
        <v>1152</v>
      </c>
      <c r="D774" s="42">
        <v>0</v>
      </c>
      <c r="E774" s="33" t="s">
        <v>224</v>
      </c>
      <c r="F774" s="34">
        <v>4980</v>
      </c>
      <c r="G774" s="34">
        <v>4980</v>
      </c>
      <c r="H774" s="33" t="s">
        <v>68</v>
      </c>
      <c r="I774" s="33" t="s">
        <v>68</v>
      </c>
    </row>
    <row r="775" spans="1:9" x14ac:dyDescent="0.2">
      <c r="A775" s="33" t="s">
        <v>263</v>
      </c>
      <c r="B775" s="33" t="s">
        <v>120</v>
      </c>
      <c r="C775" s="33" t="s">
        <v>1153</v>
      </c>
      <c r="D775" s="42">
        <v>0</v>
      </c>
      <c r="E775" s="33" t="s">
        <v>224</v>
      </c>
      <c r="F775" s="34">
        <v>5130</v>
      </c>
      <c r="G775" s="34">
        <v>5130</v>
      </c>
      <c r="H775" s="33" t="s">
        <v>68</v>
      </c>
      <c r="I775" s="33" t="s">
        <v>68</v>
      </c>
    </row>
    <row r="776" spans="1:9" x14ac:dyDescent="0.2">
      <c r="A776" s="33" t="s">
        <v>263</v>
      </c>
      <c r="B776" s="33" t="s">
        <v>120</v>
      </c>
      <c r="C776" s="33" t="s">
        <v>1154</v>
      </c>
      <c r="D776" s="42">
        <v>0</v>
      </c>
      <c r="E776" s="33" t="s">
        <v>224</v>
      </c>
      <c r="F776" s="34">
        <v>1950</v>
      </c>
      <c r="G776" s="34">
        <v>1950</v>
      </c>
      <c r="H776" s="33" t="s">
        <v>68</v>
      </c>
      <c r="I776" s="33" t="s">
        <v>68</v>
      </c>
    </row>
    <row r="777" spans="1:9" x14ac:dyDescent="0.2">
      <c r="A777" s="33" t="s">
        <v>263</v>
      </c>
      <c r="B777" s="33" t="s">
        <v>120</v>
      </c>
      <c r="C777" s="33" t="s">
        <v>1155</v>
      </c>
      <c r="D777" s="42">
        <v>0</v>
      </c>
      <c r="E777" s="33" t="s">
        <v>224</v>
      </c>
      <c r="F777" s="34">
        <v>180</v>
      </c>
      <c r="G777" s="34">
        <v>180</v>
      </c>
      <c r="H777" s="33" t="s">
        <v>68</v>
      </c>
      <c r="I777" s="33" t="s">
        <v>68</v>
      </c>
    </row>
    <row r="778" spans="1:9" x14ac:dyDescent="0.2">
      <c r="A778" s="33" t="s">
        <v>263</v>
      </c>
      <c r="B778" s="33" t="s">
        <v>120</v>
      </c>
      <c r="C778" s="33" t="s">
        <v>1156</v>
      </c>
      <c r="D778" s="42">
        <v>0</v>
      </c>
      <c r="E778" s="33" t="s">
        <v>224</v>
      </c>
      <c r="F778" s="34">
        <v>9960</v>
      </c>
      <c r="G778" s="34">
        <v>9960</v>
      </c>
      <c r="H778" s="33" t="s">
        <v>68</v>
      </c>
      <c r="I778" s="33" t="s">
        <v>68</v>
      </c>
    </row>
    <row r="779" spans="1:9" x14ac:dyDescent="0.2">
      <c r="A779" s="33" t="s">
        <v>263</v>
      </c>
      <c r="B779" s="33" t="s">
        <v>120</v>
      </c>
      <c r="C779" s="33" t="s">
        <v>1157</v>
      </c>
      <c r="D779" s="42">
        <v>0</v>
      </c>
      <c r="E779" s="33" t="s">
        <v>224</v>
      </c>
      <c r="F779" s="34">
        <v>9960</v>
      </c>
      <c r="G779" s="34">
        <v>9960</v>
      </c>
      <c r="H779" s="33" t="s">
        <v>68</v>
      </c>
      <c r="I779" s="33" t="s">
        <v>68</v>
      </c>
    </row>
    <row r="780" spans="1:9" x14ac:dyDescent="0.2">
      <c r="A780" s="33" t="s">
        <v>263</v>
      </c>
      <c r="B780" s="33" t="s">
        <v>120</v>
      </c>
      <c r="C780" s="33" t="s">
        <v>1158</v>
      </c>
      <c r="D780" s="42">
        <v>0</v>
      </c>
      <c r="E780" s="33" t="s">
        <v>224</v>
      </c>
      <c r="F780" s="34">
        <v>9960</v>
      </c>
      <c r="G780" s="34">
        <v>9960</v>
      </c>
      <c r="H780" s="33" t="s">
        <v>68</v>
      </c>
      <c r="I780" s="33" t="s">
        <v>68</v>
      </c>
    </row>
    <row r="781" spans="1:9" x14ac:dyDescent="0.2">
      <c r="A781" s="33" t="s">
        <v>263</v>
      </c>
      <c r="B781" s="33" t="s">
        <v>120</v>
      </c>
      <c r="C781" s="33" t="s">
        <v>1159</v>
      </c>
      <c r="D781" s="42">
        <v>0</v>
      </c>
      <c r="E781" s="33" t="s">
        <v>224</v>
      </c>
      <c r="F781" s="34">
        <v>10110</v>
      </c>
      <c r="G781" s="34">
        <v>10110</v>
      </c>
      <c r="H781" s="33" t="s">
        <v>68</v>
      </c>
      <c r="I781" s="33" t="s">
        <v>68</v>
      </c>
    </row>
    <row r="782" spans="1:9" x14ac:dyDescent="0.2">
      <c r="A782" s="33" t="s">
        <v>263</v>
      </c>
      <c r="B782" s="33" t="s">
        <v>120</v>
      </c>
      <c r="C782" s="33" t="s">
        <v>1160</v>
      </c>
      <c r="D782" s="42">
        <v>0</v>
      </c>
      <c r="E782" s="33" t="s">
        <v>224</v>
      </c>
      <c r="F782" s="34">
        <v>11040</v>
      </c>
      <c r="G782" s="34">
        <v>11040</v>
      </c>
      <c r="H782" s="33" t="s">
        <v>68</v>
      </c>
      <c r="I782" s="33" t="s">
        <v>68</v>
      </c>
    </row>
    <row r="783" spans="1:9" x14ac:dyDescent="0.2">
      <c r="A783" s="33" t="s">
        <v>263</v>
      </c>
      <c r="B783" s="33" t="s">
        <v>120</v>
      </c>
      <c r="C783" s="33" t="s">
        <v>1161</v>
      </c>
      <c r="D783" s="42">
        <v>0</v>
      </c>
      <c r="E783" s="33" t="s">
        <v>224</v>
      </c>
      <c r="F783" s="34">
        <v>5160</v>
      </c>
      <c r="G783" s="34">
        <v>5160</v>
      </c>
      <c r="H783" s="33" t="s">
        <v>68</v>
      </c>
      <c r="I783" s="33" t="s">
        <v>68</v>
      </c>
    </row>
    <row r="784" spans="1:9" x14ac:dyDescent="0.2">
      <c r="A784" s="33" t="s">
        <v>263</v>
      </c>
      <c r="B784" s="33" t="s">
        <v>120</v>
      </c>
      <c r="C784" s="33" t="s">
        <v>1162</v>
      </c>
      <c r="D784" s="42">
        <v>0</v>
      </c>
      <c r="E784" s="33" t="s">
        <v>224</v>
      </c>
      <c r="F784" s="34">
        <v>5160</v>
      </c>
      <c r="G784" s="34">
        <v>5160</v>
      </c>
      <c r="H784" s="33" t="s">
        <v>68</v>
      </c>
      <c r="I784" s="33" t="s">
        <v>68</v>
      </c>
    </row>
    <row r="785" spans="1:9" x14ac:dyDescent="0.2">
      <c r="A785" s="33" t="s">
        <v>263</v>
      </c>
      <c r="B785" s="33" t="s">
        <v>120</v>
      </c>
      <c r="C785" s="33" t="s">
        <v>1163</v>
      </c>
      <c r="D785" s="42">
        <v>-4.5474735088646412E-13</v>
      </c>
      <c r="E785" s="33" t="s">
        <v>224</v>
      </c>
      <c r="F785" s="34">
        <v>2790</v>
      </c>
      <c r="G785" s="34">
        <v>2790.0000000000005</v>
      </c>
      <c r="H785" s="33" t="s">
        <v>68</v>
      </c>
      <c r="I785" s="33" t="s">
        <v>68</v>
      </c>
    </row>
    <row r="786" spans="1:9" x14ac:dyDescent="0.2">
      <c r="A786" s="33" t="s">
        <v>263</v>
      </c>
      <c r="B786" s="33" t="s">
        <v>120</v>
      </c>
      <c r="C786" s="33" t="s">
        <v>1164</v>
      </c>
      <c r="D786" s="42">
        <v>-2.2737367544323206E-13</v>
      </c>
      <c r="E786" s="33" t="s">
        <v>224</v>
      </c>
      <c r="F786" s="34">
        <v>990</v>
      </c>
      <c r="G786" s="34">
        <v>990.00000000000023</v>
      </c>
      <c r="H786" s="33" t="s">
        <v>68</v>
      </c>
      <c r="I786" s="33" t="s">
        <v>68</v>
      </c>
    </row>
    <row r="787" spans="1:9" x14ac:dyDescent="0.2">
      <c r="A787" s="33" t="s">
        <v>263</v>
      </c>
      <c r="B787" s="33" t="s">
        <v>120</v>
      </c>
      <c r="C787" s="33" t="s">
        <v>1165</v>
      </c>
      <c r="D787" s="42">
        <v>-1.8189894035458565E-12</v>
      </c>
      <c r="E787" s="33" t="s">
        <v>224</v>
      </c>
      <c r="F787" s="34">
        <v>9960</v>
      </c>
      <c r="G787" s="34">
        <v>9960.0000000000018</v>
      </c>
      <c r="H787" s="33" t="s">
        <v>68</v>
      </c>
      <c r="I787" s="33" t="s">
        <v>68</v>
      </c>
    </row>
    <row r="788" spans="1:9" x14ac:dyDescent="0.2">
      <c r="A788" s="33" t="s">
        <v>263</v>
      </c>
      <c r="B788" s="33" t="s">
        <v>120</v>
      </c>
      <c r="C788" s="33" t="s">
        <v>1166</v>
      </c>
      <c r="D788" s="42">
        <v>0</v>
      </c>
      <c r="E788" s="33" t="s">
        <v>224</v>
      </c>
      <c r="F788" s="34">
        <v>9930</v>
      </c>
      <c r="G788" s="34">
        <v>9930</v>
      </c>
      <c r="H788" s="33" t="s">
        <v>68</v>
      </c>
      <c r="I788" s="33" t="s">
        <v>68</v>
      </c>
    </row>
    <row r="789" spans="1:9" x14ac:dyDescent="0.2">
      <c r="A789" s="33" t="s">
        <v>263</v>
      </c>
      <c r="B789" s="33" t="s">
        <v>120</v>
      </c>
      <c r="C789" s="33" t="s">
        <v>1167</v>
      </c>
      <c r="D789" s="42">
        <v>0</v>
      </c>
      <c r="E789" s="33" t="s">
        <v>224</v>
      </c>
      <c r="F789" s="34">
        <v>8670</v>
      </c>
      <c r="G789" s="34">
        <v>8670</v>
      </c>
      <c r="H789" s="33" t="s">
        <v>68</v>
      </c>
      <c r="I789" s="33" t="s">
        <v>1168</v>
      </c>
    </row>
    <row r="790" spans="1:9" x14ac:dyDescent="0.2">
      <c r="A790" s="33" t="s">
        <v>263</v>
      </c>
      <c r="B790" s="33" t="s">
        <v>120</v>
      </c>
      <c r="C790" s="33" t="s">
        <v>1169</v>
      </c>
      <c r="D790" s="42">
        <v>0</v>
      </c>
      <c r="E790" s="33" t="s">
        <v>224</v>
      </c>
      <c r="F790" s="34">
        <v>1290</v>
      </c>
      <c r="G790" s="34">
        <v>1290</v>
      </c>
      <c r="H790" s="33" t="s">
        <v>68</v>
      </c>
      <c r="I790" s="33" t="s">
        <v>1170</v>
      </c>
    </row>
    <row r="791" spans="1:9" x14ac:dyDescent="0.2">
      <c r="A791" s="33" t="s">
        <v>263</v>
      </c>
      <c r="B791" s="33" t="s">
        <v>120</v>
      </c>
      <c r="C791" s="33" t="s">
        <v>1171</v>
      </c>
      <c r="D791" s="42">
        <v>0</v>
      </c>
      <c r="E791" s="33" t="s">
        <v>224</v>
      </c>
      <c r="F791" s="34">
        <v>900</v>
      </c>
      <c r="G791" s="34">
        <v>900</v>
      </c>
      <c r="H791" s="33" t="s">
        <v>68</v>
      </c>
      <c r="I791" s="33" t="s">
        <v>68</v>
      </c>
    </row>
    <row r="792" spans="1:9" x14ac:dyDescent="0.2">
      <c r="A792" s="33" t="s">
        <v>263</v>
      </c>
      <c r="B792" s="33" t="s">
        <v>120</v>
      </c>
      <c r="C792" s="33" t="s">
        <v>1172</v>
      </c>
      <c r="D792" s="42">
        <v>0</v>
      </c>
      <c r="E792" s="33" t="s">
        <v>224</v>
      </c>
      <c r="F792" s="34">
        <v>90</v>
      </c>
      <c r="G792" s="34">
        <v>90</v>
      </c>
      <c r="H792" s="33" t="s">
        <v>68</v>
      </c>
      <c r="I792" s="33" t="s">
        <v>68</v>
      </c>
    </row>
    <row r="793" spans="1:9" x14ac:dyDescent="0.2">
      <c r="A793" s="33" t="s">
        <v>263</v>
      </c>
      <c r="B793" s="33" t="s">
        <v>120</v>
      </c>
      <c r="C793" s="33" t="s">
        <v>1173</v>
      </c>
      <c r="D793" s="42">
        <v>0</v>
      </c>
      <c r="E793" s="33" t="s">
        <v>224</v>
      </c>
      <c r="F793" s="34">
        <v>4980</v>
      </c>
      <c r="G793" s="34">
        <v>4980</v>
      </c>
      <c r="H793" s="33" t="s">
        <v>68</v>
      </c>
      <c r="I793" s="33" t="s">
        <v>68</v>
      </c>
    </row>
    <row r="794" spans="1:9" x14ac:dyDescent="0.2">
      <c r="A794" s="33" t="s">
        <v>263</v>
      </c>
      <c r="B794" s="33" t="s">
        <v>120</v>
      </c>
      <c r="C794" s="33" t="s">
        <v>1174</v>
      </c>
      <c r="D794" s="42">
        <v>0</v>
      </c>
      <c r="E794" s="33" t="s">
        <v>224</v>
      </c>
      <c r="F794" s="34">
        <v>4950</v>
      </c>
      <c r="G794" s="34">
        <v>4950</v>
      </c>
      <c r="H794" s="33" t="s">
        <v>68</v>
      </c>
      <c r="I794" s="33" t="s">
        <v>68</v>
      </c>
    </row>
    <row r="795" spans="1:9" x14ac:dyDescent="0.2">
      <c r="A795" s="33" t="s">
        <v>263</v>
      </c>
      <c r="B795" s="33" t="s">
        <v>120</v>
      </c>
      <c r="C795" s="33" t="s">
        <v>1175</v>
      </c>
      <c r="D795" s="42">
        <v>0</v>
      </c>
      <c r="E795" s="33" t="s">
        <v>224</v>
      </c>
      <c r="F795" s="34">
        <v>4980</v>
      </c>
      <c r="G795" s="34">
        <v>4980</v>
      </c>
      <c r="H795" s="33" t="s">
        <v>68</v>
      </c>
      <c r="I795" s="33" t="s">
        <v>68</v>
      </c>
    </row>
    <row r="796" spans="1:9" x14ac:dyDescent="0.2">
      <c r="A796" s="33" t="s">
        <v>263</v>
      </c>
      <c r="B796" s="33" t="s">
        <v>120</v>
      </c>
      <c r="C796" s="33" t="s">
        <v>1176</v>
      </c>
      <c r="D796" s="42">
        <v>0</v>
      </c>
      <c r="E796" s="33" t="s">
        <v>224</v>
      </c>
      <c r="F796" s="34">
        <v>9960</v>
      </c>
      <c r="G796" s="34">
        <v>9960</v>
      </c>
      <c r="H796" s="33" t="s">
        <v>68</v>
      </c>
      <c r="I796" s="33" t="s">
        <v>68</v>
      </c>
    </row>
    <row r="797" spans="1:9" x14ac:dyDescent="0.2">
      <c r="A797" s="33" t="s">
        <v>263</v>
      </c>
      <c r="B797" s="33" t="s">
        <v>120</v>
      </c>
      <c r="C797" s="33" t="s">
        <v>1177</v>
      </c>
      <c r="D797" s="42">
        <v>0</v>
      </c>
      <c r="E797" s="33" t="s">
        <v>224</v>
      </c>
      <c r="F797" s="34">
        <v>4980</v>
      </c>
      <c r="G797" s="34">
        <v>4980</v>
      </c>
      <c r="H797" s="33" t="s">
        <v>68</v>
      </c>
      <c r="I797" s="33" t="s">
        <v>68</v>
      </c>
    </row>
    <row r="798" spans="1:9" x14ac:dyDescent="0.2">
      <c r="A798" s="33" t="s">
        <v>263</v>
      </c>
      <c r="B798" s="33" t="s">
        <v>120</v>
      </c>
      <c r="C798" s="33" t="s">
        <v>1178</v>
      </c>
      <c r="D798" s="42">
        <v>0</v>
      </c>
      <c r="E798" s="33" t="s">
        <v>224</v>
      </c>
      <c r="F798" s="34">
        <v>4980</v>
      </c>
      <c r="G798" s="34">
        <v>4980</v>
      </c>
      <c r="H798" s="33" t="s">
        <v>68</v>
      </c>
      <c r="I798" s="33" t="s">
        <v>68</v>
      </c>
    </row>
    <row r="799" spans="1:9" x14ac:dyDescent="0.2">
      <c r="A799" s="33" t="s">
        <v>263</v>
      </c>
      <c r="B799" s="33" t="s">
        <v>120</v>
      </c>
      <c r="C799" s="33" t="s">
        <v>1179</v>
      </c>
      <c r="D799" s="42">
        <v>0</v>
      </c>
      <c r="E799" s="33" t="s">
        <v>224</v>
      </c>
      <c r="F799" s="34">
        <v>9960</v>
      </c>
      <c r="G799" s="34">
        <v>9960</v>
      </c>
      <c r="H799" s="33" t="s">
        <v>68</v>
      </c>
      <c r="I799" s="33" t="s">
        <v>68</v>
      </c>
    </row>
    <row r="800" spans="1:9" x14ac:dyDescent="0.2">
      <c r="A800" s="33" t="s">
        <v>263</v>
      </c>
      <c r="B800" s="33" t="s">
        <v>120</v>
      </c>
      <c r="C800" s="33" t="s">
        <v>1180</v>
      </c>
      <c r="D800" s="42">
        <v>0</v>
      </c>
      <c r="E800" s="33" t="s">
        <v>224</v>
      </c>
      <c r="F800" s="34">
        <v>9960</v>
      </c>
      <c r="G800" s="34">
        <v>9960</v>
      </c>
      <c r="H800" s="33" t="s">
        <v>68</v>
      </c>
      <c r="I800" s="33" t="s">
        <v>68</v>
      </c>
    </row>
    <row r="801" spans="1:9" x14ac:dyDescent="0.2">
      <c r="A801" s="33" t="s">
        <v>263</v>
      </c>
      <c r="B801" s="33" t="s">
        <v>120</v>
      </c>
      <c r="C801" s="33" t="s">
        <v>1181</v>
      </c>
      <c r="D801" s="42">
        <v>0</v>
      </c>
      <c r="E801" s="33" t="s">
        <v>224</v>
      </c>
      <c r="F801" s="34">
        <v>9960</v>
      </c>
      <c r="G801" s="34">
        <v>9960</v>
      </c>
      <c r="H801" s="33" t="s">
        <v>68</v>
      </c>
      <c r="I801" s="33" t="s">
        <v>68</v>
      </c>
    </row>
    <row r="802" spans="1:9" x14ac:dyDescent="0.2">
      <c r="A802" s="33" t="s">
        <v>263</v>
      </c>
      <c r="B802" s="33" t="s">
        <v>120</v>
      </c>
      <c r="C802" s="33" t="s">
        <v>1182</v>
      </c>
      <c r="D802" s="42">
        <v>2867</v>
      </c>
      <c r="E802" s="33" t="s">
        <v>224</v>
      </c>
      <c r="F802" s="34">
        <v>4980</v>
      </c>
      <c r="G802" s="34">
        <v>2113</v>
      </c>
      <c r="H802" s="33" t="s">
        <v>68</v>
      </c>
      <c r="I802" s="33" t="s">
        <v>68</v>
      </c>
    </row>
    <row r="803" spans="1:9" x14ac:dyDescent="0.2">
      <c r="A803" s="33" t="s">
        <v>263</v>
      </c>
      <c r="B803" s="33" t="s">
        <v>120</v>
      </c>
      <c r="C803" s="33" t="s">
        <v>1183</v>
      </c>
      <c r="D803" s="42">
        <v>0</v>
      </c>
      <c r="E803" s="33" t="s">
        <v>224</v>
      </c>
      <c r="F803" s="34">
        <v>89</v>
      </c>
      <c r="G803" s="34">
        <v>89</v>
      </c>
      <c r="H803" s="33" t="s">
        <v>68</v>
      </c>
      <c r="I803" s="33" t="s">
        <v>68</v>
      </c>
    </row>
    <row r="804" spans="1:9" x14ac:dyDescent="0.2">
      <c r="A804" s="33" t="s">
        <v>263</v>
      </c>
      <c r="B804" s="33" t="s">
        <v>120</v>
      </c>
      <c r="C804" s="33" t="s">
        <v>1184</v>
      </c>
      <c r="D804" s="42">
        <v>-2.2737367544323206E-13</v>
      </c>
      <c r="E804" s="33" t="s">
        <v>224</v>
      </c>
      <c r="F804" s="34">
        <v>1348</v>
      </c>
      <c r="G804" s="34">
        <v>1348.0000000000002</v>
      </c>
      <c r="H804" s="33" t="s">
        <v>68</v>
      </c>
      <c r="I804" s="33" t="s">
        <v>68</v>
      </c>
    </row>
    <row r="805" spans="1:9" x14ac:dyDescent="0.2">
      <c r="A805" s="33" t="s">
        <v>285</v>
      </c>
      <c r="B805" s="33" t="s">
        <v>121</v>
      </c>
      <c r="C805" s="33" t="s">
        <v>1185</v>
      </c>
      <c r="D805" s="42">
        <v>0</v>
      </c>
      <c r="E805" s="33" t="s">
        <v>224</v>
      </c>
      <c r="F805" s="34">
        <v>18</v>
      </c>
      <c r="G805" s="34">
        <v>18</v>
      </c>
      <c r="H805" s="33" t="s">
        <v>68</v>
      </c>
      <c r="I805" s="33" t="s">
        <v>68</v>
      </c>
    </row>
    <row r="806" spans="1:9" x14ac:dyDescent="0.2">
      <c r="A806" s="33" t="s">
        <v>285</v>
      </c>
      <c r="B806" s="33" t="s">
        <v>121</v>
      </c>
      <c r="C806" s="33" t="s">
        <v>1186</v>
      </c>
      <c r="D806" s="42">
        <v>0</v>
      </c>
      <c r="E806" s="33" t="s">
        <v>224</v>
      </c>
      <c r="F806" s="34">
        <v>619</v>
      </c>
      <c r="G806" s="34">
        <v>619</v>
      </c>
      <c r="H806" s="33" t="s">
        <v>68</v>
      </c>
      <c r="I806" s="33" t="s">
        <v>68</v>
      </c>
    </row>
    <row r="807" spans="1:9" x14ac:dyDescent="0.2">
      <c r="A807" s="33" t="s">
        <v>285</v>
      </c>
      <c r="B807" s="33" t="s">
        <v>121</v>
      </c>
      <c r="C807" s="33" t="s">
        <v>1187</v>
      </c>
      <c r="D807" s="42">
        <v>0</v>
      </c>
      <c r="E807" s="33" t="s">
        <v>224</v>
      </c>
      <c r="F807" s="34">
        <v>14161</v>
      </c>
      <c r="G807" s="34">
        <v>14161</v>
      </c>
      <c r="H807" s="33" t="s">
        <v>68</v>
      </c>
      <c r="I807" s="33" t="s">
        <v>68</v>
      </c>
    </row>
    <row r="808" spans="1:9" x14ac:dyDescent="0.2">
      <c r="A808" s="33" t="s">
        <v>285</v>
      </c>
      <c r="B808" s="33" t="s">
        <v>121</v>
      </c>
      <c r="C808" s="33" t="s">
        <v>1188</v>
      </c>
      <c r="D808" s="42">
        <v>0</v>
      </c>
      <c r="E808" s="33" t="s">
        <v>224</v>
      </c>
      <c r="F808" s="34">
        <v>5761</v>
      </c>
      <c r="G808" s="34">
        <v>5761</v>
      </c>
      <c r="H808" s="33" t="s">
        <v>68</v>
      </c>
      <c r="I808" s="33" t="s">
        <v>68</v>
      </c>
    </row>
    <row r="809" spans="1:9" x14ac:dyDescent="0.2">
      <c r="A809" s="33" t="s">
        <v>285</v>
      </c>
      <c r="B809" s="33" t="s">
        <v>121</v>
      </c>
      <c r="C809" s="33" t="s">
        <v>1189</v>
      </c>
      <c r="D809" s="42">
        <v>0</v>
      </c>
      <c r="E809" s="33" t="s">
        <v>224</v>
      </c>
      <c r="F809" s="34">
        <v>3913</v>
      </c>
      <c r="G809" s="34">
        <v>3913</v>
      </c>
      <c r="H809" s="33" t="s">
        <v>68</v>
      </c>
      <c r="I809" s="33" t="s">
        <v>68</v>
      </c>
    </row>
    <row r="810" spans="1:9" x14ac:dyDescent="0.2">
      <c r="A810" s="33" t="s">
        <v>285</v>
      </c>
      <c r="B810" s="33" t="s">
        <v>121</v>
      </c>
      <c r="C810" s="33" t="s">
        <v>1190</v>
      </c>
      <c r="D810" s="42">
        <v>0</v>
      </c>
      <c r="E810" s="33" t="s">
        <v>224</v>
      </c>
      <c r="F810" s="34">
        <v>15</v>
      </c>
      <c r="G810" s="34">
        <v>15</v>
      </c>
      <c r="H810" s="33" t="s">
        <v>68</v>
      </c>
      <c r="I810" s="33" t="s">
        <v>68</v>
      </c>
    </row>
    <row r="811" spans="1:9" x14ac:dyDescent="0.2">
      <c r="A811" s="33" t="s">
        <v>285</v>
      </c>
      <c r="B811" s="33" t="s">
        <v>121</v>
      </c>
      <c r="C811" s="33" t="s">
        <v>1191</v>
      </c>
      <c r="D811" s="42">
        <v>0</v>
      </c>
      <c r="E811" s="33" t="s">
        <v>224</v>
      </c>
      <c r="F811" s="34">
        <v>8000</v>
      </c>
      <c r="G811" s="34">
        <v>8000</v>
      </c>
      <c r="H811" s="33" t="s">
        <v>68</v>
      </c>
      <c r="I811" s="33" t="s">
        <v>68</v>
      </c>
    </row>
    <row r="812" spans="1:9" x14ac:dyDescent="0.2">
      <c r="A812" s="33" t="s">
        <v>285</v>
      </c>
      <c r="B812" s="33" t="s">
        <v>121</v>
      </c>
      <c r="C812" s="33" t="s">
        <v>1192</v>
      </c>
      <c r="D812" s="42">
        <v>0</v>
      </c>
      <c r="E812" s="33" t="s">
        <v>224</v>
      </c>
      <c r="F812" s="34">
        <v>11000</v>
      </c>
      <c r="G812" s="34">
        <v>11000</v>
      </c>
      <c r="H812" s="33" t="s">
        <v>68</v>
      </c>
      <c r="I812" s="33" t="s">
        <v>68</v>
      </c>
    </row>
    <row r="813" spans="1:9" x14ac:dyDescent="0.2">
      <c r="A813" s="33" t="s">
        <v>285</v>
      </c>
      <c r="B813" s="33" t="s">
        <v>121</v>
      </c>
      <c r="C813" s="33" t="s">
        <v>1193</v>
      </c>
      <c r="D813" s="42">
        <v>0</v>
      </c>
      <c r="E813" s="33" t="s">
        <v>224</v>
      </c>
      <c r="F813" s="34">
        <v>80</v>
      </c>
      <c r="G813" s="34">
        <v>80</v>
      </c>
      <c r="H813" s="33" t="s">
        <v>68</v>
      </c>
      <c r="I813" s="33" t="s">
        <v>68</v>
      </c>
    </row>
    <row r="814" spans="1:9" x14ac:dyDescent="0.2">
      <c r="A814" s="33" t="s">
        <v>285</v>
      </c>
      <c r="B814" s="33" t="s">
        <v>121</v>
      </c>
      <c r="C814" s="33" t="s">
        <v>1194</v>
      </c>
      <c r="D814" s="42">
        <v>0</v>
      </c>
      <c r="E814" s="33" t="s">
        <v>224</v>
      </c>
      <c r="F814" s="34">
        <v>160</v>
      </c>
      <c r="G814" s="34">
        <v>160</v>
      </c>
      <c r="H814" s="33" t="s">
        <v>68</v>
      </c>
      <c r="I814" s="33" t="s">
        <v>68</v>
      </c>
    </row>
    <row r="815" spans="1:9" x14ac:dyDescent="0.2">
      <c r="A815" s="33" t="s">
        <v>285</v>
      </c>
      <c r="B815" s="33" t="s">
        <v>121</v>
      </c>
      <c r="C815" s="33" t="s">
        <v>1195</v>
      </c>
      <c r="D815" s="42">
        <v>0</v>
      </c>
      <c r="E815" s="33" t="s">
        <v>224</v>
      </c>
      <c r="F815" s="34">
        <v>1720</v>
      </c>
      <c r="G815" s="34">
        <v>1720</v>
      </c>
      <c r="H815" s="33" t="s">
        <v>68</v>
      </c>
      <c r="I815" s="33" t="s">
        <v>68</v>
      </c>
    </row>
    <row r="816" spans="1:9" x14ac:dyDescent="0.2">
      <c r="A816" s="33" t="s">
        <v>285</v>
      </c>
      <c r="B816" s="33" t="s">
        <v>121</v>
      </c>
      <c r="C816" s="33" t="s">
        <v>1196</v>
      </c>
      <c r="D816" s="42">
        <v>-4.5474735088646412E-13</v>
      </c>
      <c r="E816" s="33" t="s">
        <v>224</v>
      </c>
      <c r="F816" s="34">
        <v>4020</v>
      </c>
      <c r="G816" s="34">
        <v>4020.0000000000005</v>
      </c>
      <c r="H816" s="33" t="s">
        <v>68</v>
      </c>
      <c r="I816" s="33" t="s">
        <v>68</v>
      </c>
    </row>
    <row r="817" spans="1:9" x14ac:dyDescent="0.2">
      <c r="A817" s="33" t="s">
        <v>285</v>
      </c>
      <c r="B817" s="33" t="s">
        <v>121</v>
      </c>
      <c r="C817" s="33" t="s">
        <v>1197</v>
      </c>
      <c r="D817" s="42">
        <v>0</v>
      </c>
      <c r="E817" s="33" t="s">
        <v>224</v>
      </c>
      <c r="F817" s="34">
        <v>5700</v>
      </c>
      <c r="G817" s="34">
        <v>5700</v>
      </c>
      <c r="H817" s="33" t="s">
        <v>68</v>
      </c>
      <c r="I817" s="33" t="s">
        <v>68</v>
      </c>
    </row>
    <row r="818" spans="1:9" x14ac:dyDescent="0.2">
      <c r="A818" s="33" t="s">
        <v>285</v>
      </c>
      <c r="B818" s="33" t="s">
        <v>121</v>
      </c>
      <c r="C818" s="33" t="s">
        <v>1198</v>
      </c>
      <c r="D818" s="42">
        <v>1.8189894035458565E-12</v>
      </c>
      <c r="E818" s="33" t="s">
        <v>224</v>
      </c>
      <c r="F818" s="34">
        <v>5820</v>
      </c>
      <c r="G818" s="34">
        <v>5819.9999999999982</v>
      </c>
      <c r="H818" s="33" t="s">
        <v>68</v>
      </c>
      <c r="I818" s="33" t="s">
        <v>68</v>
      </c>
    </row>
    <row r="819" spans="1:9" ht="26" x14ac:dyDescent="0.2">
      <c r="A819" s="33" t="s">
        <v>285</v>
      </c>
      <c r="B819" s="33" t="s">
        <v>121</v>
      </c>
      <c r="C819" s="33" t="s">
        <v>1199</v>
      </c>
      <c r="D819" s="42">
        <v>0</v>
      </c>
      <c r="E819" s="33" t="s">
        <v>224</v>
      </c>
      <c r="F819" s="34">
        <v>5960</v>
      </c>
      <c r="G819" s="34">
        <v>5960</v>
      </c>
      <c r="H819" s="33" t="s">
        <v>68</v>
      </c>
      <c r="I819" s="33" t="s">
        <v>68</v>
      </c>
    </row>
    <row r="820" spans="1:9" ht="26" x14ac:dyDescent="0.2">
      <c r="A820" s="33" t="s">
        <v>285</v>
      </c>
      <c r="B820" s="33" t="s">
        <v>121</v>
      </c>
      <c r="C820" s="33" t="s">
        <v>1200</v>
      </c>
      <c r="D820" s="42">
        <v>20.800000000000004</v>
      </c>
      <c r="E820" s="33" t="s">
        <v>224</v>
      </c>
      <c r="F820" s="34">
        <v>80</v>
      </c>
      <c r="G820" s="34">
        <v>59.199999999999996</v>
      </c>
      <c r="H820" s="33" t="s">
        <v>68</v>
      </c>
      <c r="I820" s="33" t="s">
        <v>68</v>
      </c>
    </row>
    <row r="821" spans="1:9" x14ac:dyDescent="0.2">
      <c r="A821" s="33" t="s">
        <v>286</v>
      </c>
      <c r="B821" s="33" t="s">
        <v>122</v>
      </c>
      <c r="C821" s="33" t="s">
        <v>1201</v>
      </c>
      <c r="D821" s="42">
        <v>0</v>
      </c>
      <c r="E821" s="33" t="s">
        <v>224</v>
      </c>
      <c r="F821" s="34">
        <v>16</v>
      </c>
      <c r="G821" s="34">
        <v>16</v>
      </c>
      <c r="H821" s="33" t="s">
        <v>68</v>
      </c>
      <c r="I821" s="33" t="s">
        <v>68</v>
      </c>
    </row>
    <row r="822" spans="1:9" x14ac:dyDescent="0.2">
      <c r="A822" s="33" t="s">
        <v>286</v>
      </c>
      <c r="B822" s="33" t="s">
        <v>122</v>
      </c>
      <c r="C822" s="33" t="s">
        <v>1202</v>
      </c>
      <c r="D822" s="42">
        <v>0</v>
      </c>
      <c r="E822" s="33" t="s">
        <v>224</v>
      </c>
      <c r="F822" s="34">
        <v>219</v>
      </c>
      <c r="G822" s="34">
        <v>219</v>
      </c>
      <c r="H822" s="33" t="s">
        <v>68</v>
      </c>
      <c r="I822" s="33" t="s">
        <v>68</v>
      </c>
    </row>
    <row r="823" spans="1:9" x14ac:dyDescent="0.2">
      <c r="A823" s="33" t="s">
        <v>286</v>
      </c>
      <c r="B823" s="33" t="s">
        <v>122</v>
      </c>
      <c r="C823" s="33" t="s">
        <v>1203</v>
      </c>
      <c r="D823" s="42">
        <v>0</v>
      </c>
      <c r="E823" s="33" t="s">
        <v>224</v>
      </c>
      <c r="F823" s="34">
        <v>3980</v>
      </c>
      <c r="G823" s="34">
        <v>3980</v>
      </c>
      <c r="H823" s="33" t="s">
        <v>68</v>
      </c>
      <c r="I823" s="33" t="s">
        <v>68</v>
      </c>
    </row>
    <row r="824" spans="1:9" x14ac:dyDescent="0.2">
      <c r="A824" s="33" t="s">
        <v>286</v>
      </c>
      <c r="B824" s="33" t="s">
        <v>122</v>
      </c>
      <c r="C824" s="33" t="s">
        <v>1204</v>
      </c>
      <c r="D824" s="42">
        <v>0</v>
      </c>
      <c r="E824" s="33" t="s">
        <v>224</v>
      </c>
      <c r="F824" s="34">
        <v>1276</v>
      </c>
      <c r="G824" s="34">
        <v>1276</v>
      </c>
      <c r="H824" s="33" t="s">
        <v>68</v>
      </c>
      <c r="I824" s="33" t="s">
        <v>68</v>
      </c>
    </row>
    <row r="825" spans="1:9" x14ac:dyDescent="0.2">
      <c r="A825" s="33" t="s">
        <v>286</v>
      </c>
      <c r="B825" s="33" t="s">
        <v>122</v>
      </c>
      <c r="C825" s="33" t="s">
        <v>1205</v>
      </c>
      <c r="D825" s="42">
        <v>0</v>
      </c>
      <c r="E825" s="33" t="s">
        <v>224</v>
      </c>
      <c r="F825" s="34">
        <v>15466</v>
      </c>
      <c r="G825" s="34">
        <v>15466</v>
      </c>
      <c r="H825" s="33" t="s">
        <v>68</v>
      </c>
      <c r="I825" s="33" t="s">
        <v>68</v>
      </c>
    </row>
    <row r="826" spans="1:9" x14ac:dyDescent="0.2">
      <c r="A826" s="33" t="s">
        <v>286</v>
      </c>
      <c r="B826" s="33" t="s">
        <v>122</v>
      </c>
      <c r="C826" s="33" t="s">
        <v>1206</v>
      </c>
      <c r="D826" s="42">
        <v>0</v>
      </c>
      <c r="E826" s="33" t="s">
        <v>224</v>
      </c>
      <c r="F826" s="34">
        <v>980</v>
      </c>
      <c r="G826" s="34">
        <v>980</v>
      </c>
      <c r="H826" s="33" t="s">
        <v>68</v>
      </c>
      <c r="I826" s="33" t="s">
        <v>68</v>
      </c>
    </row>
    <row r="827" spans="1:9" x14ac:dyDescent="0.2">
      <c r="A827" s="33" t="s">
        <v>286</v>
      </c>
      <c r="B827" s="33" t="s">
        <v>122</v>
      </c>
      <c r="C827" s="33" t="s">
        <v>1207</v>
      </c>
      <c r="D827" s="42">
        <v>0</v>
      </c>
      <c r="E827" s="33" t="s">
        <v>224</v>
      </c>
      <c r="F827" s="34">
        <v>2550</v>
      </c>
      <c r="G827" s="34">
        <v>2550</v>
      </c>
      <c r="H827" s="33" t="s">
        <v>68</v>
      </c>
      <c r="I827" s="33" t="s">
        <v>68</v>
      </c>
    </row>
    <row r="828" spans="1:9" x14ac:dyDescent="0.2">
      <c r="A828" s="33" t="s">
        <v>286</v>
      </c>
      <c r="B828" s="33" t="s">
        <v>122</v>
      </c>
      <c r="C828" s="33" t="s">
        <v>1208</v>
      </c>
      <c r="D828" s="42">
        <v>0</v>
      </c>
      <c r="E828" s="33" t="s">
        <v>224</v>
      </c>
      <c r="F828" s="34">
        <v>14920</v>
      </c>
      <c r="G828" s="34">
        <v>14920</v>
      </c>
      <c r="H828" s="33" t="s">
        <v>68</v>
      </c>
      <c r="I828" s="33" t="s">
        <v>68</v>
      </c>
    </row>
    <row r="829" spans="1:9" x14ac:dyDescent="0.2">
      <c r="A829" s="33" t="s">
        <v>286</v>
      </c>
      <c r="B829" s="33" t="s">
        <v>122</v>
      </c>
      <c r="C829" s="33" t="s">
        <v>1209</v>
      </c>
      <c r="D829" s="42">
        <v>0</v>
      </c>
      <c r="E829" s="33" t="s">
        <v>224</v>
      </c>
      <c r="F829" s="34">
        <v>4080</v>
      </c>
      <c r="G829" s="34">
        <v>4080</v>
      </c>
      <c r="H829" s="33" t="s">
        <v>68</v>
      </c>
      <c r="I829" s="33" t="s">
        <v>68</v>
      </c>
    </row>
    <row r="830" spans="1:9" x14ac:dyDescent="0.2">
      <c r="A830" s="33" t="s">
        <v>286</v>
      </c>
      <c r="B830" s="33" t="s">
        <v>122</v>
      </c>
      <c r="C830" s="33" t="s">
        <v>1210</v>
      </c>
      <c r="D830" s="42">
        <v>0</v>
      </c>
      <c r="E830" s="33" t="s">
        <v>224</v>
      </c>
      <c r="F830" s="34">
        <v>80</v>
      </c>
      <c r="G830" s="34">
        <v>80</v>
      </c>
      <c r="H830" s="33" t="s">
        <v>68</v>
      </c>
      <c r="I830" s="33" t="s">
        <v>68</v>
      </c>
    </row>
    <row r="831" spans="1:9" x14ac:dyDescent="0.2">
      <c r="A831" s="33" t="s">
        <v>286</v>
      </c>
      <c r="B831" s="33" t="s">
        <v>122</v>
      </c>
      <c r="C831" s="33" t="s">
        <v>1211</v>
      </c>
      <c r="D831" s="42">
        <v>0</v>
      </c>
      <c r="E831" s="33" t="s">
        <v>224</v>
      </c>
      <c r="F831" s="34">
        <v>160</v>
      </c>
      <c r="G831" s="34">
        <v>160</v>
      </c>
      <c r="H831" s="33" t="s">
        <v>68</v>
      </c>
      <c r="I831" s="33" t="s">
        <v>68</v>
      </c>
    </row>
    <row r="832" spans="1:9" x14ac:dyDescent="0.2">
      <c r="A832" s="33" t="s">
        <v>286</v>
      </c>
      <c r="B832" s="33" t="s">
        <v>122</v>
      </c>
      <c r="C832" s="33" t="s">
        <v>1212</v>
      </c>
      <c r="D832" s="42">
        <v>0</v>
      </c>
      <c r="E832" s="33" t="s">
        <v>224</v>
      </c>
      <c r="F832" s="34">
        <v>5740</v>
      </c>
      <c r="G832" s="34">
        <v>5740</v>
      </c>
      <c r="H832" s="33" t="s">
        <v>891</v>
      </c>
      <c r="I832" s="33" t="s">
        <v>68</v>
      </c>
    </row>
    <row r="833" spans="1:9" x14ac:dyDescent="0.2">
      <c r="A833" s="33" t="s">
        <v>286</v>
      </c>
      <c r="B833" s="33" t="s">
        <v>122</v>
      </c>
      <c r="C833" s="33" t="s">
        <v>1213</v>
      </c>
      <c r="D833" s="42">
        <v>0</v>
      </c>
      <c r="E833" s="33" t="s">
        <v>224</v>
      </c>
      <c r="F833" s="34">
        <v>5700</v>
      </c>
      <c r="G833" s="34">
        <v>5700</v>
      </c>
      <c r="H833" s="33" t="s">
        <v>1214</v>
      </c>
      <c r="I833" s="33" t="s">
        <v>68</v>
      </c>
    </row>
    <row r="834" spans="1:9" x14ac:dyDescent="0.2">
      <c r="A834" s="33" t="s">
        <v>286</v>
      </c>
      <c r="B834" s="33" t="s">
        <v>122</v>
      </c>
      <c r="C834" s="33" t="s">
        <v>1215</v>
      </c>
      <c r="D834" s="42">
        <v>2.7284841053187847E-12</v>
      </c>
      <c r="E834" s="33" t="s">
        <v>224</v>
      </c>
      <c r="F834" s="34">
        <v>5820</v>
      </c>
      <c r="G834" s="34">
        <v>5819.9999999999973</v>
      </c>
      <c r="H834" s="33" t="s">
        <v>1216</v>
      </c>
      <c r="I834" s="33" t="s">
        <v>68</v>
      </c>
    </row>
    <row r="835" spans="1:9" x14ac:dyDescent="0.2">
      <c r="A835" s="33" t="s">
        <v>286</v>
      </c>
      <c r="B835" s="33" t="s">
        <v>122</v>
      </c>
      <c r="C835" s="33" t="s">
        <v>1217</v>
      </c>
      <c r="D835" s="42">
        <v>-7.1054273576010019E-15</v>
      </c>
      <c r="E835" s="33" t="s">
        <v>224</v>
      </c>
      <c r="F835" s="34">
        <v>40</v>
      </c>
      <c r="G835" s="34">
        <v>40.000000000000007</v>
      </c>
      <c r="H835" s="33" t="s">
        <v>1218</v>
      </c>
      <c r="I835" s="33" t="s">
        <v>68</v>
      </c>
    </row>
    <row r="836" spans="1:9" x14ac:dyDescent="0.2">
      <c r="A836" s="33" t="s">
        <v>286</v>
      </c>
      <c r="B836" s="33" t="s">
        <v>122</v>
      </c>
      <c r="C836" s="33" t="s">
        <v>1219</v>
      </c>
      <c r="D836" s="42">
        <v>5.2000000000000028</v>
      </c>
      <c r="E836" s="33" t="s">
        <v>224</v>
      </c>
      <c r="F836" s="34">
        <v>60</v>
      </c>
      <c r="G836" s="34">
        <v>54.8</v>
      </c>
      <c r="H836" s="33" t="s">
        <v>1220</v>
      </c>
      <c r="I836" s="33" t="s">
        <v>68</v>
      </c>
    </row>
    <row r="837" spans="1:9" x14ac:dyDescent="0.2">
      <c r="A837" s="33" t="s">
        <v>286</v>
      </c>
      <c r="B837" s="33" t="s">
        <v>122</v>
      </c>
      <c r="C837" s="33" t="s">
        <v>1221</v>
      </c>
      <c r="D837" s="42">
        <v>-1.8189894035458565E-12</v>
      </c>
      <c r="E837" s="33" t="s">
        <v>224</v>
      </c>
      <c r="F837" s="34">
        <v>5920</v>
      </c>
      <c r="G837" s="34">
        <v>5920.0000000000018</v>
      </c>
      <c r="H837" s="33" t="s">
        <v>1218</v>
      </c>
      <c r="I837" s="33" t="s">
        <v>68</v>
      </c>
    </row>
    <row r="838" spans="1:9" x14ac:dyDescent="0.2">
      <c r="A838" s="33" t="s">
        <v>287</v>
      </c>
      <c r="B838" s="33" t="s">
        <v>123</v>
      </c>
      <c r="C838" s="33" t="s">
        <v>1222</v>
      </c>
      <c r="D838" s="42">
        <v>0</v>
      </c>
      <c r="E838" s="33" t="s">
        <v>224</v>
      </c>
      <c r="F838" s="34">
        <v>21.6</v>
      </c>
      <c r="G838" s="34">
        <v>21.6</v>
      </c>
      <c r="H838" s="33" t="s">
        <v>68</v>
      </c>
      <c r="I838" s="33" t="s">
        <v>68</v>
      </c>
    </row>
    <row r="839" spans="1:9" x14ac:dyDescent="0.2">
      <c r="A839" s="33" t="s">
        <v>287</v>
      </c>
      <c r="B839" s="33" t="s">
        <v>123</v>
      </c>
      <c r="C839" s="33" t="s">
        <v>1223</v>
      </c>
      <c r="D839" s="42">
        <v>0</v>
      </c>
      <c r="E839" s="33" t="s">
        <v>224</v>
      </c>
      <c r="F839" s="34">
        <v>4200</v>
      </c>
      <c r="G839" s="34">
        <v>4200</v>
      </c>
      <c r="H839" s="33" t="s">
        <v>68</v>
      </c>
      <c r="I839" s="33" t="s">
        <v>68</v>
      </c>
    </row>
    <row r="840" spans="1:9" x14ac:dyDescent="0.2">
      <c r="A840" s="33" t="s">
        <v>287</v>
      </c>
      <c r="B840" s="33" t="s">
        <v>123</v>
      </c>
      <c r="C840" s="33" t="s">
        <v>1224</v>
      </c>
      <c r="D840" s="42">
        <v>0</v>
      </c>
      <c r="E840" s="33" t="s">
        <v>224</v>
      </c>
      <c r="F840" s="34">
        <v>1486.8</v>
      </c>
      <c r="G840" s="34">
        <v>1486.8</v>
      </c>
      <c r="H840" s="33" t="s">
        <v>68</v>
      </c>
      <c r="I840" s="33" t="s">
        <v>68</v>
      </c>
    </row>
    <row r="841" spans="1:9" x14ac:dyDescent="0.2">
      <c r="A841" s="33" t="s">
        <v>287</v>
      </c>
      <c r="B841" s="33" t="s">
        <v>123</v>
      </c>
      <c r="C841" s="33" t="s">
        <v>1225</v>
      </c>
      <c r="D841" s="42">
        <v>-2.0000000004074536E-3</v>
      </c>
      <c r="E841" s="33" t="s">
        <v>224</v>
      </c>
      <c r="F841" s="34">
        <v>2424</v>
      </c>
      <c r="G841" s="34">
        <v>2424.0020000000004</v>
      </c>
      <c r="H841" s="33" t="s">
        <v>68</v>
      </c>
      <c r="I841" s="33" t="s">
        <v>68</v>
      </c>
    </row>
    <row r="842" spans="1:9" x14ac:dyDescent="0.2">
      <c r="A842" s="33" t="s">
        <v>287</v>
      </c>
      <c r="B842" s="33" t="s">
        <v>123</v>
      </c>
      <c r="C842" s="33" t="s">
        <v>1226</v>
      </c>
      <c r="D842" s="42">
        <v>9.9999999997635314E-4</v>
      </c>
      <c r="E842" s="33" t="s">
        <v>224</v>
      </c>
      <c r="F842" s="34">
        <v>1495.05</v>
      </c>
      <c r="G842" s="34">
        <v>1495.049</v>
      </c>
      <c r="H842" s="33" t="s">
        <v>68</v>
      </c>
      <c r="I842" s="33" t="s">
        <v>68</v>
      </c>
    </row>
    <row r="843" spans="1:9" x14ac:dyDescent="0.2">
      <c r="A843" s="33" t="s">
        <v>287</v>
      </c>
      <c r="B843" s="33" t="s">
        <v>123</v>
      </c>
      <c r="C843" s="33" t="s">
        <v>1227</v>
      </c>
      <c r="D843" s="42">
        <v>-2.00000000018008E-3</v>
      </c>
      <c r="E843" s="33" t="s">
        <v>224</v>
      </c>
      <c r="F843" s="34">
        <v>1224</v>
      </c>
      <c r="G843" s="34">
        <v>1224.0020000000002</v>
      </c>
      <c r="H843" s="33" t="s">
        <v>68</v>
      </c>
      <c r="I843" s="33" t="s">
        <v>68</v>
      </c>
    </row>
    <row r="844" spans="1:9" x14ac:dyDescent="0.2">
      <c r="A844" s="33" t="s">
        <v>287</v>
      </c>
      <c r="B844" s="33" t="s">
        <v>123</v>
      </c>
      <c r="C844" s="33" t="s">
        <v>1228</v>
      </c>
      <c r="D844" s="42">
        <v>-5.6843418860808015E-14</v>
      </c>
      <c r="E844" s="33" t="s">
        <v>224</v>
      </c>
      <c r="F844" s="34">
        <v>384</v>
      </c>
      <c r="G844" s="34">
        <v>384.00000000000006</v>
      </c>
      <c r="H844" s="33" t="s">
        <v>1229</v>
      </c>
      <c r="I844" s="33" t="s">
        <v>68</v>
      </c>
    </row>
    <row r="845" spans="1:9" x14ac:dyDescent="0.2">
      <c r="A845" s="33" t="s">
        <v>287</v>
      </c>
      <c r="B845" s="33" t="s">
        <v>123</v>
      </c>
      <c r="C845" s="33" t="s">
        <v>1230</v>
      </c>
      <c r="D845" s="42">
        <v>-5.6843418860808015E-14</v>
      </c>
      <c r="E845" s="33" t="s">
        <v>224</v>
      </c>
      <c r="F845" s="34">
        <v>384</v>
      </c>
      <c r="G845" s="34">
        <v>384.00000000000006</v>
      </c>
      <c r="H845" s="33" t="s">
        <v>1231</v>
      </c>
      <c r="I845" s="33" t="s">
        <v>68</v>
      </c>
    </row>
    <row r="846" spans="1:9" x14ac:dyDescent="0.2">
      <c r="A846" s="33" t="s">
        <v>287</v>
      </c>
      <c r="B846" s="33" t="s">
        <v>123</v>
      </c>
      <c r="C846" s="33" t="s">
        <v>1232</v>
      </c>
      <c r="D846" s="42">
        <v>5.6843418860808015E-14</v>
      </c>
      <c r="E846" s="33" t="s">
        <v>224</v>
      </c>
      <c r="F846" s="34">
        <v>480</v>
      </c>
      <c r="G846" s="34">
        <v>479.99999999999994</v>
      </c>
      <c r="H846" s="33" t="s">
        <v>1233</v>
      </c>
      <c r="I846" s="33" t="s">
        <v>68</v>
      </c>
    </row>
    <row r="847" spans="1:9" x14ac:dyDescent="0.2">
      <c r="A847" s="33" t="s">
        <v>287</v>
      </c>
      <c r="B847" s="33" t="s">
        <v>123</v>
      </c>
      <c r="C847" s="33" t="s">
        <v>1234</v>
      </c>
      <c r="D847" s="42">
        <v>-7.1054273576010019E-15</v>
      </c>
      <c r="E847" s="33" t="s">
        <v>224</v>
      </c>
      <c r="F847" s="34">
        <v>24</v>
      </c>
      <c r="G847" s="34">
        <v>24.000000000000007</v>
      </c>
      <c r="H847" s="33" t="s">
        <v>1235</v>
      </c>
      <c r="I847" s="33" t="s">
        <v>68</v>
      </c>
    </row>
    <row r="848" spans="1:9" x14ac:dyDescent="0.2">
      <c r="A848" s="33" t="s">
        <v>287</v>
      </c>
      <c r="B848" s="33" t="s">
        <v>123</v>
      </c>
      <c r="C848" s="33" t="s">
        <v>1236</v>
      </c>
      <c r="D848" s="42">
        <v>27.399999999999977</v>
      </c>
      <c r="E848" s="33" t="s">
        <v>224</v>
      </c>
      <c r="F848" s="34">
        <v>432</v>
      </c>
      <c r="G848" s="34">
        <v>404.6</v>
      </c>
      <c r="H848" s="33" t="s">
        <v>1237</v>
      </c>
      <c r="I848" s="33" t="s">
        <v>68</v>
      </c>
    </row>
    <row r="849" spans="1:9" x14ac:dyDescent="0.2">
      <c r="A849" s="33" t="s">
        <v>287</v>
      </c>
      <c r="B849" s="33" t="s">
        <v>123</v>
      </c>
      <c r="C849" s="33" t="s">
        <v>1238</v>
      </c>
      <c r="D849" s="42">
        <v>1.1368683772161603E-13</v>
      </c>
      <c r="E849" s="33" t="s">
        <v>224</v>
      </c>
      <c r="F849" s="34">
        <v>720</v>
      </c>
      <c r="G849" s="34">
        <v>719.99999999999989</v>
      </c>
      <c r="H849" s="33" t="s">
        <v>68</v>
      </c>
      <c r="I849" s="33" t="s">
        <v>68</v>
      </c>
    </row>
    <row r="850" spans="1:9" x14ac:dyDescent="0.2">
      <c r="A850" s="33" t="s">
        <v>287</v>
      </c>
      <c r="B850" s="33" t="s">
        <v>123</v>
      </c>
      <c r="C850" s="33" t="s">
        <v>1239</v>
      </c>
      <c r="D850" s="42">
        <v>-1.1368683772161603E-13</v>
      </c>
      <c r="E850" s="33" t="s">
        <v>224</v>
      </c>
      <c r="F850" s="34">
        <v>720</v>
      </c>
      <c r="G850" s="34">
        <v>720.00000000000011</v>
      </c>
      <c r="H850" s="33" t="s">
        <v>1240</v>
      </c>
      <c r="I850" s="33" t="s">
        <v>68</v>
      </c>
    </row>
    <row r="851" spans="1:9" x14ac:dyDescent="0.2">
      <c r="A851" s="33" t="s">
        <v>287</v>
      </c>
      <c r="B851" s="33" t="s">
        <v>123</v>
      </c>
      <c r="C851" s="33" t="s">
        <v>1241</v>
      </c>
      <c r="D851" s="42">
        <v>0</v>
      </c>
      <c r="E851" s="33" t="s">
        <v>224</v>
      </c>
      <c r="F851" s="34">
        <v>600</v>
      </c>
      <c r="G851" s="34">
        <v>600</v>
      </c>
      <c r="H851" s="33" t="s">
        <v>1242</v>
      </c>
      <c r="I851" s="33" t="s">
        <v>68</v>
      </c>
    </row>
    <row r="852" spans="1:9" x14ac:dyDescent="0.2">
      <c r="A852" s="33" t="s">
        <v>287</v>
      </c>
      <c r="B852" s="33" t="s">
        <v>123</v>
      </c>
      <c r="C852" s="33" t="s">
        <v>1243</v>
      </c>
      <c r="D852" s="42">
        <v>1.1368683772161603E-13</v>
      </c>
      <c r="E852" s="33" t="s">
        <v>224</v>
      </c>
      <c r="F852" s="34">
        <v>720</v>
      </c>
      <c r="G852" s="34">
        <v>719.99999999999989</v>
      </c>
      <c r="H852" s="33" t="s">
        <v>1244</v>
      </c>
      <c r="I852" s="33" t="s">
        <v>68</v>
      </c>
    </row>
    <row r="853" spans="1:9" x14ac:dyDescent="0.2">
      <c r="A853" s="33" t="s">
        <v>319</v>
      </c>
      <c r="B853" s="33" t="s">
        <v>124</v>
      </c>
      <c r="C853" s="33" t="s">
        <v>1245</v>
      </c>
      <c r="D853" s="42">
        <v>0</v>
      </c>
      <c r="E853" s="33" t="s">
        <v>224</v>
      </c>
      <c r="F853" s="34">
        <v>25</v>
      </c>
      <c r="G853" s="34">
        <v>25</v>
      </c>
      <c r="H853" s="33" t="s">
        <v>68</v>
      </c>
      <c r="I853" s="33" t="s">
        <v>68</v>
      </c>
    </row>
    <row r="854" spans="1:9" x14ac:dyDescent="0.2">
      <c r="A854" s="33" t="s">
        <v>319</v>
      </c>
      <c r="B854" s="33" t="s">
        <v>124</v>
      </c>
      <c r="C854" s="33" t="s">
        <v>1246</v>
      </c>
      <c r="D854" s="42">
        <v>0</v>
      </c>
      <c r="E854" s="33" t="s">
        <v>224</v>
      </c>
      <c r="F854" s="34">
        <v>25</v>
      </c>
      <c r="G854" s="34">
        <v>25</v>
      </c>
      <c r="H854" s="33" t="s">
        <v>68</v>
      </c>
      <c r="I854" s="33" t="s">
        <v>68</v>
      </c>
    </row>
    <row r="855" spans="1:9" x14ac:dyDescent="0.2">
      <c r="A855" s="33" t="s">
        <v>319</v>
      </c>
      <c r="B855" s="33" t="s">
        <v>124</v>
      </c>
      <c r="C855" s="33" t="s">
        <v>1247</v>
      </c>
      <c r="D855" s="42">
        <v>0</v>
      </c>
      <c r="E855" s="33" t="s">
        <v>224</v>
      </c>
      <c r="F855" s="34">
        <v>8</v>
      </c>
      <c r="G855" s="34">
        <v>8</v>
      </c>
      <c r="H855" s="33" t="s">
        <v>68</v>
      </c>
      <c r="I855" s="33" t="s">
        <v>68</v>
      </c>
    </row>
    <row r="856" spans="1:9" x14ac:dyDescent="0.2">
      <c r="A856" s="33" t="s">
        <v>319</v>
      </c>
      <c r="B856" s="33" t="s">
        <v>124</v>
      </c>
      <c r="C856" s="33" t="s">
        <v>1248</v>
      </c>
      <c r="D856" s="42">
        <v>-2.999999999996561E-3</v>
      </c>
      <c r="E856" s="33" t="s">
        <v>224</v>
      </c>
      <c r="F856" s="34">
        <v>25</v>
      </c>
      <c r="G856" s="34">
        <v>25.002999999999997</v>
      </c>
      <c r="H856" s="33" t="s">
        <v>68</v>
      </c>
      <c r="I856" s="33" t="s">
        <v>68</v>
      </c>
    </row>
    <row r="857" spans="1:9" x14ac:dyDescent="0.2">
      <c r="A857" s="33" t="s">
        <v>319</v>
      </c>
      <c r="B857" s="33" t="s">
        <v>124</v>
      </c>
      <c r="C857" s="33" t="s">
        <v>1249</v>
      </c>
      <c r="D857" s="42">
        <v>0</v>
      </c>
      <c r="E857" s="33" t="s">
        <v>224</v>
      </c>
      <c r="F857" s="34">
        <v>7</v>
      </c>
      <c r="G857" s="34">
        <v>7</v>
      </c>
      <c r="H857" s="33" t="s">
        <v>68</v>
      </c>
      <c r="I857" s="33" t="s">
        <v>68</v>
      </c>
    </row>
    <row r="858" spans="1:9" x14ac:dyDescent="0.2">
      <c r="A858" s="33" t="s">
        <v>319</v>
      </c>
      <c r="B858" s="33" t="s">
        <v>124</v>
      </c>
      <c r="C858" s="33" t="s">
        <v>1250</v>
      </c>
      <c r="D858" s="42">
        <v>0</v>
      </c>
      <c r="E858" s="33" t="s">
        <v>224</v>
      </c>
      <c r="F858" s="34">
        <v>25</v>
      </c>
      <c r="G858" s="34">
        <v>25</v>
      </c>
      <c r="H858" s="33" t="s">
        <v>68</v>
      </c>
      <c r="I858" s="33" t="s">
        <v>68</v>
      </c>
    </row>
    <row r="859" spans="1:9" x14ac:dyDescent="0.2">
      <c r="A859" s="33" t="s">
        <v>319</v>
      </c>
      <c r="B859" s="33" t="s">
        <v>124</v>
      </c>
      <c r="C859" s="33" t="s">
        <v>1251</v>
      </c>
      <c r="D859" s="42">
        <v>3.5527136788005009E-15</v>
      </c>
      <c r="E859" s="33" t="s">
        <v>224</v>
      </c>
      <c r="F859" s="34">
        <v>25</v>
      </c>
      <c r="G859" s="34">
        <v>24.999999999999996</v>
      </c>
      <c r="H859" s="33" t="s">
        <v>68</v>
      </c>
      <c r="I859" s="33" t="s">
        <v>68</v>
      </c>
    </row>
    <row r="860" spans="1:9" x14ac:dyDescent="0.2">
      <c r="A860" s="33" t="s">
        <v>319</v>
      </c>
      <c r="B860" s="33" t="s">
        <v>124</v>
      </c>
      <c r="C860" s="33" t="s">
        <v>1252</v>
      </c>
      <c r="D860" s="42">
        <v>0</v>
      </c>
      <c r="E860" s="33" t="s">
        <v>224</v>
      </c>
      <c r="F860" s="34">
        <v>8</v>
      </c>
      <c r="G860" s="34">
        <v>8</v>
      </c>
      <c r="H860" s="33" t="s">
        <v>68</v>
      </c>
      <c r="I860" s="33" t="s">
        <v>68</v>
      </c>
    </row>
    <row r="861" spans="1:9" x14ac:dyDescent="0.2">
      <c r="A861" s="33" t="s">
        <v>319</v>
      </c>
      <c r="B861" s="33" t="s">
        <v>124</v>
      </c>
      <c r="C861" s="33" t="s">
        <v>1253</v>
      </c>
      <c r="D861" s="42">
        <v>8.0999999999999979</v>
      </c>
      <c r="E861" s="33" t="s">
        <v>224</v>
      </c>
      <c r="F861" s="34">
        <v>25</v>
      </c>
      <c r="G861" s="34">
        <v>16.900000000000002</v>
      </c>
      <c r="H861" s="33" t="s">
        <v>68</v>
      </c>
      <c r="I861" s="33" t="s">
        <v>715</v>
      </c>
    </row>
    <row r="862" spans="1:9" x14ac:dyDescent="0.2">
      <c r="A862" s="33" t="s">
        <v>320</v>
      </c>
      <c r="B862" s="33" t="s">
        <v>125</v>
      </c>
      <c r="C862" s="33" t="s">
        <v>1254</v>
      </c>
      <c r="D862" s="42">
        <v>0</v>
      </c>
      <c r="E862" s="33" t="s">
        <v>224</v>
      </c>
      <c r="F862" s="34">
        <v>1564</v>
      </c>
      <c r="G862" s="34">
        <v>1564</v>
      </c>
      <c r="H862" s="33" t="s">
        <v>68</v>
      </c>
      <c r="I862" s="33" t="s">
        <v>68</v>
      </c>
    </row>
    <row r="863" spans="1:9" x14ac:dyDescent="0.2">
      <c r="A863" s="33" t="s">
        <v>320</v>
      </c>
      <c r="B863" s="33" t="s">
        <v>125</v>
      </c>
      <c r="C863" s="33" t="s">
        <v>1255</v>
      </c>
      <c r="D863" s="42">
        <v>0</v>
      </c>
      <c r="E863" s="33" t="s">
        <v>224</v>
      </c>
      <c r="F863" s="34">
        <v>2312</v>
      </c>
      <c r="G863" s="34">
        <v>2312</v>
      </c>
      <c r="H863" s="33" t="s">
        <v>68</v>
      </c>
      <c r="I863" s="33" t="s">
        <v>68</v>
      </c>
    </row>
    <row r="864" spans="1:9" x14ac:dyDescent="0.2">
      <c r="A864" s="33" t="s">
        <v>320</v>
      </c>
      <c r="B864" s="33" t="s">
        <v>125</v>
      </c>
      <c r="C864" s="33" t="s">
        <v>1256</v>
      </c>
      <c r="D864" s="42">
        <v>0</v>
      </c>
      <c r="E864" s="33" t="s">
        <v>224</v>
      </c>
      <c r="F864" s="34">
        <v>1275</v>
      </c>
      <c r="G864" s="34">
        <v>1275</v>
      </c>
      <c r="H864" s="33" t="s">
        <v>68</v>
      </c>
      <c r="I864" s="33" t="s">
        <v>68</v>
      </c>
    </row>
    <row r="865" spans="1:9" x14ac:dyDescent="0.2">
      <c r="A865" s="33" t="s">
        <v>320</v>
      </c>
      <c r="B865" s="33" t="s">
        <v>125</v>
      </c>
      <c r="C865" s="33" t="s">
        <v>1257</v>
      </c>
      <c r="D865" s="42">
        <v>0</v>
      </c>
      <c r="E865" s="33" t="s">
        <v>224</v>
      </c>
      <c r="F865" s="34">
        <v>1428</v>
      </c>
      <c r="G865" s="34">
        <v>1428</v>
      </c>
      <c r="H865" s="33" t="s">
        <v>68</v>
      </c>
      <c r="I865" s="33" t="s">
        <v>68</v>
      </c>
    </row>
    <row r="866" spans="1:9" x14ac:dyDescent="0.2">
      <c r="A866" s="33" t="s">
        <v>320</v>
      </c>
      <c r="B866" s="33" t="s">
        <v>125</v>
      </c>
      <c r="C866" s="33" t="s">
        <v>685</v>
      </c>
      <c r="D866" s="42">
        <v>0</v>
      </c>
      <c r="E866" s="33" t="s">
        <v>224</v>
      </c>
      <c r="F866" s="34">
        <v>2040</v>
      </c>
      <c r="G866" s="34">
        <v>2040</v>
      </c>
      <c r="H866" s="33" t="s">
        <v>68</v>
      </c>
      <c r="I866" s="33" t="s">
        <v>68</v>
      </c>
    </row>
    <row r="867" spans="1:9" x14ac:dyDescent="0.2">
      <c r="A867" s="33" t="s">
        <v>320</v>
      </c>
      <c r="B867" s="33" t="s">
        <v>125</v>
      </c>
      <c r="C867" s="33" t="s">
        <v>1258</v>
      </c>
      <c r="D867" s="42">
        <v>0</v>
      </c>
      <c r="E867" s="33" t="s">
        <v>224</v>
      </c>
      <c r="F867" s="34">
        <v>1446.36</v>
      </c>
      <c r="G867" s="34">
        <v>1446.36</v>
      </c>
      <c r="H867" s="33" t="s">
        <v>68</v>
      </c>
      <c r="I867" s="33" t="s">
        <v>68</v>
      </c>
    </row>
    <row r="868" spans="1:9" x14ac:dyDescent="0.2">
      <c r="A868" s="33" t="s">
        <v>320</v>
      </c>
      <c r="B868" s="33" t="s">
        <v>125</v>
      </c>
      <c r="C868" s="33" t="s">
        <v>566</v>
      </c>
      <c r="D868" s="42">
        <v>0</v>
      </c>
      <c r="E868" s="33" t="s">
        <v>224</v>
      </c>
      <c r="F868" s="34">
        <v>1581</v>
      </c>
      <c r="G868" s="34">
        <v>1581</v>
      </c>
      <c r="H868" s="33" t="s">
        <v>68</v>
      </c>
      <c r="I868" s="33" t="s">
        <v>68</v>
      </c>
    </row>
    <row r="869" spans="1:9" x14ac:dyDescent="0.2">
      <c r="A869" s="33" t="s">
        <v>320</v>
      </c>
      <c r="B869" s="33" t="s">
        <v>125</v>
      </c>
      <c r="C869" s="33" t="s">
        <v>1259</v>
      </c>
      <c r="D869" s="42">
        <v>0</v>
      </c>
      <c r="E869" s="33" t="s">
        <v>224</v>
      </c>
      <c r="F869" s="34">
        <v>3</v>
      </c>
      <c r="G869" s="34">
        <v>3</v>
      </c>
      <c r="H869" s="33" t="s">
        <v>1260</v>
      </c>
      <c r="I869" s="33" t="s">
        <v>68</v>
      </c>
    </row>
    <row r="870" spans="1:9" x14ac:dyDescent="0.2">
      <c r="A870" s="33" t="s">
        <v>320</v>
      </c>
      <c r="B870" s="33" t="s">
        <v>125</v>
      </c>
      <c r="C870" s="33" t="s">
        <v>1261</v>
      </c>
      <c r="D870" s="42">
        <v>0</v>
      </c>
      <c r="E870" s="33" t="s">
        <v>224</v>
      </c>
      <c r="F870" s="34">
        <v>1003</v>
      </c>
      <c r="G870" s="34">
        <v>1003</v>
      </c>
      <c r="H870" s="33" t="s">
        <v>68</v>
      </c>
      <c r="I870" s="33" t="s">
        <v>68</v>
      </c>
    </row>
    <row r="871" spans="1:9" x14ac:dyDescent="0.2">
      <c r="A871" s="33" t="s">
        <v>320</v>
      </c>
      <c r="B871" s="33" t="s">
        <v>125</v>
      </c>
      <c r="C871" s="33" t="s">
        <v>1262</v>
      </c>
      <c r="D871" s="42">
        <v>0</v>
      </c>
      <c r="E871" s="33" t="s">
        <v>224</v>
      </c>
      <c r="F871" s="34">
        <v>34.299999999999997</v>
      </c>
      <c r="G871" s="34">
        <v>34.299999999999997</v>
      </c>
      <c r="H871" s="33" t="s">
        <v>68</v>
      </c>
      <c r="I871" s="33" t="s">
        <v>68</v>
      </c>
    </row>
    <row r="872" spans="1:9" x14ac:dyDescent="0.2">
      <c r="A872" s="33" t="s">
        <v>320</v>
      </c>
      <c r="B872" s="33" t="s">
        <v>125</v>
      </c>
      <c r="C872" s="33" t="s">
        <v>1263</v>
      </c>
      <c r="D872" s="42">
        <v>0</v>
      </c>
      <c r="E872" s="33" t="s">
        <v>224</v>
      </c>
      <c r="F872" s="34">
        <v>1003</v>
      </c>
      <c r="G872" s="34">
        <v>1003</v>
      </c>
      <c r="H872" s="33" t="s">
        <v>68</v>
      </c>
      <c r="I872" s="33" t="s">
        <v>68</v>
      </c>
    </row>
    <row r="873" spans="1:9" x14ac:dyDescent="0.2">
      <c r="A873" s="33" t="s">
        <v>320</v>
      </c>
      <c r="B873" s="33" t="s">
        <v>125</v>
      </c>
      <c r="C873" s="33" t="s">
        <v>1264</v>
      </c>
      <c r="D873" s="42">
        <v>0</v>
      </c>
      <c r="E873" s="33" t="s">
        <v>224</v>
      </c>
      <c r="F873" s="34">
        <v>20</v>
      </c>
      <c r="G873" s="34">
        <v>20</v>
      </c>
      <c r="H873" s="33" t="s">
        <v>68</v>
      </c>
      <c r="I873" s="33" t="s">
        <v>68</v>
      </c>
    </row>
    <row r="874" spans="1:9" x14ac:dyDescent="0.2">
      <c r="A874" s="33" t="s">
        <v>320</v>
      </c>
      <c r="B874" s="33" t="s">
        <v>125</v>
      </c>
      <c r="C874" s="33" t="s">
        <v>1265</v>
      </c>
      <c r="D874" s="42">
        <v>0</v>
      </c>
      <c r="E874" s="33" t="s">
        <v>224</v>
      </c>
      <c r="F874" s="34">
        <v>20</v>
      </c>
      <c r="G874" s="34">
        <v>20</v>
      </c>
      <c r="H874" s="33" t="s">
        <v>68</v>
      </c>
      <c r="I874" s="33" t="s">
        <v>68</v>
      </c>
    </row>
    <row r="875" spans="1:9" x14ac:dyDescent="0.2">
      <c r="A875" s="33" t="s">
        <v>320</v>
      </c>
      <c r="B875" s="33" t="s">
        <v>125</v>
      </c>
      <c r="C875" s="33" t="s">
        <v>1266</v>
      </c>
      <c r="D875" s="42">
        <v>-3.5527136788005009E-15</v>
      </c>
      <c r="E875" s="33" t="s">
        <v>224</v>
      </c>
      <c r="F875" s="34">
        <v>20</v>
      </c>
      <c r="G875" s="34">
        <v>20.000000000000004</v>
      </c>
      <c r="H875" s="33" t="s">
        <v>68</v>
      </c>
      <c r="I875" s="33" t="s">
        <v>68</v>
      </c>
    </row>
    <row r="876" spans="1:9" x14ac:dyDescent="0.2">
      <c r="A876" s="33" t="s">
        <v>320</v>
      </c>
      <c r="B876" s="33" t="s">
        <v>125</v>
      </c>
      <c r="C876" s="33" t="s">
        <v>1267</v>
      </c>
      <c r="D876" s="42">
        <v>0</v>
      </c>
      <c r="E876" s="33" t="s">
        <v>224</v>
      </c>
      <c r="F876" s="34">
        <v>1003</v>
      </c>
      <c r="G876" s="34">
        <v>1003</v>
      </c>
      <c r="H876" s="33" t="s">
        <v>1268</v>
      </c>
      <c r="I876" s="33" t="s">
        <v>68</v>
      </c>
    </row>
    <row r="877" spans="1:9" x14ac:dyDescent="0.2">
      <c r="A877" s="33" t="s">
        <v>320</v>
      </c>
      <c r="B877" s="33" t="s">
        <v>125</v>
      </c>
      <c r="C877" s="33" t="s">
        <v>468</v>
      </c>
      <c r="D877" s="42">
        <v>0</v>
      </c>
      <c r="E877" s="33" t="s">
        <v>224</v>
      </c>
      <c r="F877" s="34">
        <v>1003</v>
      </c>
      <c r="G877" s="34">
        <v>1003</v>
      </c>
      <c r="H877" s="33" t="s">
        <v>1269</v>
      </c>
      <c r="I877" s="33" t="s">
        <v>68</v>
      </c>
    </row>
    <row r="878" spans="1:9" x14ac:dyDescent="0.2">
      <c r="A878" s="33" t="s">
        <v>320</v>
      </c>
      <c r="B878" s="33" t="s">
        <v>125</v>
      </c>
      <c r="C878" s="33" t="s">
        <v>1270</v>
      </c>
      <c r="D878" s="42">
        <v>0</v>
      </c>
      <c r="E878" s="33" t="s">
        <v>224</v>
      </c>
      <c r="F878" s="34">
        <v>17</v>
      </c>
      <c r="G878" s="34">
        <v>17</v>
      </c>
      <c r="H878" s="33" t="s">
        <v>1271</v>
      </c>
      <c r="I878" s="33" t="s">
        <v>68</v>
      </c>
    </row>
    <row r="879" spans="1:9" x14ac:dyDescent="0.2">
      <c r="A879" s="33" t="s">
        <v>320</v>
      </c>
      <c r="B879" s="33" t="s">
        <v>125</v>
      </c>
      <c r="C879" s="33" t="s">
        <v>1272</v>
      </c>
      <c r="D879" s="42">
        <v>0</v>
      </c>
      <c r="E879" s="33" t="s">
        <v>224</v>
      </c>
      <c r="F879" s="34">
        <v>40</v>
      </c>
      <c r="G879" s="34">
        <v>40</v>
      </c>
      <c r="H879" s="33" t="s">
        <v>1273</v>
      </c>
      <c r="I879" s="33" t="s">
        <v>68</v>
      </c>
    </row>
    <row r="880" spans="1:9" x14ac:dyDescent="0.2">
      <c r="A880" s="33" t="s">
        <v>320</v>
      </c>
      <c r="B880" s="33" t="s">
        <v>125</v>
      </c>
      <c r="C880" s="33" t="s">
        <v>1274</v>
      </c>
      <c r="D880" s="42">
        <v>0</v>
      </c>
      <c r="E880" s="33" t="s">
        <v>224</v>
      </c>
      <c r="F880" s="34">
        <v>850</v>
      </c>
      <c r="G880" s="34">
        <v>850</v>
      </c>
      <c r="H880" s="33" t="s">
        <v>1275</v>
      </c>
      <c r="I880" s="33" t="s">
        <v>68</v>
      </c>
    </row>
    <row r="881" spans="1:9" x14ac:dyDescent="0.2">
      <c r="A881" s="33" t="s">
        <v>320</v>
      </c>
      <c r="B881" s="33" t="s">
        <v>125</v>
      </c>
      <c r="C881" s="33" t="s">
        <v>1276</v>
      </c>
      <c r="D881" s="42">
        <v>1.1368683772161603E-13</v>
      </c>
      <c r="E881" s="33" t="s">
        <v>224</v>
      </c>
      <c r="F881" s="34">
        <v>731</v>
      </c>
      <c r="G881" s="34">
        <v>730.99999999999989</v>
      </c>
      <c r="H881" s="33" t="s">
        <v>1277</v>
      </c>
      <c r="I881" s="33" t="s">
        <v>68</v>
      </c>
    </row>
    <row r="882" spans="1:9" x14ac:dyDescent="0.2">
      <c r="A882" s="33" t="s">
        <v>320</v>
      </c>
      <c r="B882" s="33" t="s">
        <v>125</v>
      </c>
      <c r="C882" s="33" t="s">
        <v>1278</v>
      </c>
      <c r="D882" s="42">
        <v>0</v>
      </c>
      <c r="E882" s="33" t="s">
        <v>224</v>
      </c>
      <c r="F882" s="34">
        <v>40</v>
      </c>
      <c r="G882" s="34">
        <v>40</v>
      </c>
      <c r="H882" s="33" t="s">
        <v>1279</v>
      </c>
      <c r="I882" s="33" t="s">
        <v>68</v>
      </c>
    </row>
    <row r="883" spans="1:9" x14ac:dyDescent="0.2">
      <c r="A883" s="33" t="s">
        <v>320</v>
      </c>
      <c r="B883" s="33" t="s">
        <v>125</v>
      </c>
      <c r="C883" s="33" t="s">
        <v>1280</v>
      </c>
      <c r="D883" s="42">
        <v>0</v>
      </c>
      <c r="E883" s="33" t="s">
        <v>224</v>
      </c>
      <c r="F883" s="34">
        <v>1003</v>
      </c>
      <c r="G883" s="34">
        <v>1003</v>
      </c>
      <c r="H883" s="33" t="s">
        <v>1281</v>
      </c>
      <c r="I883" s="33" t="s">
        <v>68</v>
      </c>
    </row>
    <row r="884" spans="1:9" x14ac:dyDescent="0.2">
      <c r="A884" s="33" t="s">
        <v>320</v>
      </c>
      <c r="B884" s="33" t="s">
        <v>125</v>
      </c>
      <c r="C884" s="33" t="s">
        <v>1282</v>
      </c>
      <c r="D884" s="42">
        <v>0</v>
      </c>
      <c r="E884" s="33" t="s">
        <v>224</v>
      </c>
      <c r="F884" s="34">
        <v>1598</v>
      </c>
      <c r="G884" s="34">
        <v>1598</v>
      </c>
      <c r="H884" s="33" t="s">
        <v>1283</v>
      </c>
      <c r="I884" s="33" t="s">
        <v>68</v>
      </c>
    </row>
    <row r="885" spans="1:9" x14ac:dyDescent="0.2">
      <c r="A885" s="33" t="s">
        <v>320</v>
      </c>
      <c r="B885" s="33" t="s">
        <v>125</v>
      </c>
      <c r="C885" s="33" t="s">
        <v>1284</v>
      </c>
      <c r="D885" s="42">
        <v>0</v>
      </c>
      <c r="E885" s="33" t="s">
        <v>224</v>
      </c>
      <c r="F885" s="34">
        <v>20</v>
      </c>
      <c r="G885" s="34">
        <v>20</v>
      </c>
      <c r="H885" s="33" t="s">
        <v>1285</v>
      </c>
      <c r="I885" s="33" t="s">
        <v>68</v>
      </c>
    </row>
    <row r="886" spans="1:9" x14ac:dyDescent="0.2">
      <c r="A886" s="33" t="s">
        <v>320</v>
      </c>
      <c r="B886" s="33" t="s">
        <v>125</v>
      </c>
      <c r="C886" s="33" t="s">
        <v>1286</v>
      </c>
      <c r="D886" s="42">
        <v>0</v>
      </c>
      <c r="E886" s="33" t="s">
        <v>224</v>
      </c>
      <c r="F886" s="34">
        <v>20</v>
      </c>
      <c r="G886" s="34">
        <v>20</v>
      </c>
      <c r="H886" s="33" t="s">
        <v>1287</v>
      </c>
      <c r="I886" s="33" t="s">
        <v>68</v>
      </c>
    </row>
    <row r="887" spans="1:9" x14ac:dyDescent="0.2">
      <c r="A887" s="33" t="s">
        <v>320</v>
      </c>
      <c r="B887" s="33" t="s">
        <v>125</v>
      </c>
      <c r="C887" s="33" t="s">
        <v>1288</v>
      </c>
      <c r="D887" s="42">
        <v>0</v>
      </c>
      <c r="E887" s="33" t="s">
        <v>224</v>
      </c>
      <c r="F887" s="34">
        <v>799</v>
      </c>
      <c r="G887" s="34">
        <v>799</v>
      </c>
      <c r="H887" s="33" t="s">
        <v>1289</v>
      </c>
      <c r="I887" s="33" t="s">
        <v>68</v>
      </c>
    </row>
    <row r="888" spans="1:9" x14ac:dyDescent="0.2">
      <c r="A888" s="33" t="s">
        <v>320</v>
      </c>
      <c r="B888" s="33" t="s">
        <v>125</v>
      </c>
      <c r="C888" s="33" t="s">
        <v>1290</v>
      </c>
      <c r="D888" s="42">
        <v>0</v>
      </c>
      <c r="E888" s="33" t="s">
        <v>224</v>
      </c>
      <c r="F888" s="34">
        <v>1</v>
      </c>
      <c r="G888" s="34">
        <v>1</v>
      </c>
      <c r="H888" s="33" t="s">
        <v>1291</v>
      </c>
      <c r="I888" s="33" t="s">
        <v>475</v>
      </c>
    </row>
    <row r="889" spans="1:9" x14ac:dyDescent="0.2">
      <c r="A889" s="33" t="s">
        <v>320</v>
      </c>
      <c r="B889" s="33" t="s">
        <v>125</v>
      </c>
      <c r="C889" s="33" t="s">
        <v>1292</v>
      </c>
      <c r="D889" s="42">
        <v>0</v>
      </c>
      <c r="E889" s="33" t="s">
        <v>224</v>
      </c>
      <c r="F889" s="34">
        <v>5</v>
      </c>
      <c r="G889" s="34">
        <v>5</v>
      </c>
      <c r="H889" s="33" t="s">
        <v>68</v>
      </c>
      <c r="I889" s="33" t="s">
        <v>475</v>
      </c>
    </row>
    <row r="890" spans="1:9" x14ac:dyDescent="0.2">
      <c r="A890" s="33" t="s">
        <v>321</v>
      </c>
      <c r="B890" s="33" t="s">
        <v>126</v>
      </c>
      <c r="C890" s="33" t="s">
        <v>1293</v>
      </c>
      <c r="D890" s="42">
        <v>0</v>
      </c>
      <c r="E890" s="33" t="s">
        <v>224</v>
      </c>
      <c r="F890" s="34">
        <v>1.2</v>
      </c>
      <c r="G890" s="34">
        <v>1.2</v>
      </c>
      <c r="H890" s="33" t="s">
        <v>988</v>
      </c>
      <c r="I890" s="33" t="s">
        <v>68</v>
      </c>
    </row>
    <row r="891" spans="1:9" x14ac:dyDescent="0.2">
      <c r="A891" s="33" t="s">
        <v>321</v>
      </c>
      <c r="B891" s="33" t="s">
        <v>126</v>
      </c>
      <c r="C891" s="33" t="s">
        <v>1294</v>
      </c>
      <c r="D891" s="42">
        <v>-5.5511151231257827E-17</v>
      </c>
      <c r="E891" s="33" t="s">
        <v>224</v>
      </c>
      <c r="F891" s="34">
        <v>0.3</v>
      </c>
      <c r="G891" s="34">
        <v>0.30000000000000004</v>
      </c>
      <c r="H891" s="33" t="s">
        <v>1295</v>
      </c>
      <c r="I891" s="33" t="s">
        <v>68</v>
      </c>
    </row>
    <row r="892" spans="1:9" x14ac:dyDescent="0.2">
      <c r="A892" s="33" t="s">
        <v>321</v>
      </c>
      <c r="B892" s="33" t="s">
        <v>126</v>
      </c>
      <c r="C892" s="33" t="s">
        <v>1296</v>
      </c>
      <c r="D892" s="42">
        <v>0</v>
      </c>
      <c r="E892" s="33" t="s">
        <v>224</v>
      </c>
      <c r="F892" s="34">
        <v>2.4545599999999999</v>
      </c>
      <c r="G892" s="34">
        <v>2.4545599999999999</v>
      </c>
      <c r="H892" s="33" t="s">
        <v>68</v>
      </c>
      <c r="I892" s="33" t="s">
        <v>68</v>
      </c>
    </row>
    <row r="893" spans="1:9" x14ac:dyDescent="0.2">
      <c r="A893" s="33" t="s">
        <v>321</v>
      </c>
      <c r="B893" s="33" t="s">
        <v>126</v>
      </c>
      <c r="C893" s="33" t="s">
        <v>1297</v>
      </c>
      <c r="D893" s="42">
        <v>0</v>
      </c>
      <c r="E893" s="33" t="s">
        <v>224</v>
      </c>
      <c r="F893" s="34">
        <v>2.2999999999999998</v>
      </c>
      <c r="G893" s="34">
        <v>2.2999999999999998</v>
      </c>
      <c r="H893" s="33" t="s">
        <v>1295</v>
      </c>
      <c r="I893" s="33" t="s">
        <v>68</v>
      </c>
    </row>
    <row r="894" spans="1:9" x14ac:dyDescent="0.2">
      <c r="A894" s="33" t="s">
        <v>321</v>
      </c>
      <c r="B894" s="33" t="s">
        <v>126</v>
      </c>
      <c r="C894" s="33" t="s">
        <v>1298</v>
      </c>
      <c r="D894" s="42">
        <v>-2.0000000000002238E-3</v>
      </c>
      <c r="E894" s="33" t="s">
        <v>224</v>
      </c>
      <c r="F894" s="34">
        <v>2</v>
      </c>
      <c r="G894" s="34">
        <v>2.0020000000000002</v>
      </c>
      <c r="H894" s="33" t="s">
        <v>819</v>
      </c>
      <c r="I894" s="33" t="s">
        <v>68</v>
      </c>
    </row>
    <row r="895" spans="1:9" x14ac:dyDescent="0.2">
      <c r="A895" s="33" t="s">
        <v>321</v>
      </c>
      <c r="B895" s="33" t="s">
        <v>126</v>
      </c>
      <c r="C895" s="33" t="s">
        <v>1299</v>
      </c>
      <c r="D895" s="42">
        <v>7.9999999999813554E-4</v>
      </c>
      <c r="E895" s="33" t="s">
        <v>224</v>
      </c>
      <c r="F895" s="34">
        <v>2.48</v>
      </c>
      <c r="G895" s="34">
        <v>2.4792000000000018</v>
      </c>
      <c r="H895" s="33" t="s">
        <v>68</v>
      </c>
      <c r="I895" s="33" t="s">
        <v>68</v>
      </c>
    </row>
    <row r="896" spans="1:9" x14ac:dyDescent="0.2">
      <c r="A896" s="33" t="s">
        <v>321</v>
      </c>
      <c r="B896" s="33" t="s">
        <v>126</v>
      </c>
      <c r="C896" s="33" t="s">
        <v>1300</v>
      </c>
      <c r="D896" s="42">
        <v>-7.0000000000014495E-4</v>
      </c>
      <c r="E896" s="33" t="s">
        <v>224</v>
      </c>
      <c r="F896" s="34">
        <v>1.7</v>
      </c>
      <c r="G896" s="34">
        <v>1.7007000000000001</v>
      </c>
      <c r="H896" s="33" t="s">
        <v>1301</v>
      </c>
      <c r="I896" s="33" t="s">
        <v>68</v>
      </c>
    </row>
    <row r="897" spans="1:9" x14ac:dyDescent="0.2">
      <c r="A897" s="33" t="s">
        <v>321</v>
      </c>
      <c r="B897" s="33" t="s">
        <v>126</v>
      </c>
      <c r="C897" s="33" t="s">
        <v>1302</v>
      </c>
      <c r="D897" s="42">
        <v>0</v>
      </c>
      <c r="E897" s="33" t="s">
        <v>224</v>
      </c>
      <c r="F897" s="34">
        <v>4.2164999999999999</v>
      </c>
      <c r="G897" s="34">
        <v>4.2164999999999999</v>
      </c>
      <c r="H897" s="33" t="s">
        <v>68</v>
      </c>
      <c r="I897" s="33" t="s">
        <v>68</v>
      </c>
    </row>
    <row r="898" spans="1:9" x14ac:dyDescent="0.2">
      <c r="A898" s="33" t="s">
        <v>321</v>
      </c>
      <c r="B898" s="33" t="s">
        <v>126</v>
      </c>
      <c r="C898" s="33" t="s">
        <v>1303</v>
      </c>
      <c r="D898" s="42">
        <v>1.46</v>
      </c>
      <c r="E898" s="33" t="s">
        <v>224</v>
      </c>
      <c r="F898" s="34">
        <v>2.8</v>
      </c>
      <c r="G898" s="34">
        <v>1.3399999999999999</v>
      </c>
      <c r="H898" s="33" t="s">
        <v>1304</v>
      </c>
      <c r="I898" s="33" t="s">
        <v>68</v>
      </c>
    </row>
    <row r="899" spans="1:9" x14ac:dyDescent="0.2">
      <c r="A899" s="33" t="s">
        <v>321</v>
      </c>
      <c r="B899" s="33" t="s">
        <v>126</v>
      </c>
      <c r="C899" s="33" t="s">
        <v>1305</v>
      </c>
      <c r="D899" s="42">
        <v>-5.5999999999999939E-3</v>
      </c>
      <c r="E899" s="33" t="s">
        <v>224</v>
      </c>
      <c r="F899" s="34">
        <v>0.1</v>
      </c>
      <c r="G899" s="34">
        <v>0.1056</v>
      </c>
      <c r="H899" s="33" t="s">
        <v>794</v>
      </c>
      <c r="I899" s="33" t="s">
        <v>68</v>
      </c>
    </row>
    <row r="900" spans="1:9" x14ac:dyDescent="0.2">
      <c r="A900" s="33" t="s">
        <v>321</v>
      </c>
      <c r="B900" s="33" t="s">
        <v>126</v>
      </c>
      <c r="C900" s="33" t="s">
        <v>1306</v>
      </c>
      <c r="D900" s="42">
        <v>8.8817841970012523E-16</v>
      </c>
      <c r="E900" s="33" t="s">
        <v>224</v>
      </c>
      <c r="F900" s="34">
        <v>4</v>
      </c>
      <c r="G900" s="34">
        <v>3.9999999999999991</v>
      </c>
      <c r="H900" s="33" t="s">
        <v>68</v>
      </c>
      <c r="I900" s="33" t="s">
        <v>68</v>
      </c>
    </row>
    <row r="901" spans="1:9" x14ac:dyDescent="0.2">
      <c r="A901" s="33" t="s">
        <v>321</v>
      </c>
      <c r="B901" s="33" t="s">
        <v>126</v>
      </c>
      <c r="C901" s="33" t="s">
        <v>1307</v>
      </c>
      <c r="D901" s="42">
        <v>2.3399999999984544E-3</v>
      </c>
      <c r="E901" s="33" t="s">
        <v>224</v>
      </c>
      <c r="F901" s="34">
        <v>4.0999999999999996</v>
      </c>
      <c r="G901" s="34">
        <v>4.0976600000000012</v>
      </c>
      <c r="H901" s="33" t="s">
        <v>1308</v>
      </c>
      <c r="I901" s="33" t="s">
        <v>68</v>
      </c>
    </row>
    <row r="902" spans="1:9" x14ac:dyDescent="0.2">
      <c r="A902" s="33" t="s">
        <v>1309</v>
      </c>
      <c r="B902" s="33" t="s">
        <v>128</v>
      </c>
      <c r="C902" s="33" t="s">
        <v>1310</v>
      </c>
      <c r="D902" s="42">
        <v>0</v>
      </c>
      <c r="E902" s="33" t="s">
        <v>239</v>
      </c>
      <c r="F902" s="34">
        <v>30</v>
      </c>
      <c r="G902" s="34">
        <v>30</v>
      </c>
      <c r="H902" s="33" t="s">
        <v>68</v>
      </c>
      <c r="I902" s="33" t="s">
        <v>68</v>
      </c>
    </row>
    <row r="903" spans="1:9" x14ac:dyDescent="0.2">
      <c r="A903" s="33" t="s">
        <v>1309</v>
      </c>
      <c r="B903" s="33" t="s">
        <v>128</v>
      </c>
      <c r="C903" s="33" t="s">
        <v>1311</v>
      </c>
      <c r="D903" s="42">
        <v>0</v>
      </c>
      <c r="E903" s="33" t="s">
        <v>239</v>
      </c>
      <c r="F903" s="34">
        <v>60</v>
      </c>
      <c r="G903" s="34">
        <v>60</v>
      </c>
      <c r="H903" s="33" t="s">
        <v>68</v>
      </c>
      <c r="I903" s="33" t="s">
        <v>68</v>
      </c>
    </row>
    <row r="904" spans="1:9" x14ac:dyDescent="0.2">
      <c r="A904" s="33" t="s">
        <v>1309</v>
      </c>
      <c r="B904" s="33" t="s">
        <v>128</v>
      </c>
      <c r="C904" s="33" t="s">
        <v>1312</v>
      </c>
      <c r="D904" s="42">
        <v>0</v>
      </c>
      <c r="E904" s="33" t="s">
        <v>239</v>
      </c>
      <c r="F904" s="34">
        <v>240</v>
      </c>
      <c r="G904" s="34">
        <v>240</v>
      </c>
      <c r="H904" s="33" t="s">
        <v>68</v>
      </c>
      <c r="I904" s="33" t="s">
        <v>68</v>
      </c>
    </row>
    <row r="905" spans="1:9" x14ac:dyDescent="0.2">
      <c r="A905" s="33" t="s">
        <v>1313</v>
      </c>
      <c r="B905" s="33" t="s">
        <v>129</v>
      </c>
      <c r="C905" s="33" t="s">
        <v>1314</v>
      </c>
      <c r="D905" s="42">
        <v>0</v>
      </c>
      <c r="E905" s="33" t="s">
        <v>239</v>
      </c>
      <c r="F905" s="34">
        <v>10</v>
      </c>
      <c r="G905" s="34">
        <v>10</v>
      </c>
      <c r="H905" s="33" t="s">
        <v>68</v>
      </c>
      <c r="I905" s="33" t="s">
        <v>68</v>
      </c>
    </row>
    <row r="906" spans="1:9" x14ac:dyDescent="0.2">
      <c r="A906" s="33" t="s">
        <v>1313</v>
      </c>
      <c r="B906" s="33" t="s">
        <v>129</v>
      </c>
      <c r="C906" s="33" t="s">
        <v>1315</v>
      </c>
      <c r="D906" s="42">
        <v>0</v>
      </c>
      <c r="E906" s="33" t="s">
        <v>239</v>
      </c>
      <c r="F906" s="34">
        <v>10</v>
      </c>
      <c r="G906" s="34">
        <v>10</v>
      </c>
      <c r="H906" s="33" t="s">
        <v>68</v>
      </c>
      <c r="I906" s="33" t="s">
        <v>68</v>
      </c>
    </row>
    <row r="907" spans="1:9" x14ac:dyDescent="0.2">
      <c r="A907" s="33" t="s">
        <v>1316</v>
      </c>
      <c r="B907" s="33" t="s">
        <v>1317</v>
      </c>
      <c r="C907" s="33" t="s">
        <v>1318</v>
      </c>
      <c r="D907" s="42">
        <v>0</v>
      </c>
      <c r="E907" s="33" t="s">
        <v>224</v>
      </c>
      <c r="F907" s="34">
        <v>13</v>
      </c>
      <c r="G907" s="34">
        <v>13</v>
      </c>
      <c r="H907" s="33" t="s">
        <v>1319</v>
      </c>
      <c r="I907" s="33" t="s">
        <v>68</v>
      </c>
    </row>
    <row r="908" spans="1:9" x14ac:dyDescent="0.2">
      <c r="A908" s="33" t="s">
        <v>1320</v>
      </c>
      <c r="B908" s="33" t="s">
        <v>1321</v>
      </c>
      <c r="C908" s="33" t="s">
        <v>1318</v>
      </c>
      <c r="D908" s="42">
        <v>0</v>
      </c>
      <c r="E908" s="33" t="s">
        <v>224</v>
      </c>
      <c r="F908" s="34">
        <v>19</v>
      </c>
      <c r="G908" s="34">
        <v>19</v>
      </c>
      <c r="H908" s="33" t="s">
        <v>1319</v>
      </c>
      <c r="I908" s="33" t="s">
        <v>68</v>
      </c>
    </row>
    <row r="909" spans="1:9" x14ac:dyDescent="0.2">
      <c r="A909" s="33" t="s">
        <v>360</v>
      </c>
      <c r="B909" s="33" t="s">
        <v>132</v>
      </c>
      <c r="C909" s="33" t="s">
        <v>1322</v>
      </c>
      <c r="D909" s="42">
        <v>0</v>
      </c>
      <c r="E909" s="33" t="s">
        <v>224</v>
      </c>
      <c r="F909" s="34">
        <v>60</v>
      </c>
      <c r="G909" s="34">
        <v>60</v>
      </c>
      <c r="H909" s="33" t="s">
        <v>891</v>
      </c>
      <c r="I909" s="33" t="s">
        <v>68</v>
      </c>
    </row>
    <row r="910" spans="1:9" x14ac:dyDescent="0.2">
      <c r="A910" s="33" t="s">
        <v>360</v>
      </c>
      <c r="B910" s="33" t="s">
        <v>132</v>
      </c>
      <c r="C910" s="33" t="s">
        <v>1323</v>
      </c>
      <c r="D910" s="42">
        <v>0</v>
      </c>
      <c r="E910" s="33" t="s">
        <v>224</v>
      </c>
      <c r="F910" s="34">
        <v>20</v>
      </c>
      <c r="G910" s="34">
        <v>20</v>
      </c>
      <c r="H910" s="33" t="s">
        <v>1324</v>
      </c>
      <c r="I910" s="33" t="s">
        <v>68</v>
      </c>
    </row>
    <row r="911" spans="1:9" x14ac:dyDescent="0.2">
      <c r="A911" s="33" t="s">
        <v>360</v>
      </c>
      <c r="B911" s="33" t="s">
        <v>132</v>
      </c>
      <c r="C911" s="33" t="s">
        <v>1325</v>
      </c>
      <c r="D911" s="42">
        <v>0</v>
      </c>
      <c r="E911" s="33" t="s">
        <v>224</v>
      </c>
      <c r="F911" s="34">
        <v>22</v>
      </c>
      <c r="G911" s="34">
        <v>22</v>
      </c>
      <c r="H911" s="33" t="s">
        <v>1326</v>
      </c>
      <c r="I911" s="33" t="s">
        <v>68</v>
      </c>
    </row>
    <row r="912" spans="1:9" x14ac:dyDescent="0.2">
      <c r="A912" s="33" t="s">
        <v>360</v>
      </c>
      <c r="B912" s="33" t="s">
        <v>132</v>
      </c>
      <c r="C912" s="33" t="s">
        <v>1327</v>
      </c>
      <c r="D912" s="42">
        <v>0</v>
      </c>
      <c r="E912" s="33" t="s">
        <v>224</v>
      </c>
      <c r="F912" s="34">
        <v>21</v>
      </c>
      <c r="G912" s="34">
        <v>21</v>
      </c>
      <c r="H912" s="33" t="s">
        <v>1328</v>
      </c>
      <c r="I912" s="33" t="s">
        <v>68</v>
      </c>
    </row>
    <row r="913" spans="1:9" x14ac:dyDescent="0.2">
      <c r="A913" s="33" t="s">
        <v>360</v>
      </c>
      <c r="B913" s="33" t="s">
        <v>132</v>
      </c>
      <c r="C913" s="33" t="s">
        <v>1329</v>
      </c>
      <c r="D913" s="42">
        <v>0</v>
      </c>
      <c r="E913" s="33" t="s">
        <v>224</v>
      </c>
      <c r="F913" s="34">
        <v>19</v>
      </c>
      <c r="G913" s="34">
        <v>19</v>
      </c>
      <c r="H913" s="33" t="s">
        <v>1330</v>
      </c>
      <c r="I913" s="33" t="s">
        <v>68</v>
      </c>
    </row>
    <row r="914" spans="1:9" x14ac:dyDescent="0.2">
      <c r="A914" s="33" t="s">
        <v>360</v>
      </c>
      <c r="B914" s="33" t="s">
        <v>132</v>
      </c>
      <c r="C914" s="33" t="s">
        <v>1331</v>
      </c>
      <c r="D914" s="42">
        <v>0</v>
      </c>
      <c r="E914" s="33" t="s">
        <v>224</v>
      </c>
      <c r="F914" s="34">
        <v>1</v>
      </c>
      <c r="G914" s="34">
        <v>1</v>
      </c>
      <c r="H914" s="33" t="s">
        <v>1332</v>
      </c>
      <c r="I914" s="33" t="s">
        <v>68</v>
      </c>
    </row>
    <row r="915" spans="1:9" x14ac:dyDescent="0.2">
      <c r="A915" s="33" t="s">
        <v>360</v>
      </c>
      <c r="B915" s="33" t="s">
        <v>132</v>
      </c>
      <c r="C915" s="33" t="s">
        <v>1333</v>
      </c>
      <c r="D915" s="42">
        <v>10</v>
      </c>
      <c r="E915" s="33" t="s">
        <v>224</v>
      </c>
      <c r="F915" s="34">
        <v>25</v>
      </c>
      <c r="G915" s="34">
        <v>15</v>
      </c>
      <c r="H915" s="33" t="s">
        <v>1334</v>
      </c>
      <c r="I915" s="33" t="s">
        <v>68</v>
      </c>
    </row>
    <row r="916" spans="1:9" x14ac:dyDescent="0.2">
      <c r="A916" s="33" t="s">
        <v>360</v>
      </c>
      <c r="B916" s="33" t="s">
        <v>132</v>
      </c>
      <c r="C916" s="33" t="s">
        <v>1335</v>
      </c>
      <c r="D916" s="42">
        <v>0</v>
      </c>
      <c r="E916" s="33" t="s">
        <v>224</v>
      </c>
      <c r="F916" s="34">
        <v>46</v>
      </c>
      <c r="G916" s="34">
        <v>46</v>
      </c>
      <c r="H916" s="33" t="s">
        <v>68</v>
      </c>
      <c r="I916" s="33" t="s">
        <v>68</v>
      </c>
    </row>
    <row r="917" spans="1:9" x14ac:dyDescent="0.2">
      <c r="A917" s="33" t="s">
        <v>355</v>
      </c>
      <c r="B917" s="33" t="s">
        <v>133</v>
      </c>
      <c r="C917" s="33" t="s">
        <v>1336</v>
      </c>
      <c r="D917" s="42">
        <v>0</v>
      </c>
      <c r="E917" s="33" t="s">
        <v>224</v>
      </c>
      <c r="F917" s="34">
        <v>5</v>
      </c>
      <c r="G917" s="34">
        <v>5</v>
      </c>
      <c r="H917" s="33" t="s">
        <v>68</v>
      </c>
      <c r="I917" s="33" t="s">
        <v>68</v>
      </c>
    </row>
    <row r="918" spans="1:9" x14ac:dyDescent="0.2">
      <c r="A918" s="33" t="s">
        <v>355</v>
      </c>
      <c r="B918" s="33" t="s">
        <v>133</v>
      </c>
      <c r="C918" s="33" t="s">
        <v>1337</v>
      </c>
      <c r="D918" s="42">
        <v>0</v>
      </c>
      <c r="E918" s="33" t="s">
        <v>224</v>
      </c>
      <c r="F918" s="34">
        <v>5</v>
      </c>
      <c r="G918" s="34">
        <v>5</v>
      </c>
      <c r="H918" s="33" t="s">
        <v>68</v>
      </c>
      <c r="I918" s="33" t="s">
        <v>68</v>
      </c>
    </row>
    <row r="919" spans="1:9" x14ac:dyDescent="0.2">
      <c r="A919" s="33" t="s">
        <v>355</v>
      </c>
      <c r="B919" s="33" t="s">
        <v>133</v>
      </c>
      <c r="C919" s="33" t="s">
        <v>1338</v>
      </c>
      <c r="D919" s="42">
        <v>0</v>
      </c>
      <c r="E919" s="33" t="s">
        <v>224</v>
      </c>
      <c r="F919" s="34">
        <v>5</v>
      </c>
      <c r="G919" s="34">
        <v>5</v>
      </c>
      <c r="H919" s="33" t="s">
        <v>68</v>
      </c>
      <c r="I919" s="33" t="s">
        <v>68</v>
      </c>
    </row>
    <row r="920" spans="1:9" x14ac:dyDescent="0.2">
      <c r="A920" s="33" t="s">
        <v>355</v>
      </c>
      <c r="B920" s="33" t="s">
        <v>133</v>
      </c>
      <c r="C920" s="33" t="s">
        <v>1339</v>
      </c>
      <c r="D920" s="42">
        <v>0</v>
      </c>
      <c r="E920" s="33" t="s">
        <v>224</v>
      </c>
      <c r="F920" s="34">
        <v>5</v>
      </c>
      <c r="G920" s="34">
        <v>5</v>
      </c>
      <c r="H920" s="33" t="s">
        <v>68</v>
      </c>
      <c r="I920" s="33" t="s">
        <v>68</v>
      </c>
    </row>
    <row r="921" spans="1:9" x14ac:dyDescent="0.2">
      <c r="A921" s="33" t="s">
        <v>355</v>
      </c>
      <c r="B921" s="33" t="s">
        <v>133</v>
      </c>
      <c r="C921" s="33" t="s">
        <v>1340</v>
      </c>
      <c r="D921" s="42">
        <v>-8.8817841970012523E-16</v>
      </c>
      <c r="E921" s="33" t="s">
        <v>224</v>
      </c>
      <c r="F921" s="34">
        <v>5</v>
      </c>
      <c r="G921" s="34">
        <v>5.0000000000000009</v>
      </c>
      <c r="H921" s="33" t="s">
        <v>68</v>
      </c>
      <c r="I921" s="33" t="s">
        <v>68</v>
      </c>
    </row>
    <row r="922" spans="1:9" x14ac:dyDescent="0.2">
      <c r="A922" s="33" t="s">
        <v>355</v>
      </c>
      <c r="B922" s="33" t="s">
        <v>133</v>
      </c>
      <c r="C922" s="33" t="s">
        <v>1341</v>
      </c>
      <c r="D922" s="42">
        <v>0</v>
      </c>
      <c r="E922" s="33" t="s">
        <v>224</v>
      </c>
      <c r="F922" s="34">
        <v>5</v>
      </c>
      <c r="G922" s="34">
        <v>5</v>
      </c>
      <c r="H922" s="33" t="s">
        <v>1342</v>
      </c>
      <c r="I922" s="33" t="s">
        <v>68</v>
      </c>
    </row>
    <row r="923" spans="1:9" x14ac:dyDescent="0.2">
      <c r="A923" s="33" t="s">
        <v>355</v>
      </c>
      <c r="B923" s="33" t="s">
        <v>133</v>
      </c>
      <c r="C923" s="33" t="s">
        <v>1343</v>
      </c>
      <c r="D923" s="42">
        <v>0</v>
      </c>
      <c r="E923" s="33" t="s">
        <v>224</v>
      </c>
      <c r="F923" s="34">
        <v>5</v>
      </c>
      <c r="G923" s="34">
        <v>5</v>
      </c>
      <c r="H923" s="33" t="s">
        <v>1344</v>
      </c>
      <c r="I923" s="33" t="s">
        <v>68</v>
      </c>
    </row>
    <row r="924" spans="1:9" x14ac:dyDescent="0.2">
      <c r="A924" s="33" t="s">
        <v>355</v>
      </c>
      <c r="B924" s="33" t="s">
        <v>133</v>
      </c>
      <c r="C924" s="33" t="s">
        <v>1345</v>
      </c>
      <c r="D924" s="42">
        <v>0</v>
      </c>
      <c r="E924" s="33" t="s">
        <v>224</v>
      </c>
      <c r="F924" s="34">
        <v>5</v>
      </c>
      <c r="G924" s="34">
        <v>5</v>
      </c>
      <c r="H924" s="33" t="s">
        <v>1346</v>
      </c>
      <c r="I924" s="33" t="s">
        <v>68</v>
      </c>
    </row>
    <row r="925" spans="1:9" x14ac:dyDescent="0.2">
      <c r="A925" s="33" t="s">
        <v>355</v>
      </c>
      <c r="B925" s="33" t="s">
        <v>133</v>
      </c>
      <c r="C925" s="33" t="s">
        <v>1347</v>
      </c>
      <c r="D925" s="42">
        <v>1.7763568394002505E-15</v>
      </c>
      <c r="E925" s="33" t="s">
        <v>224</v>
      </c>
      <c r="F925" s="34">
        <v>10.3</v>
      </c>
      <c r="G925" s="34">
        <v>10.299999999999999</v>
      </c>
      <c r="H925" s="33" t="s">
        <v>68</v>
      </c>
      <c r="I925" s="33" t="s">
        <v>68</v>
      </c>
    </row>
    <row r="926" spans="1:9" x14ac:dyDescent="0.2">
      <c r="A926" s="33" t="s">
        <v>355</v>
      </c>
      <c r="B926" s="33" t="s">
        <v>133</v>
      </c>
      <c r="C926" s="33" t="s">
        <v>1348</v>
      </c>
      <c r="D926" s="42">
        <v>0</v>
      </c>
      <c r="E926" s="33" t="s">
        <v>224</v>
      </c>
      <c r="F926" s="34">
        <v>5</v>
      </c>
      <c r="G926" s="34">
        <v>5</v>
      </c>
      <c r="H926" s="33" t="s">
        <v>68</v>
      </c>
      <c r="I926" s="33" t="s">
        <v>68</v>
      </c>
    </row>
    <row r="927" spans="1:9" x14ac:dyDescent="0.2">
      <c r="A927" s="33" t="s">
        <v>355</v>
      </c>
      <c r="B927" s="33" t="s">
        <v>133</v>
      </c>
      <c r="C927" s="33" t="s">
        <v>1349</v>
      </c>
      <c r="D927" s="42">
        <v>0</v>
      </c>
      <c r="E927" s="33" t="s">
        <v>224</v>
      </c>
      <c r="F927" s="34">
        <v>5</v>
      </c>
      <c r="G927" s="34">
        <v>5</v>
      </c>
      <c r="H927" s="33" t="s">
        <v>68</v>
      </c>
      <c r="I927" s="33" t="s">
        <v>68</v>
      </c>
    </row>
    <row r="928" spans="1:9" x14ac:dyDescent="0.2">
      <c r="A928" s="33" t="s">
        <v>355</v>
      </c>
      <c r="B928" s="33" t="s">
        <v>133</v>
      </c>
      <c r="C928" s="33" t="s">
        <v>1350</v>
      </c>
      <c r="D928" s="42">
        <v>0</v>
      </c>
      <c r="E928" s="33" t="s">
        <v>224</v>
      </c>
      <c r="F928" s="34">
        <v>5</v>
      </c>
      <c r="G928" s="34">
        <v>5</v>
      </c>
      <c r="H928" s="33" t="s">
        <v>68</v>
      </c>
      <c r="I928" s="33" t="s">
        <v>68</v>
      </c>
    </row>
    <row r="929" spans="1:9" x14ac:dyDescent="0.2">
      <c r="A929" s="33" t="s">
        <v>355</v>
      </c>
      <c r="B929" s="33" t="s">
        <v>133</v>
      </c>
      <c r="C929" s="33" t="s">
        <v>1351</v>
      </c>
      <c r="D929" s="42">
        <v>-8.8817841970012523E-16</v>
      </c>
      <c r="E929" s="33" t="s">
        <v>224</v>
      </c>
      <c r="F929" s="34">
        <v>5</v>
      </c>
      <c r="G929" s="34">
        <v>5.0000000000000009</v>
      </c>
      <c r="H929" s="33" t="s">
        <v>68</v>
      </c>
      <c r="I929" s="33" t="s">
        <v>68</v>
      </c>
    </row>
    <row r="930" spans="1:9" x14ac:dyDescent="0.2">
      <c r="A930" s="33" t="s">
        <v>355</v>
      </c>
      <c r="B930" s="33" t="s">
        <v>133</v>
      </c>
      <c r="C930" s="33" t="s">
        <v>1352</v>
      </c>
      <c r="D930" s="42">
        <v>0</v>
      </c>
      <c r="E930" s="33" t="s">
        <v>224</v>
      </c>
      <c r="F930" s="34">
        <v>5</v>
      </c>
      <c r="G930" s="34">
        <v>5</v>
      </c>
      <c r="H930" s="33" t="s">
        <v>68</v>
      </c>
      <c r="I930" s="33" t="s">
        <v>68</v>
      </c>
    </row>
    <row r="931" spans="1:9" x14ac:dyDescent="0.2">
      <c r="A931" s="33" t="s">
        <v>355</v>
      </c>
      <c r="B931" s="33" t="s">
        <v>133</v>
      </c>
      <c r="C931" s="33" t="s">
        <v>1353</v>
      </c>
      <c r="D931" s="42">
        <v>0</v>
      </c>
      <c r="E931" s="33" t="s">
        <v>224</v>
      </c>
      <c r="F931" s="34">
        <v>5</v>
      </c>
      <c r="G931" s="34">
        <v>5</v>
      </c>
      <c r="H931" s="33" t="s">
        <v>1342</v>
      </c>
      <c r="I931" s="33" t="s">
        <v>68</v>
      </c>
    </row>
    <row r="932" spans="1:9" x14ac:dyDescent="0.2">
      <c r="A932" s="33" t="s">
        <v>355</v>
      </c>
      <c r="B932" s="33" t="s">
        <v>133</v>
      </c>
      <c r="C932" s="33" t="s">
        <v>1354</v>
      </c>
      <c r="D932" s="42">
        <v>0</v>
      </c>
      <c r="E932" s="33" t="s">
        <v>224</v>
      </c>
      <c r="F932" s="34">
        <v>5</v>
      </c>
      <c r="G932" s="34">
        <v>5</v>
      </c>
      <c r="H932" s="33" t="s">
        <v>1344</v>
      </c>
      <c r="I932" s="33" t="s">
        <v>68</v>
      </c>
    </row>
    <row r="933" spans="1:9" x14ac:dyDescent="0.2">
      <c r="A933" s="33" t="s">
        <v>355</v>
      </c>
      <c r="B933" s="33" t="s">
        <v>133</v>
      </c>
      <c r="C933" s="33" t="s">
        <v>1355</v>
      </c>
      <c r="D933" s="42">
        <v>0</v>
      </c>
      <c r="E933" s="33" t="s">
        <v>224</v>
      </c>
      <c r="F933" s="34">
        <v>5</v>
      </c>
      <c r="G933" s="34">
        <v>5</v>
      </c>
      <c r="H933" s="33" t="s">
        <v>1346</v>
      </c>
      <c r="I933" s="33" t="s">
        <v>68</v>
      </c>
    </row>
    <row r="934" spans="1:9" x14ac:dyDescent="0.2">
      <c r="A934" s="33" t="s">
        <v>355</v>
      </c>
      <c r="B934" s="33" t="s">
        <v>133</v>
      </c>
      <c r="C934" s="33" t="s">
        <v>1356</v>
      </c>
      <c r="D934" s="42">
        <v>0</v>
      </c>
      <c r="E934" s="33" t="s">
        <v>224</v>
      </c>
      <c r="F934" s="34">
        <v>5</v>
      </c>
      <c r="G934" s="34">
        <v>5</v>
      </c>
      <c r="H934" s="33" t="s">
        <v>68</v>
      </c>
      <c r="I934" s="33" t="s">
        <v>68</v>
      </c>
    </row>
    <row r="935" spans="1:9" x14ac:dyDescent="0.2">
      <c r="A935" s="33" t="s">
        <v>355</v>
      </c>
      <c r="B935" s="33" t="s">
        <v>133</v>
      </c>
      <c r="C935" s="33" t="s">
        <v>1357</v>
      </c>
      <c r="D935" s="42">
        <v>0</v>
      </c>
      <c r="E935" s="33" t="s">
        <v>224</v>
      </c>
      <c r="F935" s="34">
        <v>5</v>
      </c>
      <c r="G935" s="34">
        <v>5</v>
      </c>
      <c r="H935" s="33" t="s">
        <v>1342</v>
      </c>
      <c r="I935" s="33" t="s">
        <v>68</v>
      </c>
    </row>
    <row r="936" spans="1:9" x14ac:dyDescent="0.2">
      <c r="A936" s="33" t="s">
        <v>355</v>
      </c>
      <c r="B936" s="33" t="s">
        <v>133</v>
      </c>
      <c r="C936" s="33" t="s">
        <v>1358</v>
      </c>
      <c r="D936" s="42">
        <v>0</v>
      </c>
      <c r="E936" s="33" t="s">
        <v>224</v>
      </c>
      <c r="F936" s="34">
        <v>5</v>
      </c>
      <c r="G936" s="34">
        <v>5</v>
      </c>
      <c r="H936" s="33" t="s">
        <v>1359</v>
      </c>
      <c r="I936" s="33" t="s">
        <v>68</v>
      </c>
    </row>
    <row r="937" spans="1:9" x14ac:dyDescent="0.2">
      <c r="A937" s="33" t="s">
        <v>355</v>
      </c>
      <c r="B937" s="33" t="s">
        <v>133</v>
      </c>
      <c r="C937" s="33" t="s">
        <v>1360</v>
      </c>
      <c r="D937" s="42">
        <v>0</v>
      </c>
      <c r="E937" s="33" t="s">
        <v>224</v>
      </c>
      <c r="F937" s="34">
        <v>5</v>
      </c>
      <c r="G937" s="34">
        <v>5</v>
      </c>
      <c r="H937" s="33" t="s">
        <v>1361</v>
      </c>
      <c r="I937" s="33" t="s">
        <v>68</v>
      </c>
    </row>
    <row r="938" spans="1:9" x14ac:dyDescent="0.2">
      <c r="A938" s="33" t="s">
        <v>355</v>
      </c>
      <c r="B938" s="33" t="s">
        <v>133</v>
      </c>
      <c r="C938" s="33" t="s">
        <v>1362</v>
      </c>
      <c r="D938" s="42">
        <v>0</v>
      </c>
      <c r="E938" s="33" t="s">
        <v>224</v>
      </c>
      <c r="F938" s="34">
        <v>5</v>
      </c>
      <c r="G938" s="34">
        <v>5</v>
      </c>
      <c r="H938" s="33" t="s">
        <v>1361</v>
      </c>
      <c r="I938" s="33" t="s">
        <v>68</v>
      </c>
    </row>
    <row r="939" spans="1:9" x14ac:dyDescent="0.2">
      <c r="A939" s="33" t="s">
        <v>355</v>
      </c>
      <c r="B939" s="33" t="s">
        <v>133</v>
      </c>
      <c r="C939" s="33" t="s">
        <v>1363</v>
      </c>
      <c r="D939" s="42">
        <v>0</v>
      </c>
      <c r="E939" s="33" t="s">
        <v>224</v>
      </c>
      <c r="F939" s="34">
        <v>3.2</v>
      </c>
      <c r="G939" s="34">
        <v>3.2</v>
      </c>
      <c r="H939" s="33" t="s">
        <v>68</v>
      </c>
      <c r="I939" s="33" t="s">
        <v>68</v>
      </c>
    </row>
    <row r="940" spans="1:9" x14ac:dyDescent="0.2">
      <c r="A940" s="33" t="s">
        <v>355</v>
      </c>
      <c r="B940" s="33" t="s">
        <v>133</v>
      </c>
      <c r="C940" s="33" t="s">
        <v>1364</v>
      </c>
      <c r="D940" s="42">
        <v>0</v>
      </c>
      <c r="E940" s="33" t="s">
        <v>224</v>
      </c>
      <c r="F940" s="34">
        <v>20.200000000000003</v>
      </c>
      <c r="G940" s="34">
        <v>20.200000000000003</v>
      </c>
      <c r="H940" s="33" t="s">
        <v>68</v>
      </c>
      <c r="I940" s="33" t="s">
        <v>68</v>
      </c>
    </row>
    <row r="941" spans="1:9" x14ac:dyDescent="0.2">
      <c r="A941" s="33" t="s">
        <v>1365</v>
      </c>
      <c r="B941" s="33" t="s">
        <v>134</v>
      </c>
      <c r="C941" s="33" t="s">
        <v>1366</v>
      </c>
      <c r="D941" s="42">
        <v>0</v>
      </c>
      <c r="E941" s="33" t="s">
        <v>1367</v>
      </c>
      <c r="F941" s="34">
        <v>30</v>
      </c>
      <c r="G941" s="34">
        <v>30</v>
      </c>
      <c r="H941" s="33" t="s">
        <v>68</v>
      </c>
      <c r="I941" s="33" t="s">
        <v>464</v>
      </c>
    </row>
    <row r="942" spans="1:9" x14ac:dyDescent="0.2">
      <c r="A942" s="33" t="s">
        <v>1365</v>
      </c>
      <c r="B942" s="33" t="s">
        <v>134</v>
      </c>
      <c r="C942" s="33" t="s">
        <v>1368</v>
      </c>
      <c r="D942" s="42">
        <v>0</v>
      </c>
      <c r="E942" s="33" t="s">
        <v>1367</v>
      </c>
      <c r="F942" s="34">
        <v>1000</v>
      </c>
      <c r="G942" s="34">
        <v>1000</v>
      </c>
      <c r="H942" s="33" t="s">
        <v>1369</v>
      </c>
      <c r="I942" s="33" t="s">
        <v>68</v>
      </c>
    </row>
    <row r="943" spans="1:9" x14ac:dyDescent="0.2">
      <c r="A943" s="33" t="s">
        <v>1370</v>
      </c>
      <c r="B943" s="33" t="s">
        <v>1371</v>
      </c>
      <c r="C943" s="33" t="s">
        <v>1372</v>
      </c>
      <c r="D943" s="42">
        <v>35</v>
      </c>
      <c r="E943" s="33" t="s">
        <v>224</v>
      </c>
      <c r="F943" s="34">
        <v>45.2</v>
      </c>
      <c r="G943" s="34">
        <v>10.199999999999999</v>
      </c>
      <c r="H943" s="33" t="s">
        <v>68</v>
      </c>
      <c r="I943" s="33" t="s">
        <v>68</v>
      </c>
    </row>
    <row r="944" spans="1:9" x14ac:dyDescent="0.2">
      <c r="A944" s="33" t="s">
        <v>1373</v>
      </c>
      <c r="B944" s="33" t="s">
        <v>138</v>
      </c>
      <c r="C944" s="33" t="s">
        <v>1366</v>
      </c>
      <c r="D944" s="42">
        <v>-3.5527136788005009E-15</v>
      </c>
      <c r="E944" s="33" t="s">
        <v>1367</v>
      </c>
      <c r="F944" s="34">
        <v>20</v>
      </c>
      <c r="G944" s="34">
        <v>20.000000000000004</v>
      </c>
      <c r="H944" s="33" t="s">
        <v>68</v>
      </c>
      <c r="I944" s="33" t="s">
        <v>464</v>
      </c>
    </row>
    <row r="945" spans="1:9" x14ac:dyDescent="0.2">
      <c r="A945" s="33" t="s">
        <v>1373</v>
      </c>
      <c r="B945" s="33" t="s">
        <v>138</v>
      </c>
      <c r="C945" s="33" t="s">
        <v>1374</v>
      </c>
      <c r="D945" s="42">
        <v>0</v>
      </c>
      <c r="E945" s="33" t="s">
        <v>1367</v>
      </c>
      <c r="F945" s="34">
        <v>1000</v>
      </c>
      <c r="G945" s="34">
        <v>1000</v>
      </c>
      <c r="H945" s="33" t="s">
        <v>68</v>
      </c>
      <c r="I945" s="33" t="s">
        <v>68</v>
      </c>
    </row>
    <row r="946" spans="1:9" x14ac:dyDescent="0.2">
      <c r="A946" s="33" t="s">
        <v>1373</v>
      </c>
      <c r="B946" s="33" t="s">
        <v>138</v>
      </c>
      <c r="C946" s="33" t="s">
        <v>1375</v>
      </c>
      <c r="D946" s="42">
        <v>0</v>
      </c>
      <c r="E946" s="33" t="s">
        <v>1367</v>
      </c>
      <c r="F946" s="34">
        <v>1000</v>
      </c>
      <c r="G946" s="34">
        <v>1000</v>
      </c>
      <c r="H946" s="33" t="s">
        <v>1376</v>
      </c>
      <c r="I946" s="33" t="s">
        <v>1377</v>
      </c>
    </row>
    <row r="947" spans="1:9" x14ac:dyDescent="0.2">
      <c r="A947" s="33" t="s">
        <v>361</v>
      </c>
      <c r="B947" s="33" t="s">
        <v>144</v>
      </c>
      <c r="C947" s="33" t="s">
        <v>1378</v>
      </c>
      <c r="D947" s="42">
        <v>0</v>
      </c>
      <c r="E947" s="33" t="s">
        <v>224</v>
      </c>
      <c r="F947" s="34">
        <v>20</v>
      </c>
      <c r="G947" s="34">
        <v>20</v>
      </c>
      <c r="H947" s="33" t="s">
        <v>68</v>
      </c>
      <c r="I947" s="33" t="s">
        <v>68</v>
      </c>
    </row>
    <row r="948" spans="1:9" x14ac:dyDescent="0.2">
      <c r="A948" s="33" t="s">
        <v>361</v>
      </c>
      <c r="B948" s="33" t="s">
        <v>144</v>
      </c>
      <c r="C948" s="33" t="s">
        <v>1379</v>
      </c>
      <c r="D948" s="42">
        <v>0</v>
      </c>
      <c r="E948" s="33" t="s">
        <v>224</v>
      </c>
      <c r="F948" s="34">
        <v>40</v>
      </c>
      <c r="G948" s="34">
        <v>40</v>
      </c>
      <c r="H948" s="33" t="s">
        <v>1380</v>
      </c>
      <c r="I948" s="33" t="s">
        <v>68</v>
      </c>
    </row>
    <row r="949" spans="1:9" x14ac:dyDescent="0.2">
      <c r="A949" s="33" t="s">
        <v>361</v>
      </c>
      <c r="B949" s="33" t="s">
        <v>144</v>
      </c>
      <c r="C949" s="33" t="s">
        <v>1381</v>
      </c>
      <c r="D949" s="42">
        <v>0</v>
      </c>
      <c r="E949" s="33" t="s">
        <v>224</v>
      </c>
      <c r="F949" s="34">
        <v>20</v>
      </c>
      <c r="G949" s="34">
        <v>20</v>
      </c>
      <c r="H949" s="33" t="s">
        <v>1382</v>
      </c>
      <c r="I949" s="33" t="s">
        <v>68</v>
      </c>
    </row>
    <row r="950" spans="1:9" x14ac:dyDescent="0.2">
      <c r="A950" s="33" t="s">
        <v>361</v>
      </c>
      <c r="B950" s="33" t="s">
        <v>144</v>
      </c>
      <c r="C950" s="33" t="s">
        <v>1383</v>
      </c>
      <c r="D950" s="42">
        <v>0</v>
      </c>
      <c r="E950" s="33" t="s">
        <v>224</v>
      </c>
      <c r="F950" s="34">
        <v>20</v>
      </c>
      <c r="G950" s="34">
        <v>20</v>
      </c>
      <c r="H950" s="33" t="s">
        <v>68</v>
      </c>
      <c r="I950" s="33" t="s">
        <v>68</v>
      </c>
    </row>
    <row r="951" spans="1:9" x14ac:dyDescent="0.2">
      <c r="A951" s="33" t="s">
        <v>1384</v>
      </c>
      <c r="B951" s="33" t="s">
        <v>145</v>
      </c>
      <c r="C951" s="33" t="s">
        <v>1385</v>
      </c>
      <c r="D951" s="42">
        <v>0</v>
      </c>
      <c r="E951" s="33" t="s">
        <v>224</v>
      </c>
      <c r="F951" s="34">
        <v>25</v>
      </c>
      <c r="G951" s="34">
        <v>25</v>
      </c>
      <c r="H951" s="33" t="s">
        <v>1386</v>
      </c>
      <c r="I951" s="33" t="s">
        <v>1077</v>
      </c>
    </row>
    <row r="952" spans="1:9" x14ac:dyDescent="0.2">
      <c r="A952" s="33" t="s">
        <v>1387</v>
      </c>
      <c r="B952" s="33" t="s">
        <v>1388</v>
      </c>
      <c r="C952" s="33" t="s">
        <v>1389</v>
      </c>
      <c r="D952" s="42">
        <v>0</v>
      </c>
      <c r="E952" s="33" t="s">
        <v>224</v>
      </c>
      <c r="F952" s="34">
        <v>4</v>
      </c>
      <c r="G952" s="34">
        <v>4</v>
      </c>
      <c r="H952" s="33" t="s">
        <v>1390</v>
      </c>
      <c r="I952" s="33" t="s">
        <v>68</v>
      </c>
    </row>
    <row r="953" spans="1:9" x14ac:dyDescent="0.2">
      <c r="A953" s="33" t="s">
        <v>1387</v>
      </c>
      <c r="B953" s="33" t="s">
        <v>1388</v>
      </c>
      <c r="C953" s="33" t="s">
        <v>1391</v>
      </c>
      <c r="D953" s="42">
        <v>0</v>
      </c>
      <c r="E953" s="33" t="s">
        <v>224</v>
      </c>
      <c r="F953" s="34">
        <v>5</v>
      </c>
      <c r="G953" s="34">
        <v>5</v>
      </c>
      <c r="H953" s="33" t="s">
        <v>1392</v>
      </c>
      <c r="I953" s="33" t="s">
        <v>68</v>
      </c>
    </row>
    <row r="954" spans="1:9" x14ac:dyDescent="0.2">
      <c r="A954" s="33" t="s">
        <v>1387</v>
      </c>
      <c r="B954" s="33" t="s">
        <v>1388</v>
      </c>
      <c r="C954" s="33" t="s">
        <v>1393</v>
      </c>
      <c r="D954" s="42">
        <v>0</v>
      </c>
      <c r="E954" s="33" t="s">
        <v>224</v>
      </c>
      <c r="F954" s="34">
        <v>4</v>
      </c>
      <c r="G954" s="34">
        <v>4</v>
      </c>
      <c r="H954" s="33" t="s">
        <v>68</v>
      </c>
      <c r="I954" s="33" t="s">
        <v>68</v>
      </c>
    </row>
    <row r="955" spans="1:9" x14ac:dyDescent="0.2">
      <c r="A955" s="33" t="s">
        <v>1387</v>
      </c>
      <c r="B955" s="33" t="s">
        <v>1388</v>
      </c>
      <c r="C955" s="33" t="s">
        <v>1394</v>
      </c>
      <c r="D955" s="42">
        <v>0</v>
      </c>
      <c r="E955" s="33" t="s">
        <v>224</v>
      </c>
      <c r="F955" s="34">
        <v>4</v>
      </c>
      <c r="G955" s="34">
        <v>4</v>
      </c>
      <c r="H955" s="33" t="s">
        <v>68</v>
      </c>
      <c r="I955" s="33" t="s">
        <v>68</v>
      </c>
    </row>
    <row r="956" spans="1:9" x14ac:dyDescent="0.2">
      <c r="A956" s="33" t="s">
        <v>1387</v>
      </c>
      <c r="B956" s="33" t="s">
        <v>1388</v>
      </c>
      <c r="C956" s="33" t="s">
        <v>1395</v>
      </c>
      <c r="D956" s="42">
        <v>0</v>
      </c>
      <c r="E956" s="33" t="s">
        <v>224</v>
      </c>
      <c r="F956" s="34">
        <v>5</v>
      </c>
      <c r="G956" s="34">
        <v>5</v>
      </c>
      <c r="H956" s="33" t="s">
        <v>68</v>
      </c>
      <c r="I956" s="33" t="s">
        <v>68</v>
      </c>
    </row>
    <row r="957" spans="1:9" x14ac:dyDescent="0.2">
      <c r="A957" s="33" t="s">
        <v>1387</v>
      </c>
      <c r="B957" s="33" t="s">
        <v>1388</v>
      </c>
      <c r="C957" s="33" t="s">
        <v>1396</v>
      </c>
      <c r="D957" s="42">
        <v>0</v>
      </c>
      <c r="E957" s="33" t="s">
        <v>224</v>
      </c>
      <c r="F957" s="34">
        <v>3</v>
      </c>
      <c r="G957" s="34">
        <v>3</v>
      </c>
      <c r="H957" s="33" t="s">
        <v>1397</v>
      </c>
      <c r="I957" s="33" t="s">
        <v>68</v>
      </c>
    </row>
    <row r="958" spans="1:9" x14ac:dyDescent="0.2">
      <c r="A958" s="33" t="s">
        <v>362</v>
      </c>
      <c r="B958" s="33" t="s">
        <v>149</v>
      </c>
      <c r="C958" s="33" t="s">
        <v>1398</v>
      </c>
      <c r="D958" s="42">
        <v>0</v>
      </c>
      <c r="E958" s="33" t="s">
        <v>224</v>
      </c>
      <c r="F958" s="34">
        <v>0.5</v>
      </c>
      <c r="G958" s="34">
        <v>0.5</v>
      </c>
      <c r="H958" s="33" t="s">
        <v>68</v>
      </c>
      <c r="I958" s="33" t="s">
        <v>68</v>
      </c>
    </row>
    <row r="959" spans="1:9" x14ac:dyDescent="0.2">
      <c r="A959" s="33" t="s">
        <v>362</v>
      </c>
      <c r="B959" s="33" t="s">
        <v>149</v>
      </c>
      <c r="C959" s="33" t="s">
        <v>1399</v>
      </c>
      <c r="D959" s="42">
        <v>0</v>
      </c>
      <c r="E959" s="33" t="s">
        <v>224</v>
      </c>
      <c r="F959" s="34">
        <v>1</v>
      </c>
      <c r="G959" s="34">
        <v>1</v>
      </c>
      <c r="H959" s="33" t="s">
        <v>68</v>
      </c>
      <c r="I959" s="33" t="s">
        <v>68</v>
      </c>
    </row>
    <row r="960" spans="1:9" x14ac:dyDescent="0.2">
      <c r="A960" s="33" t="s">
        <v>362</v>
      </c>
      <c r="B960" s="33" t="s">
        <v>149</v>
      </c>
      <c r="C960" s="33" t="s">
        <v>1400</v>
      </c>
      <c r="D960" s="42">
        <v>0</v>
      </c>
      <c r="E960" s="33" t="s">
        <v>224</v>
      </c>
      <c r="F960" s="34">
        <v>0.5</v>
      </c>
      <c r="G960" s="34">
        <v>0.5</v>
      </c>
      <c r="H960" s="33" t="s">
        <v>68</v>
      </c>
      <c r="I960" s="33" t="s">
        <v>68</v>
      </c>
    </row>
    <row r="961" spans="1:9" x14ac:dyDescent="0.2">
      <c r="A961" s="33" t="s">
        <v>362</v>
      </c>
      <c r="B961" s="33" t="s">
        <v>149</v>
      </c>
      <c r="C961" s="33" t="s">
        <v>1401</v>
      </c>
      <c r="D961" s="42">
        <v>0</v>
      </c>
      <c r="E961" s="33" t="s">
        <v>224</v>
      </c>
      <c r="F961" s="34">
        <v>1</v>
      </c>
      <c r="G961" s="34">
        <v>1</v>
      </c>
      <c r="H961" s="33" t="s">
        <v>68</v>
      </c>
      <c r="I961" s="33" t="s">
        <v>68</v>
      </c>
    </row>
    <row r="962" spans="1:9" x14ac:dyDescent="0.2">
      <c r="A962" s="33" t="s">
        <v>362</v>
      </c>
      <c r="B962" s="33" t="s">
        <v>149</v>
      </c>
      <c r="C962" s="33" t="s">
        <v>1402</v>
      </c>
      <c r="D962" s="42">
        <v>0</v>
      </c>
      <c r="E962" s="33" t="s">
        <v>224</v>
      </c>
      <c r="F962" s="34">
        <v>2</v>
      </c>
      <c r="G962" s="34">
        <v>2</v>
      </c>
      <c r="H962" s="33" t="s">
        <v>1403</v>
      </c>
      <c r="I962" s="33" t="s">
        <v>68</v>
      </c>
    </row>
    <row r="963" spans="1:9" x14ac:dyDescent="0.2">
      <c r="A963" s="33" t="s">
        <v>362</v>
      </c>
      <c r="B963" s="33" t="s">
        <v>149</v>
      </c>
      <c r="C963" s="33" t="s">
        <v>1404</v>
      </c>
      <c r="D963" s="42">
        <v>0</v>
      </c>
      <c r="E963" s="33" t="s">
        <v>224</v>
      </c>
      <c r="F963" s="34">
        <v>0.5</v>
      </c>
      <c r="G963" s="34">
        <v>0.5</v>
      </c>
      <c r="H963" s="33" t="s">
        <v>1405</v>
      </c>
      <c r="I963" s="33" t="s">
        <v>1406</v>
      </c>
    </row>
    <row r="964" spans="1:9" x14ac:dyDescent="0.2">
      <c r="A964" s="33" t="s">
        <v>362</v>
      </c>
      <c r="B964" s="33" t="s">
        <v>149</v>
      </c>
      <c r="C964" s="33" t="s">
        <v>1407</v>
      </c>
      <c r="D964" s="42">
        <v>0</v>
      </c>
      <c r="E964" s="33" t="s">
        <v>224</v>
      </c>
      <c r="F964" s="34">
        <v>0.5</v>
      </c>
      <c r="G964" s="34">
        <v>0.5</v>
      </c>
      <c r="H964" s="33" t="s">
        <v>1408</v>
      </c>
      <c r="I964" s="33" t="s">
        <v>68</v>
      </c>
    </row>
    <row r="965" spans="1:9" x14ac:dyDescent="0.2">
      <c r="A965" s="33" t="s">
        <v>362</v>
      </c>
      <c r="B965" s="33" t="s">
        <v>149</v>
      </c>
      <c r="C965" s="33" t="s">
        <v>1409</v>
      </c>
      <c r="D965" s="42">
        <v>0</v>
      </c>
      <c r="E965" s="33" t="s">
        <v>224</v>
      </c>
      <c r="F965" s="34">
        <v>2</v>
      </c>
      <c r="G965" s="34">
        <v>2</v>
      </c>
      <c r="H965" s="33" t="s">
        <v>1410</v>
      </c>
      <c r="I965" s="33" t="s">
        <v>68</v>
      </c>
    </row>
    <row r="966" spans="1:9" x14ac:dyDescent="0.2">
      <c r="A966" s="33" t="s">
        <v>385</v>
      </c>
      <c r="B966" s="33" t="s">
        <v>150</v>
      </c>
      <c r="C966" s="33" t="s">
        <v>1411</v>
      </c>
      <c r="D966" s="42">
        <v>0</v>
      </c>
      <c r="E966" s="33" t="s">
        <v>224</v>
      </c>
      <c r="F966" s="34">
        <v>14.4</v>
      </c>
      <c r="G966" s="34">
        <v>14.4</v>
      </c>
      <c r="H966" s="33" t="s">
        <v>68</v>
      </c>
      <c r="I966" s="33" t="s">
        <v>68</v>
      </c>
    </row>
    <row r="967" spans="1:9" x14ac:dyDescent="0.2">
      <c r="A967" s="33" t="s">
        <v>385</v>
      </c>
      <c r="B967" s="33" t="s">
        <v>150</v>
      </c>
      <c r="C967" s="33" t="s">
        <v>1412</v>
      </c>
      <c r="D967" s="42">
        <v>0</v>
      </c>
      <c r="E967" s="33" t="s">
        <v>224</v>
      </c>
      <c r="F967" s="34">
        <v>24.8</v>
      </c>
      <c r="G967" s="34">
        <v>24.8</v>
      </c>
      <c r="H967" s="33" t="s">
        <v>68</v>
      </c>
      <c r="I967" s="33" t="s">
        <v>68</v>
      </c>
    </row>
    <row r="968" spans="1:9" x14ac:dyDescent="0.2">
      <c r="A968" s="33" t="s">
        <v>385</v>
      </c>
      <c r="B968" s="33" t="s">
        <v>150</v>
      </c>
      <c r="C968" s="33" t="s">
        <v>1413</v>
      </c>
      <c r="D968" s="42">
        <v>0</v>
      </c>
      <c r="E968" s="33" t="s">
        <v>224</v>
      </c>
      <c r="F968" s="34">
        <v>25</v>
      </c>
      <c r="G968" s="34">
        <v>25</v>
      </c>
      <c r="H968" s="33" t="s">
        <v>68</v>
      </c>
      <c r="I968" s="33" t="s">
        <v>68</v>
      </c>
    </row>
    <row r="969" spans="1:9" x14ac:dyDescent="0.2">
      <c r="A969" s="33" t="s">
        <v>385</v>
      </c>
      <c r="B969" s="33" t="s">
        <v>150</v>
      </c>
      <c r="C969" s="33" t="s">
        <v>1414</v>
      </c>
      <c r="D969" s="42">
        <v>0</v>
      </c>
      <c r="E969" s="33" t="s">
        <v>224</v>
      </c>
      <c r="F969" s="34">
        <v>25</v>
      </c>
      <c r="G969" s="34">
        <v>25</v>
      </c>
      <c r="H969" s="33" t="s">
        <v>1415</v>
      </c>
      <c r="I969" s="33" t="s">
        <v>68</v>
      </c>
    </row>
    <row r="970" spans="1:9" x14ac:dyDescent="0.2">
      <c r="A970" s="33" t="s">
        <v>385</v>
      </c>
      <c r="B970" s="33" t="s">
        <v>150</v>
      </c>
      <c r="C970" s="33" t="s">
        <v>1416</v>
      </c>
      <c r="D970" s="42">
        <v>0</v>
      </c>
      <c r="E970" s="33" t="s">
        <v>224</v>
      </c>
      <c r="F970" s="34">
        <v>25</v>
      </c>
      <c r="G970" s="34">
        <v>25</v>
      </c>
      <c r="H970" s="33" t="s">
        <v>809</v>
      </c>
      <c r="I970" s="33" t="s">
        <v>68</v>
      </c>
    </row>
    <row r="971" spans="1:9" x14ac:dyDescent="0.2">
      <c r="A971" s="33" t="s">
        <v>385</v>
      </c>
      <c r="B971" s="33" t="s">
        <v>150</v>
      </c>
      <c r="C971" s="33" t="s">
        <v>1417</v>
      </c>
      <c r="D971" s="42">
        <v>0</v>
      </c>
      <c r="E971" s="33" t="s">
        <v>224</v>
      </c>
      <c r="F971" s="34">
        <v>25</v>
      </c>
      <c r="G971" s="34">
        <v>25</v>
      </c>
      <c r="H971" s="33" t="s">
        <v>1418</v>
      </c>
      <c r="I971" s="33" t="s">
        <v>68</v>
      </c>
    </row>
    <row r="972" spans="1:9" x14ac:dyDescent="0.2">
      <c r="A972" s="33" t="s">
        <v>1419</v>
      </c>
      <c r="B972" s="33" t="s">
        <v>1420</v>
      </c>
      <c r="C972" s="33" t="s">
        <v>1421</v>
      </c>
      <c r="D972" s="42">
        <v>0</v>
      </c>
      <c r="E972" s="33" t="s">
        <v>224</v>
      </c>
      <c r="F972" s="34">
        <v>20</v>
      </c>
      <c r="G972" s="34">
        <v>20</v>
      </c>
      <c r="H972" s="33" t="s">
        <v>68</v>
      </c>
      <c r="I972" s="33" t="s">
        <v>68</v>
      </c>
    </row>
    <row r="973" spans="1:9" x14ac:dyDescent="0.2">
      <c r="A973" s="33" t="s">
        <v>1419</v>
      </c>
      <c r="B973" s="33" t="s">
        <v>1420</v>
      </c>
      <c r="C973" s="33" t="s">
        <v>1422</v>
      </c>
      <c r="D973" s="42">
        <v>0</v>
      </c>
      <c r="E973" s="33" t="s">
        <v>224</v>
      </c>
      <c r="F973" s="34">
        <v>20</v>
      </c>
      <c r="G973" s="34">
        <v>20</v>
      </c>
      <c r="H973" s="33" t="s">
        <v>68</v>
      </c>
      <c r="I973" s="33" t="s">
        <v>68</v>
      </c>
    </row>
    <row r="974" spans="1:9" x14ac:dyDescent="0.2">
      <c r="A974" s="33" t="s">
        <v>418</v>
      </c>
      <c r="B974" s="33" t="s">
        <v>153</v>
      </c>
      <c r="C974" s="33" t="s">
        <v>1423</v>
      </c>
      <c r="D974" s="42">
        <v>0</v>
      </c>
      <c r="E974" s="33" t="s">
        <v>224</v>
      </c>
      <c r="F974" s="34">
        <v>10</v>
      </c>
      <c r="G974" s="34">
        <v>10</v>
      </c>
      <c r="H974" s="33" t="s">
        <v>68</v>
      </c>
      <c r="I974" s="33" t="s">
        <v>68</v>
      </c>
    </row>
    <row r="975" spans="1:9" x14ac:dyDescent="0.2">
      <c r="A975" s="33" t="s">
        <v>418</v>
      </c>
      <c r="B975" s="33" t="s">
        <v>153</v>
      </c>
      <c r="C975" s="33" t="s">
        <v>1424</v>
      </c>
      <c r="D975" s="42">
        <v>0</v>
      </c>
      <c r="E975" s="33" t="s">
        <v>224</v>
      </c>
      <c r="F975" s="34">
        <v>10</v>
      </c>
      <c r="G975" s="34">
        <v>10</v>
      </c>
      <c r="H975" s="33" t="s">
        <v>1425</v>
      </c>
      <c r="I975" s="33" t="s">
        <v>68</v>
      </c>
    </row>
    <row r="976" spans="1:9" x14ac:dyDescent="0.2">
      <c r="A976" s="33" t="s">
        <v>418</v>
      </c>
      <c r="B976" s="33" t="s">
        <v>153</v>
      </c>
      <c r="C976" s="33" t="s">
        <v>1426</v>
      </c>
      <c r="D976" s="42">
        <v>0</v>
      </c>
      <c r="E976" s="33" t="s">
        <v>224</v>
      </c>
      <c r="F976" s="34">
        <v>10</v>
      </c>
      <c r="G976" s="34">
        <v>10</v>
      </c>
      <c r="H976" s="33" t="s">
        <v>1427</v>
      </c>
      <c r="I976" s="33" t="s">
        <v>68</v>
      </c>
    </row>
    <row r="977" spans="1:9" x14ac:dyDescent="0.2">
      <c r="A977" s="33" t="s">
        <v>419</v>
      </c>
      <c r="B977" s="33" t="s">
        <v>154</v>
      </c>
      <c r="C977" s="33" t="s">
        <v>1428</v>
      </c>
      <c r="D977" s="42">
        <v>0</v>
      </c>
      <c r="E977" s="33" t="s">
        <v>224</v>
      </c>
      <c r="F977" s="34">
        <v>22.6</v>
      </c>
      <c r="G977" s="34">
        <v>22.6</v>
      </c>
      <c r="H977" s="33" t="s">
        <v>68</v>
      </c>
      <c r="I977" s="33" t="s">
        <v>68</v>
      </c>
    </row>
    <row r="978" spans="1:9" x14ac:dyDescent="0.2">
      <c r="A978" s="33" t="s">
        <v>419</v>
      </c>
      <c r="B978" s="33" t="s">
        <v>154</v>
      </c>
      <c r="C978" s="33" t="s">
        <v>1429</v>
      </c>
      <c r="D978" s="42">
        <v>7.1054273576010019E-15</v>
      </c>
      <c r="E978" s="33" t="s">
        <v>224</v>
      </c>
      <c r="F978" s="34">
        <v>39.4</v>
      </c>
      <c r="G978" s="34">
        <v>39.399999999999991</v>
      </c>
      <c r="H978" s="33" t="s">
        <v>68</v>
      </c>
      <c r="I978" s="33" t="s">
        <v>68</v>
      </c>
    </row>
    <row r="979" spans="1:9" x14ac:dyDescent="0.2">
      <c r="A979" s="33" t="s">
        <v>419</v>
      </c>
      <c r="B979" s="33" t="s">
        <v>154</v>
      </c>
      <c r="C979" s="33" t="s">
        <v>1430</v>
      </c>
      <c r="D979" s="42">
        <v>0</v>
      </c>
      <c r="E979" s="33" t="s">
        <v>224</v>
      </c>
      <c r="F979" s="34">
        <v>3</v>
      </c>
      <c r="G979" s="34">
        <v>3</v>
      </c>
      <c r="H979" s="33" t="s">
        <v>68</v>
      </c>
      <c r="I979" s="33" t="s">
        <v>68</v>
      </c>
    </row>
    <row r="980" spans="1:9" x14ac:dyDescent="0.2">
      <c r="A980" s="33" t="s">
        <v>419</v>
      </c>
      <c r="B980" s="33" t="s">
        <v>154</v>
      </c>
      <c r="C980" s="33" t="s">
        <v>1431</v>
      </c>
      <c r="D980" s="42">
        <v>0</v>
      </c>
      <c r="E980" s="33" t="s">
        <v>224</v>
      </c>
      <c r="F980" s="34">
        <v>40</v>
      </c>
      <c r="G980" s="34">
        <v>40</v>
      </c>
      <c r="H980" s="33" t="s">
        <v>68</v>
      </c>
      <c r="I980" s="33" t="s">
        <v>68</v>
      </c>
    </row>
    <row r="981" spans="1:9" x14ac:dyDescent="0.2">
      <c r="A981" s="33" t="s">
        <v>419</v>
      </c>
      <c r="B981" s="33" t="s">
        <v>154</v>
      </c>
      <c r="C981" s="33" t="s">
        <v>1432</v>
      </c>
      <c r="D981" s="42">
        <v>0</v>
      </c>
      <c r="E981" s="33" t="s">
        <v>224</v>
      </c>
      <c r="F981" s="34">
        <v>40</v>
      </c>
      <c r="G981" s="34">
        <v>40</v>
      </c>
      <c r="H981" s="33" t="s">
        <v>68</v>
      </c>
      <c r="I981" s="33" t="s">
        <v>68</v>
      </c>
    </row>
    <row r="982" spans="1:9" x14ac:dyDescent="0.2">
      <c r="A982" s="33" t="s">
        <v>419</v>
      </c>
      <c r="B982" s="33" t="s">
        <v>154</v>
      </c>
      <c r="C982" s="33" t="s">
        <v>1433</v>
      </c>
      <c r="D982" s="42">
        <v>0</v>
      </c>
      <c r="E982" s="33" t="s">
        <v>224</v>
      </c>
      <c r="F982" s="34">
        <v>20</v>
      </c>
      <c r="G982" s="34">
        <v>20</v>
      </c>
      <c r="H982" s="33" t="s">
        <v>1434</v>
      </c>
      <c r="I982" s="33" t="s">
        <v>68</v>
      </c>
    </row>
    <row r="983" spans="1:9" x14ac:dyDescent="0.2">
      <c r="A983" s="33" t="s">
        <v>419</v>
      </c>
      <c r="B983" s="33" t="s">
        <v>154</v>
      </c>
      <c r="C983" s="33" t="s">
        <v>1435</v>
      </c>
      <c r="D983" s="42">
        <v>0</v>
      </c>
      <c r="E983" s="33" t="s">
        <v>224</v>
      </c>
      <c r="F983" s="34">
        <v>20</v>
      </c>
      <c r="G983" s="34">
        <v>20</v>
      </c>
      <c r="H983" s="33" t="s">
        <v>68</v>
      </c>
      <c r="I983" s="33" t="s">
        <v>68</v>
      </c>
    </row>
    <row r="984" spans="1:9" x14ac:dyDescent="0.2">
      <c r="A984" s="33" t="s">
        <v>419</v>
      </c>
      <c r="B984" s="33" t="s">
        <v>154</v>
      </c>
      <c r="C984" s="33" t="s">
        <v>1436</v>
      </c>
      <c r="D984" s="42">
        <v>0</v>
      </c>
      <c r="E984" s="33" t="s">
        <v>224</v>
      </c>
      <c r="F984" s="34">
        <v>20</v>
      </c>
      <c r="G984" s="34">
        <v>20</v>
      </c>
      <c r="H984" s="33" t="s">
        <v>1437</v>
      </c>
      <c r="I984" s="33" t="s">
        <v>68</v>
      </c>
    </row>
    <row r="985" spans="1:9" x14ac:dyDescent="0.2">
      <c r="A985" s="33" t="s">
        <v>419</v>
      </c>
      <c r="B985" s="33" t="s">
        <v>154</v>
      </c>
      <c r="C985" s="33" t="s">
        <v>1438</v>
      </c>
      <c r="D985" s="42">
        <v>0</v>
      </c>
      <c r="E985" s="33" t="s">
        <v>224</v>
      </c>
      <c r="F985" s="34">
        <v>60</v>
      </c>
      <c r="G985" s="34">
        <v>60</v>
      </c>
      <c r="H985" s="33" t="s">
        <v>1439</v>
      </c>
      <c r="I985" s="33" t="s">
        <v>68</v>
      </c>
    </row>
    <row r="986" spans="1:9" x14ac:dyDescent="0.2">
      <c r="A986" s="33" t="s">
        <v>419</v>
      </c>
      <c r="B986" s="33" t="s">
        <v>154</v>
      </c>
      <c r="C986" s="33" t="s">
        <v>1440</v>
      </c>
      <c r="D986" s="42">
        <v>0</v>
      </c>
      <c r="E986" s="33" t="s">
        <v>224</v>
      </c>
      <c r="F986" s="34">
        <v>20</v>
      </c>
      <c r="G986" s="34">
        <v>20</v>
      </c>
      <c r="H986" s="33" t="s">
        <v>1441</v>
      </c>
      <c r="I986" s="33" t="s">
        <v>68</v>
      </c>
    </row>
    <row r="987" spans="1:9" x14ac:dyDescent="0.2">
      <c r="A987" s="33" t="s">
        <v>419</v>
      </c>
      <c r="B987" s="33" t="s">
        <v>154</v>
      </c>
      <c r="C987" s="33" t="s">
        <v>1442</v>
      </c>
      <c r="D987" s="42">
        <v>0</v>
      </c>
      <c r="E987" s="33" t="s">
        <v>224</v>
      </c>
      <c r="F987" s="34">
        <v>20</v>
      </c>
      <c r="G987" s="34">
        <v>20</v>
      </c>
      <c r="H987" s="33" t="s">
        <v>1443</v>
      </c>
      <c r="I987" s="33" t="s">
        <v>68</v>
      </c>
    </row>
    <row r="988" spans="1:9" x14ac:dyDescent="0.2">
      <c r="A988" s="33" t="s">
        <v>1444</v>
      </c>
      <c r="B988" s="33" t="s">
        <v>156</v>
      </c>
      <c r="C988" s="33" t="s">
        <v>1445</v>
      </c>
      <c r="D988" s="42">
        <v>0</v>
      </c>
      <c r="E988" s="33" t="s">
        <v>224</v>
      </c>
      <c r="F988" s="34">
        <v>48</v>
      </c>
      <c r="G988" s="34">
        <v>48</v>
      </c>
      <c r="H988" s="33" t="s">
        <v>68</v>
      </c>
      <c r="I988" s="33" t="s">
        <v>68</v>
      </c>
    </row>
    <row r="989" spans="1:9" x14ac:dyDescent="0.2">
      <c r="A989" s="33" t="s">
        <v>1444</v>
      </c>
      <c r="B989" s="33" t="s">
        <v>156</v>
      </c>
      <c r="C989" s="33" t="s">
        <v>1446</v>
      </c>
      <c r="D989" s="42">
        <v>0</v>
      </c>
      <c r="E989" s="33" t="s">
        <v>224</v>
      </c>
      <c r="F989" s="34">
        <v>24</v>
      </c>
      <c r="G989" s="34">
        <v>24</v>
      </c>
      <c r="H989" s="33" t="s">
        <v>68</v>
      </c>
      <c r="I989" s="33" t="s">
        <v>68</v>
      </c>
    </row>
    <row r="990" spans="1:9" x14ac:dyDescent="0.2">
      <c r="A990" s="33" t="s">
        <v>1444</v>
      </c>
      <c r="B990" s="33" t="s">
        <v>156</v>
      </c>
      <c r="C990" s="33" t="s">
        <v>1447</v>
      </c>
      <c r="D990" s="42">
        <v>0</v>
      </c>
      <c r="E990" s="33" t="s">
        <v>224</v>
      </c>
      <c r="F990" s="34">
        <v>24</v>
      </c>
      <c r="G990" s="34">
        <v>24</v>
      </c>
      <c r="H990" s="33" t="s">
        <v>68</v>
      </c>
      <c r="I990" s="33" t="s">
        <v>68</v>
      </c>
    </row>
    <row r="991" spans="1:9" x14ac:dyDescent="0.2">
      <c r="A991" s="33" t="s">
        <v>1444</v>
      </c>
      <c r="B991" s="33" t="s">
        <v>156</v>
      </c>
      <c r="C991" s="33" t="s">
        <v>749</v>
      </c>
      <c r="D991" s="42">
        <v>0</v>
      </c>
      <c r="E991" s="33" t="s">
        <v>224</v>
      </c>
      <c r="F991" s="34">
        <v>24</v>
      </c>
      <c r="G991" s="34">
        <v>24</v>
      </c>
      <c r="H991" s="33" t="s">
        <v>68</v>
      </c>
      <c r="I991" s="33" t="s">
        <v>68</v>
      </c>
    </row>
    <row r="992" spans="1:9" x14ac:dyDescent="0.2">
      <c r="A992" s="33" t="s">
        <v>1444</v>
      </c>
      <c r="B992" s="33" t="s">
        <v>156</v>
      </c>
      <c r="C992" s="33" t="s">
        <v>1448</v>
      </c>
      <c r="D992" s="42">
        <v>0</v>
      </c>
      <c r="E992" s="33" t="s">
        <v>224</v>
      </c>
      <c r="F992" s="34">
        <v>24</v>
      </c>
      <c r="G992" s="34">
        <v>24</v>
      </c>
      <c r="H992" s="33" t="s">
        <v>68</v>
      </c>
      <c r="I992" s="33" t="s">
        <v>68</v>
      </c>
    </row>
    <row r="993" spans="1:9" x14ac:dyDescent="0.2">
      <c r="A993" s="33" t="s">
        <v>1444</v>
      </c>
      <c r="B993" s="33" t="s">
        <v>156</v>
      </c>
      <c r="C993" s="33" t="s">
        <v>1449</v>
      </c>
      <c r="D993" s="42">
        <v>0</v>
      </c>
      <c r="E993" s="33" t="s">
        <v>224</v>
      </c>
      <c r="F993" s="34">
        <v>24</v>
      </c>
      <c r="G993" s="34">
        <v>24</v>
      </c>
      <c r="H993" s="33" t="s">
        <v>68</v>
      </c>
      <c r="I993" s="33" t="s">
        <v>68</v>
      </c>
    </row>
    <row r="994" spans="1:9" x14ac:dyDescent="0.2">
      <c r="A994" s="33" t="s">
        <v>1444</v>
      </c>
      <c r="B994" s="33" t="s">
        <v>156</v>
      </c>
      <c r="C994" s="33" t="s">
        <v>1450</v>
      </c>
      <c r="D994" s="42">
        <v>0</v>
      </c>
      <c r="E994" s="33" t="s">
        <v>224</v>
      </c>
      <c r="F994" s="34">
        <v>24</v>
      </c>
      <c r="G994" s="34">
        <v>24</v>
      </c>
      <c r="H994" s="33" t="s">
        <v>68</v>
      </c>
      <c r="I994" s="33" t="s">
        <v>68</v>
      </c>
    </row>
    <row r="995" spans="1:9" x14ac:dyDescent="0.2">
      <c r="A995" s="33" t="s">
        <v>1444</v>
      </c>
      <c r="B995" s="33" t="s">
        <v>156</v>
      </c>
      <c r="C995" s="33" t="s">
        <v>1451</v>
      </c>
      <c r="D995" s="42">
        <v>0</v>
      </c>
      <c r="E995" s="33" t="s">
        <v>224</v>
      </c>
      <c r="F995" s="34">
        <v>144</v>
      </c>
      <c r="G995" s="34">
        <v>144</v>
      </c>
      <c r="H995" s="33" t="s">
        <v>68</v>
      </c>
      <c r="I995" s="33" t="s">
        <v>1452</v>
      </c>
    </row>
    <row r="996" spans="1:9" x14ac:dyDescent="0.2">
      <c r="A996" s="33" t="s">
        <v>1444</v>
      </c>
      <c r="B996" s="33" t="s">
        <v>156</v>
      </c>
      <c r="C996" s="33" t="s">
        <v>1453</v>
      </c>
      <c r="D996" s="42">
        <v>6</v>
      </c>
      <c r="E996" s="33" t="s">
        <v>224</v>
      </c>
      <c r="F996" s="34">
        <v>24</v>
      </c>
      <c r="G996" s="34">
        <v>18</v>
      </c>
      <c r="H996" s="33" t="s">
        <v>68</v>
      </c>
      <c r="I996" s="33" t="s">
        <v>68</v>
      </c>
    </row>
    <row r="997" spans="1:9" x14ac:dyDescent="0.2">
      <c r="A997" s="33" t="s">
        <v>1444</v>
      </c>
      <c r="B997" s="33" t="s">
        <v>156</v>
      </c>
      <c r="C997" s="33" t="s">
        <v>1454</v>
      </c>
      <c r="D997" s="42">
        <v>0</v>
      </c>
      <c r="E997" s="33" t="s">
        <v>224</v>
      </c>
      <c r="F997" s="34">
        <v>48</v>
      </c>
      <c r="G997" s="34">
        <v>48</v>
      </c>
      <c r="H997" s="33" t="s">
        <v>68</v>
      </c>
      <c r="I997" s="33" t="s">
        <v>1455</v>
      </c>
    </row>
    <row r="998" spans="1:9" x14ac:dyDescent="0.2">
      <c r="A998" s="33" t="s">
        <v>1444</v>
      </c>
      <c r="B998" s="33" t="s">
        <v>156</v>
      </c>
      <c r="C998" s="33" t="s">
        <v>1456</v>
      </c>
      <c r="D998" s="42">
        <v>0</v>
      </c>
      <c r="E998" s="33" t="s">
        <v>224</v>
      </c>
      <c r="F998" s="34">
        <v>72</v>
      </c>
      <c r="G998" s="34">
        <v>72</v>
      </c>
      <c r="H998" s="33" t="s">
        <v>1457</v>
      </c>
      <c r="I998" s="33" t="s">
        <v>1455</v>
      </c>
    </row>
    <row r="999" spans="1:9" x14ac:dyDescent="0.2">
      <c r="A999" s="33" t="s">
        <v>387</v>
      </c>
      <c r="B999" s="33" t="s">
        <v>240</v>
      </c>
      <c r="C999" s="33" t="s">
        <v>1458</v>
      </c>
      <c r="D999" s="42">
        <v>0</v>
      </c>
      <c r="E999" s="33" t="s">
        <v>224</v>
      </c>
      <c r="F999" s="34">
        <v>56</v>
      </c>
      <c r="G999" s="34">
        <v>56</v>
      </c>
      <c r="H999" s="33" t="s">
        <v>68</v>
      </c>
      <c r="I999" s="33" t="s">
        <v>68</v>
      </c>
    </row>
    <row r="1000" spans="1:9" x14ac:dyDescent="0.2">
      <c r="A1000" s="33" t="s">
        <v>387</v>
      </c>
      <c r="B1000" s="33" t="s">
        <v>240</v>
      </c>
      <c r="C1000" s="33" t="s">
        <v>1459</v>
      </c>
      <c r="D1000" s="42">
        <v>0</v>
      </c>
      <c r="E1000" s="33" t="s">
        <v>224</v>
      </c>
      <c r="F1000" s="34">
        <v>69</v>
      </c>
      <c r="G1000" s="34">
        <v>69</v>
      </c>
      <c r="H1000" s="33" t="s">
        <v>68</v>
      </c>
      <c r="I1000" s="33" t="s">
        <v>68</v>
      </c>
    </row>
    <row r="1001" spans="1:9" x14ac:dyDescent="0.2">
      <c r="A1001" s="33" t="s">
        <v>387</v>
      </c>
      <c r="B1001" s="33" t="s">
        <v>240</v>
      </c>
      <c r="C1001" s="33" t="s">
        <v>1460</v>
      </c>
      <c r="D1001" s="42">
        <v>-7.1054273576010019E-15</v>
      </c>
      <c r="E1001" s="33" t="s">
        <v>224</v>
      </c>
      <c r="F1001" s="34">
        <v>50</v>
      </c>
      <c r="G1001" s="34">
        <v>50.000000000000007</v>
      </c>
      <c r="H1001" s="33" t="s">
        <v>873</v>
      </c>
      <c r="I1001" s="33" t="s">
        <v>1461</v>
      </c>
    </row>
    <row r="1002" spans="1:9" x14ac:dyDescent="0.2">
      <c r="A1002" s="33" t="s">
        <v>387</v>
      </c>
      <c r="B1002" s="33" t="s">
        <v>240</v>
      </c>
      <c r="C1002" s="33" t="s">
        <v>1462</v>
      </c>
      <c r="D1002" s="42">
        <v>0</v>
      </c>
      <c r="E1002" s="33" t="s">
        <v>224</v>
      </c>
      <c r="F1002" s="34">
        <v>6</v>
      </c>
      <c r="G1002" s="34">
        <v>6</v>
      </c>
      <c r="H1002" s="33" t="s">
        <v>1463</v>
      </c>
      <c r="I1002" s="33" t="s">
        <v>68</v>
      </c>
    </row>
    <row r="1003" spans="1:9" x14ac:dyDescent="0.2">
      <c r="A1003" s="33" t="s">
        <v>387</v>
      </c>
      <c r="B1003" s="33" t="s">
        <v>240</v>
      </c>
      <c r="C1003" s="33" t="s">
        <v>1464</v>
      </c>
      <c r="D1003" s="42">
        <v>0</v>
      </c>
      <c r="E1003" s="33" t="s">
        <v>224</v>
      </c>
      <c r="F1003" s="34">
        <v>66</v>
      </c>
      <c r="G1003" s="34">
        <v>66</v>
      </c>
      <c r="H1003" s="33" t="s">
        <v>1465</v>
      </c>
      <c r="I1003" s="33" t="s">
        <v>1461</v>
      </c>
    </row>
    <row r="1004" spans="1:9" x14ac:dyDescent="0.2">
      <c r="A1004" s="33" t="s">
        <v>387</v>
      </c>
      <c r="B1004" s="33" t="s">
        <v>240</v>
      </c>
      <c r="C1004" s="33" t="s">
        <v>1466</v>
      </c>
      <c r="D1004" s="42">
        <v>0</v>
      </c>
      <c r="E1004" s="33" t="s">
        <v>224</v>
      </c>
      <c r="F1004" s="34">
        <v>29</v>
      </c>
      <c r="G1004" s="34">
        <v>29</v>
      </c>
      <c r="H1004" s="33" t="s">
        <v>1392</v>
      </c>
      <c r="I1004" s="33" t="s">
        <v>1461</v>
      </c>
    </row>
    <row r="1005" spans="1:9" x14ac:dyDescent="0.2">
      <c r="A1005" s="33" t="s">
        <v>387</v>
      </c>
      <c r="B1005" s="33" t="s">
        <v>240</v>
      </c>
      <c r="C1005" s="33" t="s">
        <v>1467</v>
      </c>
      <c r="D1005" s="42">
        <v>49.6</v>
      </c>
      <c r="E1005" s="33" t="s">
        <v>224</v>
      </c>
      <c r="F1005" s="34">
        <v>102</v>
      </c>
      <c r="G1005" s="34">
        <v>52.4</v>
      </c>
      <c r="H1005" s="33" t="s">
        <v>1468</v>
      </c>
      <c r="I1005" s="33" t="s">
        <v>1461</v>
      </c>
    </row>
    <row r="1006" spans="1:9" x14ac:dyDescent="0.2">
      <c r="A1006" s="33" t="s">
        <v>387</v>
      </c>
      <c r="B1006" s="33" t="s">
        <v>240</v>
      </c>
      <c r="C1006" s="33" t="s">
        <v>1469</v>
      </c>
      <c r="D1006" s="42">
        <v>0</v>
      </c>
      <c r="E1006" s="33" t="s">
        <v>224</v>
      </c>
      <c r="F1006" s="34">
        <v>25</v>
      </c>
      <c r="G1006" s="34">
        <v>25</v>
      </c>
      <c r="H1006" s="33" t="s">
        <v>68</v>
      </c>
      <c r="I1006" s="33" t="s">
        <v>68</v>
      </c>
    </row>
    <row r="1007" spans="1:9" x14ac:dyDescent="0.2">
      <c r="A1007" s="33" t="s">
        <v>387</v>
      </c>
      <c r="B1007" s="33" t="s">
        <v>240</v>
      </c>
      <c r="C1007" s="33" t="s">
        <v>1470</v>
      </c>
      <c r="D1007" s="42">
        <v>0</v>
      </c>
      <c r="E1007" s="33" t="s">
        <v>224</v>
      </c>
      <c r="F1007" s="34">
        <v>31</v>
      </c>
      <c r="G1007" s="34">
        <v>31</v>
      </c>
      <c r="H1007" s="33" t="s">
        <v>68</v>
      </c>
      <c r="I1007" s="33" t="s">
        <v>68</v>
      </c>
    </row>
    <row r="1008" spans="1:9" x14ac:dyDescent="0.2">
      <c r="A1008" s="33" t="s">
        <v>387</v>
      </c>
      <c r="B1008" s="33" t="s">
        <v>240</v>
      </c>
      <c r="C1008" s="33" t="s">
        <v>1471</v>
      </c>
      <c r="D1008" s="42">
        <v>0</v>
      </c>
      <c r="E1008" s="33" t="s">
        <v>224</v>
      </c>
      <c r="F1008" s="34">
        <v>30</v>
      </c>
      <c r="G1008" s="34">
        <v>30</v>
      </c>
      <c r="H1008" s="33" t="s">
        <v>68</v>
      </c>
      <c r="I1008" s="33" t="s">
        <v>68</v>
      </c>
    </row>
    <row r="1009" spans="1:9" x14ac:dyDescent="0.2">
      <c r="A1009" s="33" t="s">
        <v>387</v>
      </c>
      <c r="B1009" s="33" t="s">
        <v>240</v>
      </c>
      <c r="C1009" s="33" t="s">
        <v>1472</v>
      </c>
      <c r="D1009" s="42">
        <v>0</v>
      </c>
      <c r="E1009" s="33" t="s">
        <v>224</v>
      </c>
      <c r="F1009" s="34">
        <v>54.9</v>
      </c>
      <c r="G1009" s="34">
        <v>54.9</v>
      </c>
      <c r="H1009" s="33" t="s">
        <v>68</v>
      </c>
      <c r="I1009" s="33" t="s">
        <v>68</v>
      </c>
    </row>
    <row r="1010" spans="1:9" x14ac:dyDescent="0.2">
      <c r="A1010" s="33" t="s">
        <v>356</v>
      </c>
      <c r="B1010" s="33" t="s">
        <v>241</v>
      </c>
      <c r="C1010" s="33" t="s">
        <v>1473</v>
      </c>
      <c r="D1010" s="42">
        <v>0</v>
      </c>
      <c r="E1010" s="33" t="s">
        <v>224</v>
      </c>
      <c r="F1010" s="34">
        <v>10.1</v>
      </c>
      <c r="G1010" s="34">
        <v>10.1</v>
      </c>
      <c r="H1010" s="33" t="s">
        <v>68</v>
      </c>
      <c r="I1010" s="33" t="s">
        <v>68</v>
      </c>
    </row>
    <row r="1011" spans="1:9" x14ac:dyDescent="0.2">
      <c r="A1011" s="33" t="s">
        <v>356</v>
      </c>
      <c r="B1011" s="33" t="s">
        <v>241</v>
      </c>
      <c r="C1011" s="33" t="s">
        <v>1474</v>
      </c>
      <c r="D1011" s="42">
        <v>0</v>
      </c>
      <c r="E1011" s="33" t="s">
        <v>224</v>
      </c>
      <c r="F1011" s="34">
        <v>0.8</v>
      </c>
      <c r="G1011" s="34">
        <v>0.8</v>
      </c>
      <c r="H1011" s="33" t="s">
        <v>68</v>
      </c>
      <c r="I1011" s="33" t="s">
        <v>68</v>
      </c>
    </row>
    <row r="1012" spans="1:9" x14ac:dyDescent="0.2">
      <c r="A1012" s="33" t="s">
        <v>356</v>
      </c>
      <c r="B1012" s="33" t="s">
        <v>241</v>
      </c>
      <c r="C1012" s="33" t="s">
        <v>1475</v>
      </c>
      <c r="D1012" s="42">
        <v>0</v>
      </c>
      <c r="E1012" s="33" t="s">
        <v>224</v>
      </c>
      <c r="F1012" s="34">
        <v>6</v>
      </c>
      <c r="G1012" s="34">
        <v>6</v>
      </c>
      <c r="H1012" s="33" t="s">
        <v>68</v>
      </c>
      <c r="I1012" s="33" t="s">
        <v>68</v>
      </c>
    </row>
    <row r="1013" spans="1:9" x14ac:dyDescent="0.2">
      <c r="A1013" s="33" t="s">
        <v>356</v>
      </c>
      <c r="B1013" s="33" t="s">
        <v>241</v>
      </c>
      <c r="C1013" s="33" t="s">
        <v>1476</v>
      </c>
      <c r="D1013" s="42">
        <v>0</v>
      </c>
      <c r="E1013" s="33" t="s">
        <v>224</v>
      </c>
      <c r="F1013" s="34">
        <v>5</v>
      </c>
      <c r="G1013" s="34">
        <v>5</v>
      </c>
      <c r="H1013" s="33" t="s">
        <v>68</v>
      </c>
      <c r="I1013" s="33" t="s">
        <v>68</v>
      </c>
    </row>
    <row r="1014" spans="1:9" x14ac:dyDescent="0.2">
      <c r="A1014" s="33" t="s">
        <v>356</v>
      </c>
      <c r="B1014" s="33" t="s">
        <v>241</v>
      </c>
      <c r="C1014" s="33" t="s">
        <v>1477</v>
      </c>
      <c r="D1014" s="42">
        <v>0</v>
      </c>
      <c r="E1014" s="33" t="s">
        <v>224</v>
      </c>
      <c r="F1014" s="34">
        <v>5</v>
      </c>
      <c r="G1014" s="34">
        <v>5</v>
      </c>
      <c r="H1014" s="33" t="s">
        <v>68</v>
      </c>
      <c r="I1014" s="33" t="s">
        <v>68</v>
      </c>
    </row>
    <row r="1015" spans="1:9" x14ac:dyDescent="0.2">
      <c r="A1015" s="33" t="s">
        <v>356</v>
      </c>
      <c r="B1015" s="33" t="s">
        <v>241</v>
      </c>
      <c r="C1015" s="33" t="s">
        <v>1478</v>
      </c>
      <c r="D1015" s="42">
        <v>0</v>
      </c>
      <c r="E1015" s="33" t="s">
        <v>224</v>
      </c>
      <c r="F1015" s="34">
        <v>5</v>
      </c>
      <c r="G1015" s="34">
        <v>5</v>
      </c>
      <c r="H1015" s="33" t="s">
        <v>68</v>
      </c>
      <c r="I1015" s="33" t="s">
        <v>68</v>
      </c>
    </row>
    <row r="1016" spans="1:9" x14ac:dyDescent="0.2">
      <c r="A1016" s="33" t="s">
        <v>356</v>
      </c>
      <c r="B1016" s="33" t="s">
        <v>241</v>
      </c>
      <c r="C1016" s="33" t="s">
        <v>1479</v>
      </c>
      <c r="D1016" s="42">
        <v>0</v>
      </c>
      <c r="E1016" s="33" t="s">
        <v>224</v>
      </c>
      <c r="F1016" s="34">
        <v>3</v>
      </c>
      <c r="G1016" s="34">
        <v>3</v>
      </c>
      <c r="H1016" s="33" t="s">
        <v>68</v>
      </c>
      <c r="I1016" s="33" t="s">
        <v>68</v>
      </c>
    </row>
    <row r="1017" spans="1:9" x14ac:dyDescent="0.2">
      <c r="A1017" s="33" t="s">
        <v>356</v>
      </c>
      <c r="B1017" s="33" t="s">
        <v>241</v>
      </c>
      <c r="C1017" s="33" t="s">
        <v>1480</v>
      </c>
      <c r="D1017" s="42">
        <v>0</v>
      </c>
      <c r="E1017" s="33" t="s">
        <v>224</v>
      </c>
      <c r="F1017" s="34">
        <v>12</v>
      </c>
      <c r="G1017" s="34">
        <v>12</v>
      </c>
      <c r="H1017" s="33" t="s">
        <v>1481</v>
      </c>
      <c r="I1017" s="33" t="s">
        <v>68</v>
      </c>
    </row>
    <row r="1018" spans="1:9" x14ac:dyDescent="0.2">
      <c r="A1018" s="33" t="s">
        <v>356</v>
      </c>
      <c r="B1018" s="33" t="s">
        <v>241</v>
      </c>
      <c r="C1018" s="33" t="s">
        <v>1482</v>
      </c>
      <c r="D1018" s="42">
        <v>0</v>
      </c>
      <c r="E1018" s="33" t="s">
        <v>224</v>
      </c>
      <c r="F1018" s="34">
        <v>6</v>
      </c>
      <c r="G1018" s="34">
        <v>6</v>
      </c>
      <c r="H1018" s="33" t="s">
        <v>1483</v>
      </c>
      <c r="I1018" s="33" t="s">
        <v>68</v>
      </c>
    </row>
    <row r="1019" spans="1:9" x14ac:dyDescent="0.2">
      <c r="A1019" s="33" t="s">
        <v>356</v>
      </c>
      <c r="B1019" s="33" t="s">
        <v>241</v>
      </c>
      <c r="C1019" s="33" t="s">
        <v>1484</v>
      </c>
      <c r="D1019" s="42">
        <v>0</v>
      </c>
      <c r="E1019" s="33" t="s">
        <v>224</v>
      </c>
      <c r="F1019" s="34">
        <v>7</v>
      </c>
      <c r="G1019" s="34">
        <v>7</v>
      </c>
      <c r="H1019" s="33" t="s">
        <v>1380</v>
      </c>
      <c r="I1019" s="33" t="s">
        <v>68</v>
      </c>
    </row>
    <row r="1020" spans="1:9" x14ac:dyDescent="0.2">
      <c r="A1020" s="33" t="s">
        <v>356</v>
      </c>
      <c r="B1020" s="33" t="s">
        <v>241</v>
      </c>
      <c r="C1020" s="33" t="s">
        <v>1485</v>
      </c>
      <c r="D1020" s="42">
        <v>0</v>
      </c>
      <c r="E1020" s="33" t="s">
        <v>224</v>
      </c>
      <c r="F1020" s="34">
        <v>5</v>
      </c>
      <c r="G1020" s="34">
        <v>5</v>
      </c>
      <c r="H1020" s="33" t="s">
        <v>1486</v>
      </c>
      <c r="I1020" s="33" t="s">
        <v>68</v>
      </c>
    </row>
    <row r="1021" spans="1:9" x14ac:dyDescent="0.2">
      <c r="A1021" s="33" t="s">
        <v>356</v>
      </c>
      <c r="B1021" s="33" t="s">
        <v>241</v>
      </c>
      <c r="C1021" s="33" t="s">
        <v>1487</v>
      </c>
      <c r="D1021" s="42">
        <v>0</v>
      </c>
      <c r="E1021" s="33" t="s">
        <v>224</v>
      </c>
      <c r="F1021" s="34">
        <v>3</v>
      </c>
      <c r="G1021" s="34">
        <v>3</v>
      </c>
      <c r="H1021" s="33" t="s">
        <v>1465</v>
      </c>
      <c r="I1021" s="33" t="s">
        <v>68</v>
      </c>
    </row>
    <row r="1022" spans="1:9" x14ac:dyDescent="0.2">
      <c r="A1022" s="33" t="s">
        <v>356</v>
      </c>
      <c r="B1022" s="33" t="s">
        <v>241</v>
      </c>
      <c r="C1022" s="33" t="s">
        <v>1488</v>
      </c>
      <c r="D1022" s="42">
        <v>0.10000000000000009</v>
      </c>
      <c r="E1022" s="33" t="s">
        <v>224</v>
      </c>
      <c r="F1022" s="34">
        <v>4</v>
      </c>
      <c r="G1022" s="34">
        <v>3.9</v>
      </c>
      <c r="H1022" s="33" t="s">
        <v>1392</v>
      </c>
      <c r="I1022" s="33" t="s">
        <v>68</v>
      </c>
    </row>
    <row r="1023" spans="1:9" x14ac:dyDescent="0.2">
      <c r="A1023" s="33" t="s">
        <v>1489</v>
      </c>
      <c r="B1023" s="33" t="s">
        <v>1490</v>
      </c>
      <c r="C1023" s="33" t="s">
        <v>1491</v>
      </c>
      <c r="D1023" s="42">
        <v>-2.7755575615628914E-17</v>
      </c>
      <c r="E1023" s="33" t="s">
        <v>224</v>
      </c>
      <c r="F1023" s="34">
        <v>0.15</v>
      </c>
      <c r="G1023" s="34">
        <v>0.15000000000000002</v>
      </c>
      <c r="H1023" s="33" t="s">
        <v>68</v>
      </c>
      <c r="I1023" s="33" t="s">
        <v>68</v>
      </c>
    </row>
    <row r="1024" spans="1:9" x14ac:dyDescent="0.2">
      <c r="A1024" s="33" t="s">
        <v>348</v>
      </c>
      <c r="B1024" s="33" t="s">
        <v>242</v>
      </c>
      <c r="C1024" s="33" t="s">
        <v>1492</v>
      </c>
      <c r="D1024" s="42">
        <v>0</v>
      </c>
      <c r="E1024" s="33" t="s">
        <v>224</v>
      </c>
      <c r="F1024" s="34">
        <v>60</v>
      </c>
      <c r="G1024" s="34">
        <v>60</v>
      </c>
      <c r="H1024" s="33" t="s">
        <v>1493</v>
      </c>
      <c r="I1024" s="33" t="s">
        <v>1494</v>
      </c>
    </row>
    <row r="1025" spans="1:9" x14ac:dyDescent="0.2">
      <c r="A1025" s="33" t="s">
        <v>348</v>
      </c>
      <c r="B1025" s="33" t="s">
        <v>242</v>
      </c>
      <c r="C1025" s="33" t="s">
        <v>1495</v>
      </c>
      <c r="D1025" s="42">
        <v>7.1054273576010019E-15</v>
      </c>
      <c r="E1025" s="33" t="s">
        <v>224</v>
      </c>
      <c r="F1025" s="34">
        <v>60</v>
      </c>
      <c r="G1025" s="34">
        <v>59.999999999999993</v>
      </c>
      <c r="H1025" s="33" t="s">
        <v>1496</v>
      </c>
      <c r="I1025" s="33" t="s">
        <v>592</v>
      </c>
    </row>
    <row r="1026" spans="1:9" x14ac:dyDescent="0.2">
      <c r="A1026" s="33" t="s">
        <v>348</v>
      </c>
      <c r="B1026" s="33" t="s">
        <v>242</v>
      </c>
      <c r="C1026" s="33" t="s">
        <v>1497</v>
      </c>
      <c r="D1026" s="42">
        <v>-7.1054273576010019E-15</v>
      </c>
      <c r="E1026" s="33" t="s">
        <v>224</v>
      </c>
      <c r="F1026" s="34">
        <v>60</v>
      </c>
      <c r="G1026" s="34">
        <v>60.000000000000007</v>
      </c>
      <c r="H1026" s="33" t="s">
        <v>1498</v>
      </c>
      <c r="I1026" s="33" t="s">
        <v>592</v>
      </c>
    </row>
    <row r="1027" spans="1:9" x14ac:dyDescent="0.2">
      <c r="A1027" s="33" t="s">
        <v>348</v>
      </c>
      <c r="B1027" s="33" t="s">
        <v>242</v>
      </c>
      <c r="C1027" s="33" t="s">
        <v>1499</v>
      </c>
      <c r="D1027" s="42">
        <v>-7.1054273576010019E-15</v>
      </c>
      <c r="E1027" s="33" t="s">
        <v>224</v>
      </c>
      <c r="F1027" s="34">
        <v>60</v>
      </c>
      <c r="G1027" s="34">
        <v>60.000000000000007</v>
      </c>
      <c r="H1027" s="33" t="s">
        <v>1500</v>
      </c>
      <c r="I1027" s="33" t="s">
        <v>592</v>
      </c>
    </row>
    <row r="1028" spans="1:9" x14ac:dyDescent="0.2">
      <c r="A1028" s="33" t="s">
        <v>348</v>
      </c>
      <c r="B1028" s="33" t="s">
        <v>242</v>
      </c>
      <c r="C1028" s="33" t="s">
        <v>1501</v>
      </c>
      <c r="D1028" s="42">
        <v>0</v>
      </c>
      <c r="E1028" s="33" t="s">
        <v>224</v>
      </c>
      <c r="F1028" s="34">
        <v>60</v>
      </c>
      <c r="G1028" s="34">
        <v>60</v>
      </c>
      <c r="H1028" s="33" t="s">
        <v>1502</v>
      </c>
      <c r="I1028" s="33" t="s">
        <v>592</v>
      </c>
    </row>
    <row r="1029" spans="1:9" x14ac:dyDescent="0.2">
      <c r="A1029" s="33" t="s">
        <v>348</v>
      </c>
      <c r="B1029" s="33" t="s">
        <v>242</v>
      </c>
      <c r="C1029" s="33" t="s">
        <v>1503</v>
      </c>
      <c r="D1029" s="42">
        <v>41.099999999999994</v>
      </c>
      <c r="E1029" s="33" t="s">
        <v>224</v>
      </c>
      <c r="F1029" s="34">
        <v>60</v>
      </c>
      <c r="G1029" s="34">
        <v>18.900000000000002</v>
      </c>
      <c r="H1029" s="33" t="s">
        <v>1504</v>
      </c>
      <c r="I1029" s="33" t="s">
        <v>592</v>
      </c>
    </row>
    <row r="1030" spans="1:9" x14ac:dyDescent="0.2">
      <c r="A1030" s="33" t="s">
        <v>348</v>
      </c>
      <c r="B1030" s="33" t="s">
        <v>242</v>
      </c>
      <c r="C1030" s="33" t="s">
        <v>1505</v>
      </c>
      <c r="D1030" s="42">
        <v>0</v>
      </c>
      <c r="E1030" s="33" t="s">
        <v>224</v>
      </c>
      <c r="F1030" s="34">
        <v>28.699999999999996</v>
      </c>
      <c r="G1030" s="34">
        <v>28.699999999999996</v>
      </c>
      <c r="H1030" s="33" t="s">
        <v>68</v>
      </c>
      <c r="I1030" s="33" t="s">
        <v>68</v>
      </c>
    </row>
    <row r="1031" spans="1:9" x14ac:dyDescent="0.2">
      <c r="A1031" s="33" t="s">
        <v>348</v>
      </c>
      <c r="B1031" s="33" t="s">
        <v>242</v>
      </c>
      <c r="C1031" s="33" t="s">
        <v>1506</v>
      </c>
      <c r="D1031" s="42">
        <v>0</v>
      </c>
      <c r="E1031" s="33" t="s">
        <v>224</v>
      </c>
      <c r="F1031" s="34">
        <v>60.2</v>
      </c>
      <c r="G1031" s="34">
        <v>60.2</v>
      </c>
      <c r="H1031" s="33" t="s">
        <v>68</v>
      </c>
      <c r="I1031" s="33" t="s">
        <v>68</v>
      </c>
    </row>
    <row r="1032" spans="1:9" x14ac:dyDescent="0.2">
      <c r="A1032" s="33" t="s">
        <v>348</v>
      </c>
      <c r="B1032" s="33" t="s">
        <v>242</v>
      </c>
      <c r="C1032" s="33" t="s">
        <v>1507</v>
      </c>
      <c r="D1032" s="42">
        <v>0</v>
      </c>
      <c r="E1032" s="33" t="s">
        <v>224</v>
      </c>
      <c r="F1032" s="34">
        <v>60</v>
      </c>
      <c r="G1032" s="34">
        <v>60</v>
      </c>
      <c r="H1032" s="33" t="s">
        <v>68</v>
      </c>
      <c r="I1032" s="33" t="s">
        <v>68</v>
      </c>
    </row>
    <row r="1033" spans="1:9" x14ac:dyDescent="0.2">
      <c r="A1033" s="33" t="s">
        <v>348</v>
      </c>
      <c r="B1033" s="33" t="s">
        <v>242</v>
      </c>
      <c r="C1033" s="33" t="s">
        <v>1508</v>
      </c>
      <c r="D1033" s="42">
        <v>7.1054273576010019E-15</v>
      </c>
      <c r="E1033" s="33" t="s">
        <v>224</v>
      </c>
      <c r="F1033" s="34">
        <v>60</v>
      </c>
      <c r="G1033" s="34">
        <v>59.999999999999993</v>
      </c>
      <c r="H1033" s="33" t="s">
        <v>68</v>
      </c>
      <c r="I1033" s="33" t="s">
        <v>68</v>
      </c>
    </row>
    <row r="1034" spans="1:9" x14ac:dyDescent="0.2">
      <c r="A1034" s="33" t="s">
        <v>348</v>
      </c>
      <c r="B1034" s="33" t="s">
        <v>242</v>
      </c>
      <c r="C1034" s="33" t="s">
        <v>1509</v>
      </c>
      <c r="D1034" s="42">
        <v>0</v>
      </c>
      <c r="E1034" s="33" t="s">
        <v>224</v>
      </c>
      <c r="F1034" s="34">
        <v>60</v>
      </c>
      <c r="G1034" s="34">
        <v>60</v>
      </c>
      <c r="H1034" s="33" t="s">
        <v>68</v>
      </c>
      <c r="I1034" s="33" t="s">
        <v>592</v>
      </c>
    </row>
    <row r="1035" spans="1:9" x14ac:dyDescent="0.2">
      <c r="A1035" s="33" t="s">
        <v>348</v>
      </c>
      <c r="B1035" s="33" t="s">
        <v>242</v>
      </c>
      <c r="C1035" s="33" t="s">
        <v>1510</v>
      </c>
      <c r="D1035" s="42">
        <v>0</v>
      </c>
      <c r="E1035" s="33" t="s">
        <v>224</v>
      </c>
      <c r="F1035" s="34">
        <v>40</v>
      </c>
      <c r="G1035" s="34">
        <v>40</v>
      </c>
      <c r="H1035" s="33" t="s">
        <v>68</v>
      </c>
      <c r="I1035" s="33" t="s">
        <v>592</v>
      </c>
    </row>
    <row r="1036" spans="1:9" x14ac:dyDescent="0.2">
      <c r="A1036" s="33" t="s">
        <v>348</v>
      </c>
      <c r="B1036" s="33" t="s">
        <v>242</v>
      </c>
      <c r="C1036" s="33" t="s">
        <v>1511</v>
      </c>
      <c r="D1036" s="42">
        <v>7.1054273576010019E-15</v>
      </c>
      <c r="E1036" s="33" t="s">
        <v>224</v>
      </c>
      <c r="F1036" s="34">
        <v>60</v>
      </c>
      <c r="G1036" s="34">
        <v>59.999999999999993</v>
      </c>
      <c r="H1036" s="33" t="s">
        <v>68</v>
      </c>
      <c r="I1036" s="33" t="s">
        <v>592</v>
      </c>
    </row>
    <row r="1037" spans="1:9" x14ac:dyDescent="0.2">
      <c r="A1037" s="33" t="s">
        <v>348</v>
      </c>
      <c r="B1037" s="33" t="s">
        <v>242</v>
      </c>
      <c r="C1037" s="33" t="s">
        <v>1512</v>
      </c>
      <c r="D1037" s="42">
        <v>1.4210854715202004E-14</v>
      </c>
      <c r="E1037" s="33" t="s">
        <v>224</v>
      </c>
      <c r="F1037" s="34">
        <v>60</v>
      </c>
      <c r="G1037" s="34">
        <v>59.999999999999986</v>
      </c>
      <c r="H1037" s="33" t="s">
        <v>1513</v>
      </c>
      <c r="I1037" s="33" t="s">
        <v>592</v>
      </c>
    </row>
    <row r="1038" spans="1:9" x14ac:dyDescent="0.2">
      <c r="A1038" s="33" t="s">
        <v>348</v>
      </c>
      <c r="B1038" s="33" t="s">
        <v>242</v>
      </c>
      <c r="C1038" s="33" t="s">
        <v>1514</v>
      </c>
      <c r="D1038" s="42">
        <v>7.1054273576010019E-15</v>
      </c>
      <c r="E1038" s="33" t="s">
        <v>224</v>
      </c>
      <c r="F1038" s="34">
        <v>60</v>
      </c>
      <c r="G1038" s="34">
        <v>59.999999999999993</v>
      </c>
      <c r="H1038" s="33" t="s">
        <v>1515</v>
      </c>
      <c r="I1038" s="33" t="s">
        <v>68</v>
      </c>
    </row>
    <row r="1039" spans="1:9" x14ac:dyDescent="0.2">
      <c r="A1039" s="33" t="s">
        <v>348</v>
      </c>
      <c r="B1039" s="33" t="s">
        <v>242</v>
      </c>
      <c r="C1039" s="33" t="s">
        <v>1516</v>
      </c>
      <c r="D1039" s="42">
        <v>0</v>
      </c>
      <c r="E1039" s="33" t="s">
        <v>224</v>
      </c>
      <c r="F1039" s="34">
        <v>60</v>
      </c>
      <c r="G1039" s="34">
        <v>60</v>
      </c>
      <c r="H1039" s="33" t="s">
        <v>1517</v>
      </c>
      <c r="I1039" s="33" t="s">
        <v>68</v>
      </c>
    </row>
    <row r="1040" spans="1:9" x14ac:dyDescent="0.2">
      <c r="A1040" s="33" t="s">
        <v>420</v>
      </c>
      <c r="B1040" s="33" t="s">
        <v>421</v>
      </c>
      <c r="C1040" s="33" t="s">
        <v>1518</v>
      </c>
      <c r="D1040" s="42">
        <v>0</v>
      </c>
      <c r="E1040" s="33" t="s">
        <v>224</v>
      </c>
      <c r="F1040" s="34">
        <v>1.4</v>
      </c>
      <c r="G1040" s="34">
        <v>1.4</v>
      </c>
      <c r="H1040" s="33" t="s">
        <v>68</v>
      </c>
      <c r="I1040" s="33" t="s">
        <v>68</v>
      </c>
    </row>
    <row r="1041" spans="1:9" x14ac:dyDescent="0.2">
      <c r="A1041" s="33" t="s">
        <v>420</v>
      </c>
      <c r="B1041" s="33" t="s">
        <v>421</v>
      </c>
      <c r="C1041" s="33" t="s">
        <v>1519</v>
      </c>
      <c r="D1041" s="42">
        <v>8.8817841970012523E-16</v>
      </c>
      <c r="E1041" s="33" t="s">
        <v>224</v>
      </c>
      <c r="F1041" s="34">
        <v>5</v>
      </c>
      <c r="G1041" s="34">
        <v>4.9999999999999991</v>
      </c>
      <c r="H1041" s="33" t="s">
        <v>1520</v>
      </c>
      <c r="I1041" s="33" t="s">
        <v>68</v>
      </c>
    </row>
    <row r="1042" spans="1:9" x14ac:dyDescent="0.2">
      <c r="A1042" s="33" t="s">
        <v>420</v>
      </c>
      <c r="B1042" s="33" t="s">
        <v>421</v>
      </c>
      <c r="C1042" s="33" t="s">
        <v>1521</v>
      </c>
      <c r="D1042" s="42">
        <v>0</v>
      </c>
      <c r="E1042" s="33" t="s">
        <v>224</v>
      </c>
      <c r="F1042" s="34">
        <v>5</v>
      </c>
      <c r="G1042" s="34">
        <v>5</v>
      </c>
      <c r="H1042" s="33" t="s">
        <v>1522</v>
      </c>
      <c r="I1042" s="33" t="s">
        <v>68</v>
      </c>
    </row>
    <row r="1043" spans="1:9" x14ac:dyDescent="0.2">
      <c r="A1043" s="33" t="s">
        <v>371</v>
      </c>
      <c r="B1043" s="33" t="s">
        <v>243</v>
      </c>
      <c r="C1043" s="33" t="s">
        <v>1523</v>
      </c>
      <c r="D1043" s="42">
        <v>0</v>
      </c>
      <c r="E1043" s="33" t="s">
        <v>224</v>
      </c>
      <c r="F1043" s="34">
        <v>20</v>
      </c>
      <c r="G1043" s="34">
        <v>20</v>
      </c>
      <c r="H1043" s="33" t="s">
        <v>68</v>
      </c>
      <c r="I1043" s="33" t="s">
        <v>68</v>
      </c>
    </row>
    <row r="1044" spans="1:9" x14ac:dyDescent="0.2">
      <c r="A1044" s="33" t="s">
        <v>371</v>
      </c>
      <c r="B1044" s="33" t="s">
        <v>243</v>
      </c>
      <c r="C1044" s="33" t="s">
        <v>1524</v>
      </c>
      <c r="D1044" s="42">
        <v>0</v>
      </c>
      <c r="E1044" s="33" t="s">
        <v>224</v>
      </c>
      <c r="F1044" s="34">
        <v>20</v>
      </c>
      <c r="G1044" s="34">
        <v>20</v>
      </c>
      <c r="H1044" s="33" t="s">
        <v>68</v>
      </c>
      <c r="I1044" s="33" t="s">
        <v>68</v>
      </c>
    </row>
    <row r="1045" spans="1:9" x14ac:dyDescent="0.2">
      <c r="A1045" s="33" t="s">
        <v>371</v>
      </c>
      <c r="B1045" s="33" t="s">
        <v>243</v>
      </c>
      <c r="C1045" s="33" t="s">
        <v>1525</v>
      </c>
      <c r="D1045" s="42">
        <v>0</v>
      </c>
      <c r="E1045" s="33" t="s">
        <v>224</v>
      </c>
      <c r="F1045" s="34">
        <v>20</v>
      </c>
      <c r="G1045" s="34">
        <v>20</v>
      </c>
      <c r="H1045" s="33" t="s">
        <v>68</v>
      </c>
      <c r="I1045" s="33" t="s">
        <v>592</v>
      </c>
    </row>
    <row r="1046" spans="1:9" x14ac:dyDescent="0.2">
      <c r="A1046" s="33" t="s">
        <v>371</v>
      </c>
      <c r="B1046" s="33" t="s">
        <v>243</v>
      </c>
      <c r="C1046" s="33" t="s">
        <v>975</v>
      </c>
      <c r="D1046" s="42">
        <v>0</v>
      </c>
      <c r="E1046" s="33" t="s">
        <v>224</v>
      </c>
      <c r="F1046" s="34">
        <v>20</v>
      </c>
      <c r="G1046" s="34">
        <v>20</v>
      </c>
      <c r="H1046" s="33" t="s">
        <v>1526</v>
      </c>
      <c r="I1046" s="33" t="s">
        <v>592</v>
      </c>
    </row>
    <row r="1047" spans="1:9" x14ac:dyDescent="0.2">
      <c r="A1047" s="33" t="s">
        <v>371</v>
      </c>
      <c r="B1047" s="33" t="s">
        <v>243</v>
      </c>
      <c r="C1047" s="33" t="s">
        <v>1527</v>
      </c>
      <c r="D1047" s="42">
        <v>0</v>
      </c>
      <c r="E1047" s="33" t="s">
        <v>224</v>
      </c>
      <c r="F1047" s="34">
        <v>20</v>
      </c>
      <c r="G1047" s="34">
        <v>20</v>
      </c>
      <c r="H1047" s="33" t="s">
        <v>1528</v>
      </c>
      <c r="I1047" s="33" t="s">
        <v>592</v>
      </c>
    </row>
    <row r="1048" spans="1:9" x14ac:dyDescent="0.2">
      <c r="A1048" s="33" t="s">
        <v>1529</v>
      </c>
      <c r="B1048" s="33" t="s">
        <v>1530</v>
      </c>
      <c r="C1048" s="33" t="s">
        <v>68</v>
      </c>
      <c r="D1048" s="42">
        <v>0</v>
      </c>
      <c r="E1048" s="33" t="s">
        <v>224</v>
      </c>
      <c r="F1048" s="34">
        <v>42</v>
      </c>
      <c r="G1048" s="34">
        <v>42</v>
      </c>
      <c r="H1048" s="33" t="s">
        <v>68</v>
      </c>
      <c r="I1048" s="33" t="s">
        <v>68</v>
      </c>
    </row>
    <row r="1049" spans="1:9" x14ac:dyDescent="0.2">
      <c r="A1049" s="33" t="s">
        <v>1529</v>
      </c>
      <c r="B1049" s="33" t="s">
        <v>1530</v>
      </c>
      <c r="C1049" s="33" t="s">
        <v>1531</v>
      </c>
      <c r="D1049" s="42">
        <v>0</v>
      </c>
      <c r="E1049" s="33" t="s">
        <v>224</v>
      </c>
      <c r="F1049" s="34">
        <v>15</v>
      </c>
      <c r="G1049" s="34">
        <v>15</v>
      </c>
      <c r="H1049" s="33" t="s">
        <v>1532</v>
      </c>
      <c r="I1049" s="33" t="s">
        <v>68</v>
      </c>
    </row>
    <row r="1050" spans="1:9" x14ac:dyDescent="0.2">
      <c r="A1050" s="33" t="s">
        <v>1529</v>
      </c>
      <c r="B1050" s="33" t="s">
        <v>1530</v>
      </c>
      <c r="C1050" s="33" t="s">
        <v>1533</v>
      </c>
      <c r="D1050" s="42">
        <v>0.69999999999999929</v>
      </c>
      <c r="E1050" s="33" t="s">
        <v>224</v>
      </c>
      <c r="F1050" s="34">
        <v>26</v>
      </c>
      <c r="G1050" s="34">
        <v>25.3</v>
      </c>
      <c r="H1050" s="33" t="s">
        <v>1534</v>
      </c>
      <c r="I1050" s="33" t="s">
        <v>68</v>
      </c>
    </row>
    <row r="1051" spans="1:9" x14ac:dyDescent="0.2">
      <c r="A1051" s="33" t="s">
        <v>374</v>
      </c>
      <c r="B1051" s="33" t="s">
        <v>375</v>
      </c>
      <c r="C1051" s="33" t="s">
        <v>1535</v>
      </c>
      <c r="D1051" s="42">
        <v>0</v>
      </c>
      <c r="E1051" s="33" t="s">
        <v>224</v>
      </c>
      <c r="F1051" s="34">
        <v>0.7</v>
      </c>
      <c r="G1051" s="34">
        <v>0.7</v>
      </c>
      <c r="H1051" s="33" t="s">
        <v>68</v>
      </c>
      <c r="I1051" s="33" t="s">
        <v>68</v>
      </c>
    </row>
    <row r="1052" spans="1:9" x14ac:dyDescent="0.2">
      <c r="A1052" s="33" t="s">
        <v>374</v>
      </c>
      <c r="B1052" s="33" t="s">
        <v>375</v>
      </c>
      <c r="C1052" s="33" t="s">
        <v>1536</v>
      </c>
      <c r="D1052" s="42">
        <v>0</v>
      </c>
      <c r="E1052" s="33" t="s">
        <v>224</v>
      </c>
      <c r="F1052" s="34">
        <v>27</v>
      </c>
      <c r="G1052" s="34">
        <v>27</v>
      </c>
      <c r="H1052" s="33" t="s">
        <v>68</v>
      </c>
      <c r="I1052" s="33" t="s">
        <v>68</v>
      </c>
    </row>
    <row r="1053" spans="1:9" x14ac:dyDescent="0.2">
      <c r="A1053" s="33" t="s">
        <v>374</v>
      </c>
      <c r="B1053" s="33" t="s">
        <v>375</v>
      </c>
      <c r="C1053" s="33" t="s">
        <v>1537</v>
      </c>
      <c r="D1053" s="42">
        <v>0</v>
      </c>
      <c r="E1053" s="33" t="s">
        <v>224</v>
      </c>
      <c r="F1053" s="34">
        <v>30.16</v>
      </c>
      <c r="G1053" s="34">
        <v>30.16</v>
      </c>
      <c r="H1053" s="33" t="s">
        <v>68</v>
      </c>
      <c r="I1053" s="33" t="s">
        <v>68</v>
      </c>
    </row>
    <row r="1054" spans="1:9" x14ac:dyDescent="0.2">
      <c r="A1054" s="33" t="s">
        <v>374</v>
      </c>
      <c r="B1054" s="33" t="s">
        <v>375</v>
      </c>
      <c r="C1054" s="33" t="s">
        <v>1538</v>
      </c>
      <c r="D1054" s="42">
        <v>0</v>
      </c>
      <c r="E1054" s="33" t="s">
        <v>224</v>
      </c>
      <c r="F1054" s="34">
        <v>14.4</v>
      </c>
      <c r="G1054" s="34">
        <v>14.4</v>
      </c>
      <c r="H1054" s="33" t="s">
        <v>68</v>
      </c>
      <c r="I1054" s="33" t="s">
        <v>68</v>
      </c>
    </row>
    <row r="1055" spans="1:9" x14ac:dyDescent="0.2">
      <c r="A1055" s="33" t="s">
        <v>374</v>
      </c>
      <c r="B1055" s="33" t="s">
        <v>375</v>
      </c>
      <c r="C1055" s="33" t="s">
        <v>1539</v>
      </c>
      <c r="D1055" s="42">
        <v>0</v>
      </c>
      <c r="E1055" s="33" t="s">
        <v>224</v>
      </c>
      <c r="F1055" s="34">
        <v>29.68</v>
      </c>
      <c r="G1055" s="34">
        <v>29.68</v>
      </c>
      <c r="H1055" s="33" t="s">
        <v>68</v>
      </c>
      <c r="I1055" s="33" t="s">
        <v>68</v>
      </c>
    </row>
    <row r="1056" spans="1:9" x14ac:dyDescent="0.2">
      <c r="A1056" s="33" t="s">
        <v>374</v>
      </c>
      <c r="B1056" s="33" t="s">
        <v>375</v>
      </c>
      <c r="C1056" s="33" t="s">
        <v>1540</v>
      </c>
      <c r="D1056" s="42">
        <v>0</v>
      </c>
      <c r="E1056" s="33" t="s">
        <v>224</v>
      </c>
      <c r="F1056" s="34">
        <v>30.3</v>
      </c>
      <c r="G1056" s="34">
        <v>30.3</v>
      </c>
      <c r="H1056" s="33" t="s">
        <v>68</v>
      </c>
      <c r="I1056" s="33" t="s">
        <v>68</v>
      </c>
    </row>
    <row r="1057" spans="1:9" x14ac:dyDescent="0.2">
      <c r="A1057" s="33" t="s">
        <v>374</v>
      </c>
      <c r="B1057" s="33" t="s">
        <v>375</v>
      </c>
      <c r="C1057" s="33" t="s">
        <v>1541</v>
      </c>
      <c r="D1057" s="42">
        <v>0</v>
      </c>
      <c r="E1057" s="33" t="s">
        <v>224</v>
      </c>
      <c r="F1057" s="34">
        <v>31.1</v>
      </c>
      <c r="G1057" s="34">
        <v>31.1</v>
      </c>
      <c r="H1057" s="33" t="s">
        <v>68</v>
      </c>
      <c r="I1057" s="33" t="s">
        <v>68</v>
      </c>
    </row>
    <row r="1058" spans="1:9" x14ac:dyDescent="0.2">
      <c r="A1058" s="33" t="s">
        <v>374</v>
      </c>
      <c r="B1058" s="33" t="s">
        <v>375</v>
      </c>
      <c r="C1058" s="33" t="s">
        <v>1542</v>
      </c>
      <c r="D1058" s="42">
        <v>0</v>
      </c>
      <c r="E1058" s="33" t="s">
        <v>224</v>
      </c>
      <c r="F1058" s="34">
        <v>34.799999999999997</v>
      </c>
      <c r="G1058" s="34">
        <v>34.799999999999997</v>
      </c>
      <c r="H1058" s="33" t="s">
        <v>725</v>
      </c>
      <c r="I1058" s="33" t="s">
        <v>68</v>
      </c>
    </row>
    <row r="1059" spans="1:9" x14ac:dyDescent="0.2">
      <c r="A1059" s="33" t="s">
        <v>374</v>
      </c>
      <c r="B1059" s="33" t="s">
        <v>375</v>
      </c>
      <c r="C1059" s="33" t="s">
        <v>1543</v>
      </c>
      <c r="D1059" s="42">
        <v>0</v>
      </c>
      <c r="E1059" s="33" t="s">
        <v>224</v>
      </c>
      <c r="F1059" s="34">
        <v>34</v>
      </c>
      <c r="G1059" s="34">
        <v>34</v>
      </c>
      <c r="H1059" s="33" t="s">
        <v>725</v>
      </c>
      <c r="I1059" s="33" t="s">
        <v>68</v>
      </c>
    </row>
    <row r="1060" spans="1:9" x14ac:dyDescent="0.2">
      <c r="A1060" s="33" t="s">
        <v>374</v>
      </c>
      <c r="B1060" s="33" t="s">
        <v>375</v>
      </c>
      <c r="C1060" s="33" t="s">
        <v>1544</v>
      </c>
      <c r="D1060" s="42">
        <v>0</v>
      </c>
      <c r="E1060" s="33" t="s">
        <v>224</v>
      </c>
      <c r="F1060" s="34">
        <v>33.1</v>
      </c>
      <c r="G1060" s="34">
        <v>33.1</v>
      </c>
      <c r="H1060" s="33" t="s">
        <v>725</v>
      </c>
      <c r="I1060" s="33" t="s">
        <v>68</v>
      </c>
    </row>
    <row r="1061" spans="1:9" x14ac:dyDescent="0.2">
      <c r="A1061" s="33" t="s">
        <v>374</v>
      </c>
      <c r="B1061" s="33" t="s">
        <v>375</v>
      </c>
      <c r="C1061" s="33" t="s">
        <v>1545</v>
      </c>
      <c r="D1061" s="42">
        <v>0</v>
      </c>
      <c r="E1061" s="33" t="s">
        <v>224</v>
      </c>
      <c r="F1061" s="34">
        <v>40</v>
      </c>
      <c r="G1061" s="34">
        <v>40</v>
      </c>
      <c r="H1061" s="33" t="s">
        <v>1546</v>
      </c>
      <c r="I1061" s="33" t="s">
        <v>68</v>
      </c>
    </row>
    <row r="1062" spans="1:9" x14ac:dyDescent="0.2">
      <c r="A1062" s="33" t="s">
        <v>374</v>
      </c>
      <c r="B1062" s="33" t="s">
        <v>375</v>
      </c>
      <c r="C1062" s="33" t="s">
        <v>1547</v>
      </c>
      <c r="D1062" s="42">
        <v>24.8</v>
      </c>
      <c r="E1062" s="33" t="s">
        <v>224</v>
      </c>
      <c r="F1062" s="34">
        <v>49.5</v>
      </c>
      <c r="G1062" s="34">
        <v>24.7</v>
      </c>
      <c r="H1062" s="33" t="s">
        <v>1546</v>
      </c>
      <c r="I1062" s="33" t="s">
        <v>68</v>
      </c>
    </row>
    <row r="1063" spans="1:9" x14ac:dyDescent="0.2">
      <c r="A1063" s="33" t="s">
        <v>409</v>
      </c>
      <c r="B1063" s="33" t="s">
        <v>410</v>
      </c>
      <c r="C1063" s="33" t="s">
        <v>1548</v>
      </c>
      <c r="D1063" s="42">
        <v>0</v>
      </c>
      <c r="E1063" s="33" t="s">
        <v>224</v>
      </c>
      <c r="F1063" s="34">
        <v>17.2</v>
      </c>
      <c r="G1063" s="34">
        <v>17.2</v>
      </c>
      <c r="H1063" s="33" t="s">
        <v>68</v>
      </c>
      <c r="I1063" s="33" t="s">
        <v>68</v>
      </c>
    </row>
    <row r="1064" spans="1:9" x14ac:dyDescent="0.2">
      <c r="A1064" s="33" t="s">
        <v>409</v>
      </c>
      <c r="B1064" s="33" t="s">
        <v>410</v>
      </c>
      <c r="C1064" s="33" t="s">
        <v>1549</v>
      </c>
      <c r="D1064" s="42">
        <v>33.499999999999943</v>
      </c>
      <c r="E1064" s="33" t="s">
        <v>224</v>
      </c>
      <c r="F1064" s="34">
        <v>200.16</v>
      </c>
      <c r="G1064" s="34">
        <v>166.66000000000005</v>
      </c>
      <c r="H1064" s="33" t="s">
        <v>68</v>
      </c>
      <c r="I1064" s="33" t="s">
        <v>68</v>
      </c>
    </row>
    <row r="1065" spans="1:9" x14ac:dyDescent="0.2">
      <c r="A1065" s="33" t="s">
        <v>409</v>
      </c>
      <c r="B1065" s="33" t="s">
        <v>410</v>
      </c>
      <c r="C1065" s="33" t="s">
        <v>1550</v>
      </c>
      <c r="D1065" s="42">
        <v>0</v>
      </c>
      <c r="E1065" s="33" t="s">
        <v>224</v>
      </c>
      <c r="F1065" s="34">
        <v>19.100000000000001</v>
      </c>
      <c r="G1065" s="34">
        <v>19.100000000000001</v>
      </c>
      <c r="H1065" s="33" t="s">
        <v>68</v>
      </c>
      <c r="I1065" s="33" t="s">
        <v>68</v>
      </c>
    </row>
    <row r="1066" spans="1:9" x14ac:dyDescent="0.2">
      <c r="A1066" s="33" t="s">
        <v>376</v>
      </c>
      <c r="B1066" s="33" t="s">
        <v>244</v>
      </c>
      <c r="C1066" s="33" t="s">
        <v>1551</v>
      </c>
      <c r="D1066" s="42">
        <v>2.2737367544323206E-13</v>
      </c>
      <c r="E1066" s="33" t="s">
        <v>224</v>
      </c>
      <c r="F1066" s="34">
        <v>722.75</v>
      </c>
      <c r="G1066" s="34">
        <v>722.74999999999977</v>
      </c>
      <c r="H1066" s="33" t="s">
        <v>68</v>
      </c>
      <c r="I1066" s="33" t="s">
        <v>68</v>
      </c>
    </row>
    <row r="1067" spans="1:9" x14ac:dyDescent="0.2">
      <c r="A1067" s="33" t="s">
        <v>376</v>
      </c>
      <c r="B1067" s="33" t="s">
        <v>244</v>
      </c>
      <c r="C1067" s="33" t="s">
        <v>1552</v>
      </c>
      <c r="D1067" s="42">
        <v>0</v>
      </c>
      <c r="E1067" s="33" t="s">
        <v>224</v>
      </c>
      <c r="F1067" s="34">
        <v>475</v>
      </c>
      <c r="G1067" s="34">
        <v>475</v>
      </c>
      <c r="H1067" s="33" t="s">
        <v>68</v>
      </c>
      <c r="I1067" s="33" t="s">
        <v>68</v>
      </c>
    </row>
    <row r="1068" spans="1:9" x14ac:dyDescent="0.2">
      <c r="A1068" s="33" t="s">
        <v>376</v>
      </c>
      <c r="B1068" s="33" t="s">
        <v>244</v>
      </c>
      <c r="C1068" s="33" t="s">
        <v>1553</v>
      </c>
      <c r="D1068" s="42">
        <v>0</v>
      </c>
      <c r="E1068" s="33" t="s">
        <v>224</v>
      </c>
      <c r="F1068" s="34">
        <v>475</v>
      </c>
      <c r="G1068" s="34">
        <v>475</v>
      </c>
      <c r="H1068" s="33" t="s">
        <v>68</v>
      </c>
      <c r="I1068" s="33" t="s">
        <v>68</v>
      </c>
    </row>
    <row r="1069" spans="1:9" x14ac:dyDescent="0.2">
      <c r="A1069" s="33" t="s">
        <v>376</v>
      </c>
      <c r="B1069" s="33" t="s">
        <v>244</v>
      </c>
      <c r="C1069" s="33" t="s">
        <v>1554</v>
      </c>
      <c r="D1069" s="42">
        <v>0</v>
      </c>
      <c r="E1069" s="33" t="s">
        <v>224</v>
      </c>
      <c r="F1069" s="34">
        <v>325</v>
      </c>
      <c r="G1069" s="34">
        <v>325</v>
      </c>
      <c r="H1069" s="33" t="s">
        <v>68</v>
      </c>
      <c r="I1069" s="33" t="s">
        <v>68</v>
      </c>
    </row>
    <row r="1070" spans="1:9" x14ac:dyDescent="0.2">
      <c r="A1070" s="33" t="s">
        <v>376</v>
      </c>
      <c r="B1070" s="33" t="s">
        <v>244</v>
      </c>
      <c r="C1070" s="33" t="s">
        <v>1555</v>
      </c>
      <c r="D1070" s="42">
        <v>0</v>
      </c>
      <c r="E1070" s="33" t="s">
        <v>224</v>
      </c>
      <c r="F1070" s="34">
        <v>325</v>
      </c>
      <c r="G1070" s="34">
        <v>325</v>
      </c>
      <c r="H1070" s="33" t="s">
        <v>68</v>
      </c>
      <c r="I1070" s="33" t="s">
        <v>68</v>
      </c>
    </row>
    <row r="1071" spans="1:9" x14ac:dyDescent="0.2">
      <c r="A1071" s="33" t="s">
        <v>376</v>
      </c>
      <c r="B1071" s="33" t="s">
        <v>244</v>
      </c>
      <c r="C1071" s="33" t="s">
        <v>1556</v>
      </c>
      <c r="D1071" s="42">
        <v>-5.6843418860808015E-14</v>
      </c>
      <c r="E1071" s="33" t="s">
        <v>224</v>
      </c>
      <c r="F1071" s="34">
        <v>325</v>
      </c>
      <c r="G1071" s="34">
        <v>325.00000000000006</v>
      </c>
      <c r="H1071" s="33" t="s">
        <v>1557</v>
      </c>
      <c r="I1071" s="33" t="s">
        <v>68</v>
      </c>
    </row>
    <row r="1072" spans="1:9" x14ac:dyDescent="0.2">
      <c r="A1072" s="33" t="s">
        <v>376</v>
      </c>
      <c r="B1072" s="33" t="s">
        <v>244</v>
      </c>
      <c r="C1072" s="33" t="s">
        <v>1558</v>
      </c>
      <c r="D1072" s="42">
        <v>2.8421709430404007E-14</v>
      </c>
      <c r="E1072" s="33" t="s">
        <v>224</v>
      </c>
      <c r="F1072" s="34">
        <v>175</v>
      </c>
      <c r="G1072" s="34">
        <v>174.99999999999997</v>
      </c>
      <c r="H1072" s="33" t="s">
        <v>1559</v>
      </c>
      <c r="I1072" s="33" t="s">
        <v>68</v>
      </c>
    </row>
    <row r="1073" spans="1:9" x14ac:dyDescent="0.2">
      <c r="A1073" s="33" t="s">
        <v>376</v>
      </c>
      <c r="B1073" s="33" t="s">
        <v>244</v>
      </c>
      <c r="C1073" s="33" t="s">
        <v>1560</v>
      </c>
      <c r="D1073" s="42">
        <v>0</v>
      </c>
      <c r="E1073" s="33" t="s">
        <v>224</v>
      </c>
      <c r="F1073" s="34">
        <v>150</v>
      </c>
      <c r="G1073" s="34">
        <v>150</v>
      </c>
      <c r="H1073" s="33" t="s">
        <v>1561</v>
      </c>
      <c r="I1073" s="33" t="s">
        <v>68</v>
      </c>
    </row>
    <row r="1074" spans="1:9" x14ac:dyDescent="0.2">
      <c r="A1074" s="33" t="s">
        <v>376</v>
      </c>
      <c r="B1074" s="33" t="s">
        <v>244</v>
      </c>
      <c r="C1074" s="33" t="s">
        <v>1562</v>
      </c>
      <c r="D1074" s="42">
        <v>-2.8421709430404007E-14</v>
      </c>
      <c r="E1074" s="33" t="s">
        <v>224</v>
      </c>
      <c r="F1074" s="34">
        <v>150</v>
      </c>
      <c r="G1074" s="34">
        <v>150.00000000000003</v>
      </c>
      <c r="H1074" s="33" t="s">
        <v>1563</v>
      </c>
      <c r="I1074" s="33" t="s">
        <v>68</v>
      </c>
    </row>
    <row r="1075" spans="1:9" x14ac:dyDescent="0.2">
      <c r="A1075" s="33" t="s">
        <v>376</v>
      </c>
      <c r="B1075" s="33" t="s">
        <v>244</v>
      </c>
      <c r="C1075" s="33" t="s">
        <v>1564</v>
      </c>
      <c r="D1075" s="42">
        <v>-2.2737367544323206E-13</v>
      </c>
      <c r="E1075" s="33" t="s">
        <v>224</v>
      </c>
      <c r="F1075" s="34">
        <v>1250</v>
      </c>
      <c r="G1075" s="34">
        <v>1250.0000000000002</v>
      </c>
      <c r="H1075" s="33" t="s">
        <v>1565</v>
      </c>
      <c r="I1075" s="33" t="s">
        <v>68</v>
      </c>
    </row>
    <row r="1076" spans="1:9" x14ac:dyDescent="0.2">
      <c r="A1076" s="33" t="s">
        <v>376</v>
      </c>
      <c r="B1076" s="33" t="s">
        <v>244</v>
      </c>
      <c r="C1076" s="33" t="s">
        <v>1566</v>
      </c>
      <c r="D1076" s="42">
        <v>0</v>
      </c>
      <c r="E1076" s="33" t="s">
        <v>224</v>
      </c>
      <c r="F1076" s="34">
        <v>9.4</v>
      </c>
      <c r="G1076" s="34">
        <v>9.4</v>
      </c>
      <c r="H1076" s="33" t="s">
        <v>68</v>
      </c>
      <c r="I1076" s="33" t="s">
        <v>1567</v>
      </c>
    </row>
    <row r="1077" spans="1:9" x14ac:dyDescent="0.2">
      <c r="A1077" s="33" t="s">
        <v>376</v>
      </c>
      <c r="B1077" s="33" t="s">
        <v>244</v>
      </c>
      <c r="C1077" s="33" t="s">
        <v>1568</v>
      </c>
      <c r="D1077" s="42">
        <v>0</v>
      </c>
      <c r="E1077" s="33" t="s">
        <v>224</v>
      </c>
      <c r="F1077" s="34">
        <v>350</v>
      </c>
      <c r="G1077" s="34">
        <v>350</v>
      </c>
      <c r="H1077" s="33" t="s">
        <v>1569</v>
      </c>
      <c r="I1077" s="33" t="s">
        <v>68</v>
      </c>
    </row>
    <row r="1078" spans="1:9" x14ac:dyDescent="0.2">
      <c r="A1078" s="33" t="s">
        <v>376</v>
      </c>
      <c r="B1078" s="33" t="s">
        <v>244</v>
      </c>
      <c r="C1078" s="33" t="s">
        <v>1570</v>
      </c>
      <c r="D1078" s="42">
        <v>0</v>
      </c>
      <c r="E1078" s="33" t="s">
        <v>224</v>
      </c>
      <c r="F1078" s="34">
        <v>500</v>
      </c>
      <c r="G1078" s="34">
        <v>500</v>
      </c>
      <c r="H1078" s="33" t="s">
        <v>882</v>
      </c>
      <c r="I1078" s="33" t="s">
        <v>68</v>
      </c>
    </row>
    <row r="1079" spans="1:9" x14ac:dyDescent="0.2">
      <c r="A1079" s="33" t="s">
        <v>376</v>
      </c>
      <c r="B1079" s="33" t="s">
        <v>244</v>
      </c>
      <c r="C1079" s="33" t="s">
        <v>1571</v>
      </c>
      <c r="D1079" s="42">
        <v>0</v>
      </c>
      <c r="E1079" s="33" t="s">
        <v>224</v>
      </c>
      <c r="F1079" s="34">
        <v>275</v>
      </c>
      <c r="G1079" s="34">
        <v>275</v>
      </c>
      <c r="H1079" s="33" t="s">
        <v>1572</v>
      </c>
      <c r="I1079" s="33" t="s">
        <v>68</v>
      </c>
    </row>
    <row r="1080" spans="1:9" x14ac:dyDescent="0.2">
      <c r="A1080" s="33" t="s">
        <v>376</v>
      </c>
      <c r="B1080" s="33" t="s">
        <v>244</v>
      </c>
      <c r="C1080" s="33" t="s">
        <v>1573</v>
      </c>
      <c r="D1080" s="42">
        <v>9.8999999999999773</v>
      </c>
      <c r="E1080" s="33" t="s">
        <v>224</v>
      </c>
      <c r="F1080" s="34">
        <v>325</v>
      </c>
      <c r="G1080" s="34">
        <v>315.10000000000002</v>
      </c>
      <c r="H1080" s="33" t="s">
        <v>1574</v>
      </c>
      <c r="I1080" s="33" t="s">
        <v>68</v>
      </c>
    </row>
    <row r="1081" spans="1:9" x14ac:dyDescent="0.2">
      <c r="A1081" s="33" t="s">
        <v>376</v>
      </c>
      <c r="B1081" s="33" t="s">
        <v>244</v>
      </c>
      <c r="C1081" s="33" t="s">
        <v>1575</v>
      </c>
      <c r="D1081" s="42">
        <v>0</v>
      </c>
      <c r="E1081" s="33" t="s">
        <v>224</v>
      </c>
      <c r="F1081" s="34">
        <v>5</v>
      </c>
      <c r="G1081" s="34">
        <v>5</v>
      </c>
      <c r="H1081" s="33" t="s">
        <v>68</v>
      </c>
      <c r="I1081" s="33" t="s">
        <v>68</v>
      </c>
    </row>
    <row r="1082" spans="1:9" x14ac:dyDescent="0.2">
      <c r="A1082" s="33" t="s">
        <v>376</v>
      </c>
      <c r="B1082" s="33" t="s">
        <v>244</v>
      </c>
      <c r="C1082" s="33" t="s">
        <v>1576</v>
      </c>
      <c r="D1082" s="42">
        <v>0</v>
      </c>
      <c r="E1082" s="33" t="s">
        <v>224</v>
      </c>
      <c r="F1082" s="34">
        <v>325</v>
      </c>
      <c r="G1082" s="34">
        <v>325</v>
      </c>
      <c r="H1082" s="33" t="s">
        <v>68</v>
      </c>
      <c r="I1082" s="33" t="s">
        <v>68</v>
      </c>
    </row>
    <row r="1083" spans="1:9" x14ac:dyDescent="0.2">
      <c r="A1083" s="33" t="s">
        <v>376</v>
      </c>
      <c r="B1083" s="33" t="s">
        <v>244</v>
      </c>
      <c r="C1083" s="33" t="s">
        <v>1577</v>
      </c>
      <c r="D1083" s="42">
        <v>0</v>
      </c>
      <c r="E1083" s="33" t="s">
        <v>224</v>
      </c>
      <c r="F1083" s="34">
        <v>125</v>
      </c>
      <c r="G1083" s="34">
        <v>125</v>
      </c>
      <c r="H1083" s="33" t="s">
        <v>68</v>
      </c>
      <c r="I1083" s="33" t="s">
        <v>68</v>
      </c>
    </row>
    <row r="1084" spans="1:9" x14ac:dyDescent="0.2">
      <c r="A1084" s="33" t="s">
        <v>376</v>
      </c>
      <c r="B1084" s="33" t="s">
        <v>244</v>
      </c>
      <c r="C1084" s="33" t="s">
        <v>1578</v>
      </c>
      <c r="D1084" s="42">
        <v>0</v>
      </c>
      <c r="E1084" s="33" t="s">
        <v>224</v>
      </c>
      <c r="F1084" s="34">
        <v>825</v>
      </c>
      <c r="G1084" s="34">
        <v>825</v>
      </c>
      <c r="H1084" s="33" t="s">
        <v>68</v>
      </c>
      <c r="I1084" s="33" t="s">
        <v>68</v>
      </c>
    </row>
    <row r="1085" spans="1:9" x14ac:dyDescent="0.2">
      <c r="A1085" s="33" t="s">
        <v>376</v>
      </c>
      <c r="B1085" s="33" t="s">
        <v>244</v>
      </c>
      <c r="C1085" s="33" t="s">
        <v>1579</v>
      </c>
      <c r="D1085" s="42">
        <v>0</v>
      </c>
      <c r="E1085" s="33" t="s">
        <v>224</v>
      </c>
      <c r="F1085" s="34">
        <v>500</v>
      </c>
      <c r="G1085" s="34">
        <v>500</v>
      </c>
      <c r="H1085" s="33" t="s">
        <v>68</v>
      </c>
      <c r="I1085" s="33" t="s">
        <v>68</v>
      </c>
    </row>
    <row r="1086" spans="1:9" x14ac:dyDescent="0.2">
      <c r="A1086" s="33" t="s">
        <v>377</v>
      </c>
      <c r="B1086" s="33" t="s">
        <v>245</v>
      </c>
      <c r="C1086" s="33" t="s">
        <v>1580</v>
      </c>
      <c r="D1086" s="42">
        <v>0</v>
      </c>
      <c r="E1086" s="33" t="s">
        <v>224</v>
      </c>
      <c r="F1086" s="34">
        <v>80</v>
      </c>
      <c r="G1086" s="34">
        <v>80</v>
      </c>
      <c r="H1086" s="33" t="s">
        <v>68</v>
      </c>
      <c r="I1086" s="33" t="s">
        <v>68</v>
      </c>
    </row>
    <row r="1087" spans="1:9" x14ac:dyDescent="0.2">
      <c r="A1087" s="33" t="s">
        <v>377</v>
      </c>
      <c r="B1087" s="33" t="s">
        <v>245</v>
      </c>
      <c r="C1087" s="33" t="s">
        <v>1581</v>
      </c>
      <c r="D1087" s="42">
        <v>0</v>
      </c>
      <c r="E1087" s="33" t="s">
        <v>224</v>
      </c>
      <c r="F1087" s="34">
        <v>480</v>
      </c>
      <c r="G1087" s="34">
        <v>480</v>
      </c>
      <c r="H1087" s="33" t="s">
        <v>1582</v>
      </c>
      <c r="I1087" s="33" t="s">
        <v>68</v>
      </c>
    </row>
    <row r="1088" spans="1:9" x14ac:dyDescent="0.2">
      <c r="A1088" s="33" t="s">
        <v>377</v>
      </c>
      <c r="B1088" s="33" t="s">
        <v>245</v>
      </c>
      <c r="C1088" s="33" t="s">
        <v>1583</v>
      </c>
      <c r="D1088" s="42">
        <v>0</v>
      </c>
      <c r="E1088" s="33" t="s">
        <v>224</v>
      </c>
      <c r="F1088" s="34">
        <v>200</v>
      </c>
      <c r="G1088" s="34">
        <v>200</v>
      </c>
      <c r="H1088" s="33" t="s">
        <v>1584</v>
      </c>
      <c r="I1088" s="33" t="s">
        <v>1585</v>
      </c>
    </row>
    <row r="1089" spans="1:9" x14ac:dyDescent="0.2">
      <c r="A1089" s="33" t="s">
        <v>377</v>
      </c>
      <c r="B1089" s="33" t="s">
        <v>245</v>
      </c>
      <c r="C1089" s="33" t="s">
        <v>1586</v>
      </c>
      <c r="D1089" s="42">
        <v>0</v>
      </c>
      <c r="E1089" s="33" t="s">
        <v>224</v>
      </c>
      <c r="F1089" s="34">
        <v>40</v>
      </c>
      <c r="G1089" s="34">
        <v>40</v>
      </c>
      <c r="H1089" s="33" t="s">
        <v>1587</v>
      </c>
      <c r="I1089" s="33" t="s">
        <v>1588</v>
      </c>
    </row>
    <row r="1090" spans="1:9" x14ac:dyDescent="0.2">
      <c r="A1090" s="33" t="s">
        <v>377</v>
      </c>
      <c r="B1090" s="33" t="s">
        <v>245</v>
      </c>
      <c r="C1090" s="33" t="s">
        <v>1589</v>
      </c>
      <c r="D1090" s="42">
        <v>0</v>
      </c>
      <c r="E1090" s="33" t="s">
        <v>224</v>
      </c>
      <c r="F1090" s="34">
        <v>140</v>
      </c>
      <c r="G1090" s="34">
        <v>140</v>
      </c>
      <c r="H1090" s="33" t="s">
        <v>1590</v>
      </c>
      <c r="I1090" s="33" t="s">
        <v>1591</v>
      </c>
    </row>
    <row r="1091" spans="1:9" x14ac:dyDescent="0.2">
      <c r="A1091" s="33" t="s">
        <v>1592</v>
      </c>
      <c r="B1091" s="33" t="s">
        <v>1593</v>
      </c>
      <c r="C1091" s="33" t="s">
        <v>1594</v>
      </c>
      <c r="D1091" s="42">
        <v>1.26</v>
      </c>
      <c r="E1091" s="33" t="s">
        <v>224</v>
      </c>
      <c r="F1091" s="34">
        <v>1.3</v>
      </c>
      <c r="G1091" s="34">
        <v>4.0000000000000008E-2</v>
      </c>
      <c r="H1091" s="33" t="s">
        <v>68</v>
      </c>
      <c r="I1091" s="33" t="s">
        <v>68</v>
      </c>
    </row>
    <row r="1092" spans="1:9" x14ac:dyDescent="0.2">
      <c r="A1092" s="33" t="s">
        <v>406</v>
      </c>
      <c r="B1092" s="33" t="s">
        <v>181</v>
      </c>
      <c r="C1092" s="33" t="s">
        <v>1595</v>
      </c>
      <c r="D1092" s="42">
        <v>0</v>
      </c>
      <c r="E1092" s="33" t="s">
        <v>224</v>
      </c>
      <c r="F1092" s="34">
        <v>2</v>
      </c>
      <c r="G1092" s="34">
        <v>2</v>
      </c>
      <c r="H1092" s="33" t="s">
        <v>68</v>
      </c>
      <c r="I1092" s="33" t="s">
        <v>68</v>
      </c>
    </row>
    <row r="1093" spans="1:9" x14ac:dyDescent="0.2">
      <c r="A1093" s="33" t="s">
        <v>406</v>
      </c>
      <c r="B1093" s="33" t="s">
        <v>181</v>
      </c>
      <c r="C1093" s="33" t="s">
        <v>1596</v>
      </c>
      <c r="D1093" s="42">
        <v>0</v>
      </c>
      <c r="E1093" s="33" t="s">
        <v>224</v>
      </c>
      <c r="F1093" s="34">
        <v>40</v>
      </c>
      <c r="G1093" s="34">
        <v>40</v>
      </c>
      <c r="H1093" s="33" t="s">
        <v>68</v>
      </c>
      <c r="I1093" s="33" t="s">
        <v>68</v>
      </c>
    </row>
    <row r="1094" spans="1:9" x14ac:dyDescent="0.2">
      <c r="A1094" s="33" t="s">
        <v>406</v>
      </c>
      <c r="B1094" s="33" t="s">
        <v>181</v>
      </c>
      <c r="C1094" s="33" t="s">
        <v>1597</v>
      </c>
      <c r="D1094" s="42">
        <v>0</v>
      </c>
      <c r="E1094" s="33" t="s">
        <v>224</v>
      </c>
      <c r="F1094" s="34">
        <v>0.5</v>
      </c>
      <c r="G1094" s="34">
        <v>0.5</v>
      </c>
      <c r="H1094" s="33" t="s">
        <v>1369</v>
      </c>
      <c r="I1094" s="33" t="s">
        <v>464</v>
      </c>
    </row>
    <row r="1095" spans="1:9" x14ac:dyDescent="0.2">
      <c r="A1095" s="33" t="s">
        <v>406</v>
      </c>
      <c r="B1095" s="33" t="s">
        <v>181</v>
      </c>
      <c r="C1095" s="33" t="s">
        <v>1598</v>
      </c>
      <c r="D1095" s="42">
        <v>0</v>
      </c>
      <c r="E1095" s="33" t="s">
        <v>224</v>
      </c>
      <c r="F1095" s="34">
        <v>0.5</v>
      </c>
      <c r="G1095" s="34">
        <v>0.5</v>
      </c>
      <c r="H1095" s="33" t="s">
        <v>1599</v>
      </c>
      <c r="I1095" s="33" t="s">
        <v>464</v>
      </c>
    </row>
    <row r="1096" spans="1:9" x14ac:dyDescent="0.2">
      <c r="A1096" s="33" t="s">
        <v>406</v>
      </c>
      <c r="B1096" s="33" t="s">
        <v>181</v>
      </c>
      <c r="C1096" s="33" t="s">
        <v>1600</v>
      </c>
      <c r="D1096" s="42">
        <v>0</v>
      </c>
      <c r="E1096" s="33" t="s">
        <v>224</v>
      </c>
      <c r="F1096" s="34">
        <v>20</v>
      </c>
      <c r="G1096" s="34">
        <v>20</v>
      </c>
      <c r="H1096" s="33" t="s">
        <v>1601</v>
      </c>
      <c r="I1096" s="33" t="s">
        <v>68</v>
      </c>
    </row>
    <row r="1097" spans="1:9" x14ac:dyDescent="0.2">
      <c r="A1097" s="33" t="s">
        <v>406</v>
      </c>
      <c r="B1097" s="33" t="s">
        <v>181</v>
      </c>
      <c r="C1097" s="33" t="s">
        <v>1602</v>
      </c>
      <c r="D1097" s="42">
        <v>6.1000000000000014</v>
      </c>
      <c r="E1097" s="33" t="s">
        <v>224</v>
      </c>
      <c r="F1097" s="34">
        <v>70</v>
      </c>
      <c r="G1097" s="34">
        <v>63.9</v>
      </c>
      <c r="H1097" s="33" t="s">
        <v>1603</v>
      </c>
      <c r="I1097" s="33" t="s">
        <v>68</v>
      </c>
    </row>
    <row r="1098" spans="1:9" x14ac:dyDescent="0.2">
      <c r="A1098" s="33" t="s">
        <v>406</v>
      </c>
      <c r="B1098" s="33" t="s">
        <v>181</v>
      </c>
      <c r="C1098" s="33" t="s">
        <v>1604</v>
      </c>
      <c r="D1098" s="42">
        <v>4</v>
      </c>
      <c r="E1098" s="33" t="s">
        <v>224</v>
      </c>
      <c r="F1098" s="34">
        <v>20</v>
      </c>
      <c r="G1098" s="34">
        <v>16</v>
      </c>
      <c r="H1098" s="33" t="s">
        <v>1605</v>
      </c>
      <c r="I1098" s="33" t="s">
        <v>68</v>
      </c>
    </row>
    <row r="1099" spans="1:9" x14ac:dyDescent="0.2">
      <c r="A1099" s="33" t="s">
        <v>1606</v>
      </c>
      <c r="B1099" s="33" t="s">
        <v>184</v>
      </c>
      <c r="C1099" s="33" t="s">
        <v>1607</v>
      </c>
      <c r="D1099" s="42">
        <v>0</v>
      </c>
      <c r="E1099" s="33" t="s">
        <v>239</v>
      </c>
      <c r="F1099" s="34">
        <v>4</v>
      </c>
      <c r="G1099" s="34">
        <v>4</v>
      </c>
      <c r="H1099" s="33" t="s">
        <v>68</v>
      </c>
      <c r="I1099" s="33" t="s">
        <v>68</v>
      </c>
    </row>
    <row r="1100" spans="1:9" x14ac:dyDescent="0.2">
      <c r="A1100" s="33" t="s">
        <v>1606</v>
      </c>
      <c r="B1100" s="33" t="s">
        <v>184</v>
      </c>
      <c r="C1100" s="33" t="s">
        <v>660</v>
      </c>
      <c r="D1100" s="42">
        <v>0</v>
      </c>
      <c r="E1100" s="33" t="s">
        <v>239</v>
      </c>
      <c r="F1100" s="34">
        <v>5</v>
      </c>
      <c r="G1100" s="34">
        <v>5</v>
      </c>
      <c r="H1100" s="33" t="s">
        <v>68</v>
      </c>
      <c r="I1100" s="33" t="s">
        <v>68</v>
      </c>
    </row>
    <row r="1101" spans="1:9" x14ac:dyDescent="0.2">
      <c r="A1101" s="33" t="s">
        <v>352</v>
      </c>
      <c r="B1101" s="33" t="s">
        <v>185</v>
      </c>
      <c r="C1101" s="33" t="s">
        <v>1608</v>
      </c>
      <c r="D1101" s="42">
        <v>0</v>
      </c>
      <c r="E1101" s="33" t="s">
        <v>239</v>
      </c>
      <c r="F1101" s="34">
        <v>40</v>
      </c>
      <c r="G1101" s="34">
        <v>40</v>
      </c>
      <c r="H1101" s="33" t="s">
        <v>68</v>
      </c>
      <c r="I1101" s="33" t="s">
        <v>1609</v>
      </c>
    </row>
    <row r="1102" spans="1:9" x14ac:dyDescent="0.2">
      <c r="A1102" s="33" t="s">
        <v>352</v>
      </c>
      <c r="B1102" s="33" t="s">
        <v>185</v>
      </c>
      <c r="C1102" s="33" t="s">
        <v>1610</v>
      </c>
      <c r="D1102" s="42">
        <v>-7.1054273576010019E-15</v>
      </c>
      <c r="E1102" s="33" t="s">
        <v>239</v>
      </c>
      <c r="F1102" s="34">
        <v>50</v>
      </c>
      <c r="G1102" s="34">
        <v>50.000000000000007</v>
      </c>
      <c r="H1102" s="33" t="s">
        <v>68</v>
      </c>
      <c r="I1102" s="33" t="s">
        <v>1609</v>
      </c>
    </row>
    <row r="1103" spans="1:9" x14ac:dyDescent="0.2">
      <c r="A1103" s="33" t="s">
        <v>352</v>
      </c>
      <c r="B1103" s="33" t="s">
        <v>185</v>
      </c>
      <c r="C1103" s="33" t="s">
        <v>1611</v>
      </c>
      <c r="D1103" s="42">
        <v>0</v>
      </c>
      <c r="E1103" s="33" t="s">
        <v>239</v>
      </c>
      <c r="F1103" s="34">
        <v>575</v>
      </c>
      <c r="G1103" s="34">
        <v>575</v>
      </c>
      <c r="H1103" s="33" t="s">
        <v>1612</v>
      </c>
      <c r="I1103" s="33" t="s">
        <v>1609</v>
      </c>
    </row>
    <row r="1104" spans="1:9" x14ac:dyDescent="0.2">
      <c r="A1104" s="33" t="s">
        <v>352</v>
      </c>
      <c r="B1104" s="33" t="s">
        <v>185</v>
      </c>
      <c r="C1104" s="33" t="s">
        <v>1613</v>
      </c>
      <c r="D1104" s="42">
        <v>0</v>
      </c>
      <c r="E1104" s="33" t="s">
        <v>239</v>
      </c>
      <c r="F1104" s="34">
        <v>675</v>
      </c>
      <c r="G1104" s="34">
        <v>675</v>
      </c>
      <c r="H1104" s="33" t="s">
        <v>1614</v>
      </c>
      <c r="I1104" s="33" t="s">
        <v>1609</v>
      </c>
    </row>
    <row r="1105" spans="1:9" x14ac:dyDescent="0.2">
      <c r="A1105" s="33" t="s">
        <v>352</v>
      </c>
      <c r="B1105" s="33" t="s">
        <v>185</v>
      </c>
      <c r="C1105" s="33" t="s">
        <v>1615</v>
      </c>
      <c r="D1105" s="42">
        <v>27.200000000000045</v>
      </c>
      <c r="E1105" s="33" t="s">
        <v>239</v>
      </c>
      <c r="F1105" s="34">
        <v>1075</v>
      </c>
      <c r="G1105" s="34">
        <v>1047.8</v>
      </c>
      <c r="H1105" s="33" t="s">
        <v>1616</v>
      </c>
      <c r="I1105" s="33" t="s">
        <v>1617</v>
      </c>
    </row>
    <row r="1106" spans="1:9" x14ac:dyDescent="0.2">
      <c r="A1106" s="33" t="s">
        <v>352</v>
      </c>
      <c r="B1106" s="33" t="s">
        <v>185</v>
      </c>
      <c r="C1106" s="33" t="s">
        <v>1618</v>
      </c>
      <c r="D1106" s="42">
        <v>49.6</v>
      </c>
      <c r="E1106" s="33" t="s">
        <v>239</v>
      </c>
      <c r="F1106" s="34">
        <v>50</v>
      </c>
      <c r="G1106" s="34">
        <v>0.4</v>
      </c>
      <c r="H1106" s="33" t="s">
        <v>1619</v>
      </c>
      <c r="I1106" s="33" t="s">
        <v>1617</v>
      </c>
    </row>
    <row r="1107" spans="1:9" x14ac:dyDescent="0.2">
      <c r="A1107" s="33" t="s">
        <v>352</v>
      </c>
      <c r="B1107" s="33" t="s">
        <v>185</v>
      </c>
      <c r="C1107" s="33" t="s">
        <v>1620</v>
      </c>
      <c r="D1107" s="42">
        <v>1049.8</v>
      </c>
      <c r="E1107" s="33" t="s">
        <v>239</v>
      </c>
      <c r="F1107" s="34">
        <v>1050</v>
      </c>
      <c r="G1107" s="34">
        <v>0.2</v>
      </c>
      <c r="H1107" s="33" t="s">
        <v>1621</v>
      </c>
      <c r="I1107" s="33" t="s">
        <v>1617</v>
      </c>
    </row>
    <row r="1108" spans="1:9" x14ac:dyDescent="0.2">
      <c r="A1108" s="33" t="s">
        <v>357</v>
      </c>
      <c r="B1108" s="33" t="s">
        <v>246</v>
      </c>
      <c r="C1108" s="33" t="s">
        <v>1622</v>
      </c>
      <c r="D1108" s="42">
        <v>1</v>
      </c>
      <c r="E1108" s="33" t="s">
        <v>224</v>
      </c>
      <c r="F1108" s="34">
        <v>10</v>
      </c>
      <c r="G1108" s="34">
        <v>9</v>
      </c>
      <c r="H1108" s="33" t="s">
        <v>1623</v>
      </c>
      <c r="I1108" s="33" t="s">
        <v>1624</v>
      </c>
    </row>
    <row r="1109" spans="1:9" x14ac:dyDescent="0.2">
      <c r="A1109" s="33" t="s">
        <v>1625</v>
      </c>
      <c r="B1109" s="33" t="s">
        <v>197</v>
      </c>
      <c r="C1109" s="33" t="s">
        <v>68</v>
      </c>
      <c r="D1109" s="42">
        <v>0</v>
      </c>
      <c r="E1109" s="33" t="s">
        <v>224</v>
      </c>
      <c r="F1109" s="34">
        <v>500</v>
      </c>
      <c r="G1109" s="34">
        <v>500</v>
      </c>
      <c r="H1109" s="33" t="s">
        <v>68</v>
      </c>
      <c r="I1109" s="33" t="s">
        <v>68</v>
      </c>
    </row>
    <row r="1110" spans="1:9" x14ac:dyDescent="0.2">
      <c r="A1110" s="33" t="s">
        <v>1626</v>
      </c>
      <c r="B1110" s="33" t="s">
        <v>200</v>
      </c>
      <c r="C1110" s="33" t="s">
        <v>1627</v>
      </c>
      <c r="D1110" s="42">
        <v>0</v>
      </c>
      <c r="E1110" s="33" t="s">
        <v>224</v>
      </c>
      <c r="F1110" s="34">
        <v>10.25</v>
      </c>
      <c r="G1110" s="34">
        <v>10.25</v>
      </c>
      <c r="H1110" s="33" t="s">
        <v>68</v>
      </c>
      <c r="I1110" s="33" t="s">
        <v>68</v>
      </c>
    </row>
    <row r="1111" spans="1:9" x14ac:dyDescent="0.2">
      <c r="A1111" s="33" t="s">
        <v>1626</v>
      </c>
      <c r="B1111" s="33" t="s">
        <v>200</v>
      </c>
      <c r="C1111" s="33" t="s">
        <v>1628</v>
      </c>
      <c r="D1111" s="42">
        <v>0</v>
      </c>
      <c r="E1111" s="33" t="s">
        <v>224</v>
      </c>
      <c r="F1111" s="34">
        <v>15.05</v>
      </c>
      <c r="G1111" s="34">
        <v>15.05</v>
      </c>
      <c r="H1111" s="33" t="s">
        <v>68</v>
      </c>
      <c r="I1111" s="33" t="s">
        <v>68</v>
      </c>
    </row>
    <row r="1112" spans="1:9" x14ac:dyDescent="0.2">
      <c r="A1112" s="33" t="s">
        <v>1626</v>
      </c>
      <c r="B1112" s="33" t="s">
        <v>200</v>
      </c>
      <c r="C1112" s="33" t="s">
        <v>1629</v>
      </c>
      <c r="D1112" s="42">
        <v>0</v>
      </c>
      <c r="E1112" s="33" t="s">
        <v>224</v>
      </c>
      <c r="F1112" s="34">
        <v>15</v>
      </c>
      <c r="G1112" s="34">
        <v>15</v>
      </c>
      <c r="H1112" s="33" t="s">
        <v>68</v>
      </c>
      <c r="I1112" s="33" t="s">
        <v>68</v>
      </c>
    </row>
    <row r="1113" spans="1:9" x14ac:dyDescent="0.2">
      <c r="A1113" s="33" t="s">
        <v>1626</v>
      </c>
      <c r="B1113" s="33" t="s">
        <v>200</v>
      </c>
      <c r="C1113" s="33" t="s">
        <v>1630</v>
      </c>
      <c r="D1113" s="42">
        <v>0</v>
      </c>
      <c r="E1113" s="33" t="s">
        <v>224</v>
      </c>
      <c r="F1113" s="34">
        <v>15</v>
      </c>
      <c r="G1113" s="34">
        <v>15</v>
      </c>
      <c r="H1113" s="33" t="s">
        <v>68</v>
      </c>
      <c r="I1113" s="33" t="s">
        <v>68</v>
      </c>
    </row>
    <row r="1114" spans="1:9" x14ac:dyDescent="0.2">
      <c r="A1114" s="33" t="s">
        <v>1626</v>
      </c>
      <c r="B1114" s="33" t="s">
        <v>200</v>
      </c>
      <c r="C1114" s="33" t="s">
        <v>1631</v>
      </c>
      <c r="D1114" s="42">
        <v>0</v>
      </c>
      <c r="E1114" s="33" t="s">
        <v>224</v>
      </c>
      <c r="F1114" s="34">
        <v>15</v>
      </c>
      <c r="G1114" s="34">
        <v>15</v>
      </c>
      <c r="H1114" s="33" t="s">
        <v>68</v>
      </c>
      <c r="I1114" s="33" t="s">
        <v>68</v>
      </c>
    </row>
    <row r="1115" spans="1:9" x14ac:dyDescent="0.2">
      <c r="A1115" s="33" t="s">
        <v>1626</v>
      </c>
      <c r="B1115" s="33" t="s">
        <v>200</v>
      </c>
      <c r="C1115" s="33" t="s">
        <v>1632</v>
      </c>
      <c r="D1115" s="42">
        <v>0</v>
      </c>
      <c r="E1115" s="33" t="s">
        <v>224</v>
      </c>
      <c r="F1115" s="34">
        <v>15</v>
      </c>
      <c r="G1115" s="34">
        <v>15</v>
      </c>
      <c r="H1115" s="33" t="s">
        <v>68</v>
      </c>
      <c r="I1115" s="33" t="s">
        <v>1633</v>
      </c>
    </row>
    <row r="1116" spans="1:9" x14ac:dyDescent="0.2">
      <c r="A1116" s="33" t="s">
        <v>1626</v>
      </c>
      <c r="B1116" s="33" t="s">
        <v>200</v>
      </c>
      <c r="C1116" s="33" t="s">
        <v>1634</v>
      </c>
      <c r="D1116" s="42">
        <v>0</v>
      </c>
      <c r="E1116" s="33" t="s">
        <v>224</v>
      </c>
      <c r="F1116" s="34">
        <v>15</v>
      </c>
      <c r="G1116" s="34">
        <v>15</v>
      </c>
      <c r="H1116" s="33" t="s">
        <v>68</v>
      </c>
      <c r="I1116" s="33" t="s">
        <v>68</v>
      </c>
    </row>
    <row r="1117" spans="1:9" x14ac:dyDescent="0.2">
      <c r="A1117" s="33" t="s">
        <v>1626</v>
      </c>
      <c r="B1117" s="33" t="s">
        <v>200</v>
      </c>
      <c r="C1117" s="33" t="s">
        <v>1635</v>
      </c>
      <c r="D1117" s="42">
        <v>0</v>
      </c>
      <c r="E1117" s="33" t="s">
        <v>224</v>
      </c>
      <c r="F1117" s="34">
        <v>15</v>
      </c>
      <c r="G1117" s="34">
        <v>15</v>
      </c>
      <c r="H1117" s="33" t="s">
        <v>68</v>
      </c>
      <c r="I1117" s="33" t="s">
        <v>68</v>
      </c>
    </row>
    <row r="1118" spans="1:9" x14ac:dyDescent="0.2">
      <c r="A1118" s="33" t="s">
        <v>1626</v>
      </c>
      <c r="B1118" s="33" t="s">
        <v>200</v>
      </c>
      <c r="C1118" s="33" t="s">
        <v>1636</v>
      </c>
      <c r="D1118" s="42">
        <v>0</v>
      </c>
      <c r="E1118" s="33" t="s">
        <v>224</v>
      </c>
      <c r="F1118" s="34">
        <v>11.3</v>
      </c>
      <c r="G1118" s="34">
        <v>11.3</v>
      </c>
      <c r="H1118" s="33" t="s">
        <v>68</v>
      </c>
      <c r="I1118" s="33" t="s">
        <v>68</v>
      </c>
    </row>
    <row r="1119" spans="1:9" x14ac:dyDescent="0.2">
      <c r="A1119" s="33" t="s">
        <v>288</v>
      </c>
      <c r="B1119" s="33" t="s">
        <v>247</v>
      </c>
      <c r="C1119" s="33" t="s">
        <v>1637</v>
      </c>
      <c r="D1119" s="42">
        <v>3.5527136788005009E-15</v>
      </c>
      <c r="E1119" s="33" t="s">
        <v>224</v>
      </c>
      <c r="F1119" s="34">
        <v>16.5</v>
      </c>
      <c r="G1119" s="34">
        <v>16.499999999999996</v>
      </c>
      <c r="H1119" s="33" t="s">
        <v>1638</v>
      </c>
      <c r="I1119" s="33" t="s">
        <v>68</v>
      </c>
    </row>
    <row r="1120" spans="1:9" x14ac:dyDescent="0.2">
      <c r="A1120" s="33" t="s">
        <v>288</v>
      </c>
      <c r="B1120" s="33" t="s">
        <v>247</v>
      </c>
      <c r="C1120" s="33" t="s">
        <v>1639</v>
      </c>
      <c r="D1120" s="42">
        <v>0</v>
      </c>
      <c r="E1120" s="33" t="s">
        <v>224</v>
      </c>
      <c r="F1120" s="34">
        <v>16.5</v>
      </c>
      <c r="G1120" s="34">
        <v>16.5</v>
      </c>
      <c r="H1120" s="33" t="s">
        <v>1346</v>
      </c>
      <c r="I1120" s="33" t="s">
        <v>68</v>
      </c>
    </row>
    <row r="1121" spans="1:9" x14ac:dyDescent="0.2">
      <c r="A1121" s="33" t="s">
        <v>288</v>
      </c>
      <c r="B1121" s="33" t="s">
        <v>247</v>
      </c>
      <c r="C1121" s="33" t="s">
        <v>1640</v>
      </c>
      <c r="D1121" s="42">
        <v>12.8</v>
      </c>
      <c r="E1121" s="33" t="s">
        <v>224</v>
      </c>
      <c r="F1121" s="34">
        <v>16.5</v>
      </c>
      <c r="G1121" s="34">
        <v>3.7</v>
      </c>
      <c r="H1121" s="33" t="s">
        <v>1641</v>
      </c>
      <c r="I1121" s="33" t="s">
        <v>68</v>
      </c>
    </row>
    <row r="1122" spans="1:9" x14ac:dyDescent="0.2">
      <c r="A1122" s="33" t="s">
        <v>289</v>
      </c>
      <c r="B1122" s="33" t="s">
        <v>290</v>
      </c>
      <c r="C1122" s="33" t="s">
        <v>1642</v>
      </c>
      <c r="D1122" s="42">
        <v>0</v>
      </c>
      <c r="E1122" s="33" t="s">
        <v>224</v>
      </c>
      <c r="F1122" s="34">
        <v>16.5</v>
      </c>
      <c r="G1122" s="34">
        <v>16.5</v>
      </c>
      <c r="H1122" s="33" t="s">
        <v>1643</v>
      </c>
      <c r="I1122" s="33" t="s">
        <v>68</v>
      </c>
    </row>
    <row r="1123" spans="1:9" x14ac:dyDescent="0.2">
      <c r="A1123" s="33" t="s">
        <v>289</v>
      </c>
      <c r="B1123" s="33" t="s">
        <v>290</v>
      </c>
      <c r="C1123" s="33" t="s">
        <v>1644</v>
      </c>
      <c r="D1123" s="42">
        <v>0</v>
      </c>
      <c r="E1123" s="33" t="s">
        <v>224</v>
      </c>
      <c r="F1123" s="34">
        <v>16.5</v>
      </c>
      <c r="G1123" s="34">
        <v>16.5</v>
      </c>
      <c r="H1123" s="33" t="s">
        <v>1359</v>
      </c>
      <c r="I1123" s="33" t="s">
        <v>1645</v>
      </c>
    </row>
    <row r="1124" spans="1:9" x14ac:dyDescent="0.2">
      <c r="A1124" s="33" t="s">
        <v>289</v>
      </c>
      <c r="B1124" s="33" t="s">
        <v>290</v>
      </c>
      <c r="C1124" s="33" t="s">
        <v>1646</v>
      </c>
      <c r="D1124" s="42">
        <v>0</v>
      </c>
      <c r="E1124" s="33" t="s">
        <v>224</v>
      </c>
      <c r="F1124" s="34">
        <v>16.5</v>
      </c>
      <c r="G1124" s="34">
        <v>16.5</v>
      </c>
      <c r="H1124" s="33" t="s">
        <v>1647</v>
      </c>
      <c r="I1124" s="33" t="s">
        <v>68</v>
      </c>
    </row>
    <row r="1125" spans="1:9" x14ac:dyDescent="0.2">
      <c r="A1125" s="33" t="s">
        <v>291</v>
      </c>
      <c r="B1125" s="33" t="s">
        <v>207</v>
      </c>
      <c r="C1125" s="33" t="s">
        <v>1648</v>
      </c>
      <c r="D1125" s="42">
        <v>0</v>
      </c>
      <c r="E1125" s="33" t="s">
        <v>224</v>
      </c>
      <c r="F1125" s="34">
        <v>9.9</v>
      </c>
      <c r="G1125" s="34">
        <v>9.9</v>
      </c>
      <c r="H1125" s="33" t="s">
        <v>1649</v>
      </c>
      <c r="I1125" s="33" t="s">
        <v>68</v>
      </c>
    </row>
    <row r="1126" spans="1:9" x14ac:dyDescent="0.2">
      <c r="A1126" s="33" t="s">
        <v>291</v>
      </c>
      <c r="B1126" s="33" t="s">
        <v>207</v>
      </c>
      <c r="C1126" s="33" t="s">
        <v>1650</v>
      </c>
      <c r="D1126" s="42">
        <v>0</v>
      </c>
      <c r="E1126" s="33" t="s">
        <v>224</v>
      </c>
      <c r="F1126" s="34">
        <v>4.95</v>
      </c>
      <c r="G1126" s="34">
        <v>4.95</v>
      </c>
      <c r="H1126" s="33" t="s">
        <v>1651</v>
      </c>
      <c r="I1126" s="33" t="s">
        <v>475</v>
      </c>
    </row>
    <row r="1127" spans="1:9" x14ac:dyDescent="0.2">
      <c r="A1127" s="33" t="s">
        <v>291</v>
      </c>
      <c r="B1127" s="33" t="s">
        <v>207</v>
      </c>
      <c r="C1127" s="33" t="s">
        <v>1652</v>
      </c>
      <c r="D1127" s="42">
        <v>3.8000000000000007</v>
      </c>
      <c r="E1127" s="33" t="s">
        <v>224</v>
      </c>
      <c r="F1127" s="34">
        <v>9.9</v>
      </c>
      <c r="G1127" s="34">
        <v>6.1</v>
      </c>
      <c r="H1127" s="33" t="s">
        <v>1653</v>
      </c>
      <c r="I1127" s="33" t="s">
        <v>68</v>
      </c>
    </row>
    <row r="1128" spans="1:9" x14ac:dyDescent="0.2">
      <c r="A1128" s="33" t="s">
        <v>291</v>
      </c>
      <c r="B1128" s="33" t="s">
        <v>207</v>
      </c>
      <c r="C1128" s="33" t="s">
        <v>1654</v>
      </c>
      <c r="D1128" s="42">
        <v>0</v>
      </c>
      <c r="E1128" s="33" t="s">
        <v>224</v>
      </c>
      <c r="F1128" s="34">
        <v>16.5</v>
      </c>
      <c r="G1128" s="34">
        <v>16.5</v>
      </c>
      <c r="H1128" s="33" t="s">
        <v>1655</v>
      </c>
      <c r="I1128" s="33" t="s">
        <v>68</v>
      </c>
    </row>
    <row r="1129" spans="1:9" x14ac:dyDescent="0.2">
      <c r="A1129" s="33" t="s">
        <v>292</v>
      </c>
      <c r="B1129" s="33" t="s">
        <v>208</v>
      </c>
      <c r="C1129" s="33" t="s">
        <v>1656</v>
      </c>
      <c r="D1129" s="42">
        <v>0</v>
      </c>
      <c r="E1129" s="33" t="s">
        <v>224</v>
      </c>
      <c r="F1129" s="34">
        <v>16.5</v>
      </c>
      <c r="G1129" s="34">
        <v>16.5</v>
      </c>
      <c r="H1129" s="33" t="s">
        <v>1657</v>
      </c>
      <c r="I1129" s="33" t="s">
        <v>68</v>
      </c>
    </row>
    <row r="1130" spans="1:9" x14ac:dyDescent="0.2">
      <c r="A1130" s="33" t="s">
        <v>292</v>
      </c>
      <c r="B1130" s="33" t="s">
        <v>208</v>
      </c>
      <c r="C1130" s="33" t="s">
        <v>1658</v>
      </c>
      <c r="D1130" s="42">
        <v>0</v>
      </c>
      <c r="E1130" s="33" t="s">
        <v>224</v>
      </c>
      <c r="F1130" s="34">
        <v>16.5</v>
      </c>
      <c r="G1130" s="34">
        <v>16.5</v>
      </c>
      <c r="H1130" s="33" t="s">
        <v>1657</v>
      </c>
      <c r="I1130" s="33" t="s">
        <v>68</v>
      </c>
    </row>
    <row r="1131" spans="1:9" x14ac:dyDescent="0.2">
      <c r="A1131" s="33" t="s">
        <v>292</v>
      </c>
      <c r="B1131" s="33" t="s">
        <v>208</v>
      </c>
      <c r="C1131" s="33" t="s">
        <v>1659</v>
      </c>
      <c r="D1131" s="42">
        <v>0</v>
      </c>
      <c r="E1131" s="33" t="s">
        <v>224</v>
      </c>
      <c r="F1131" s="34">
        <v>16.5</v>
      </c>
      <c r="G1131" s="34">
        <v>16.5</v>
      </c>
      <c r="H1131" s="33" t="s">
        <v>1660</v>
      </c>
      <c r="I1131" s="33" t="s">
        <v>68</v>
      </c>
    </row>
    <row r="1132" spans="1:9" x14ac:dyDescent="0.2">
      <c r="A1132" s="33" t="s">
        <v>292</v>
      </c>
      <c r="B1132" s="33" t="s">
        <v>208</v>
      </c>
      <c r="C1132" s="33" t="s">
        <v>1661</v>
      </c>
      <c r="D1132" s="42">
        <v>13.399999999999999</v>
      </c>
      <c r="E1132" s="33" t="s">
        <v>224</v>
      </c>
      <c r="F1132" s="34">
        <v>16.5</v>
      </c>
      <c r="G1132" s="34">
        <v>3.1000000000000005</v>
      </c>
      <c r="H1132" s="33" t="s">
        <v>1662</v>
      </c>
      <c r="I1132" s="33" t="s">
        <v>68</v>
      </c>
    </row>
    <row r="1133" spans="1:9" x14ac:dyDescent="0.2">
      <c r="A1133" s="33" t="s">
        <v>292</v>
      </c>
      <c r="B1133" s="33" t="s">
        <v>208</v>
      </c>
      <c r="C1133" s="33" t="s">
        <v>1663</v>
      </c>
      <c r="D1133" s="42">
        <v>-2.2204460492503131E-16</v>
      </c>
      <c r="E1133" s="33" t="s">
        <v>224</v>
      </c>
      <c r="F1133" s="34">
        <v>1.8</v>
      </c>
      <c r="G1133" s="34">
        <v>1.8000000000000003</v>
      </c>
      <c r="H1133" s="33" t="s">
        <v>68</v>
      </c>
      <c r="I1133" s="33" t="s">
        <v>1664</v>
      </c>
    </row>
    <row r="1134" spans="1:9" x14ac:dyDescent="0.2">
      <c r="A1134" s="33" t="s">
        <v>293</v>
      </c>
      <c r="B1134" s="33" t="s">
        <v>209</v>
      </c>
      <c r="C1134" s="33" t="s">
        <v>1665</v>
      </c>
      <c r="D1134" s="42">
        <v>0</v>
      </c>
      <c r="E1134" s="33" t="s">
        <v>224</v>
      </c>
      <c r="F1134" s="34">
        <v>16.5</v>
      </c>
      <c r="G1134" s="34">
        <v>16.5</v>
      </c>
      <c r="H1134" s="33" t="s">
        <v>68</v>
      </c>
      <c r="I1134" s="33" t="s">
        <v>68</v>
      </c>
    </row>
    <row r="1135" spans="1:9" x14ac:dyDescent="0.2">
      <c r="A1135" s="33" t="s">
        <v>293</v>
      </c>
      <c r="B1135" s="33" t="s">
        <v>209</v>
      </c>
      <c r="C1135" s="33" t="s">
        <v>1666</v>
      </c>
      <c r="D1135" s="42">
        <v>0</v>
      </c>
      <c r="E1135" s="33" t="s">
        <v>224</v>
      </c>
      <c r="F1135" s="34">
        <v>16.5</v>
      </c>
      <c r="G1135" s="34">
        <v>16.5</v>
      </c>
      <c r="H1135" s="33" t="s">
        <v>1667</v>
      </c>
      <c r="I1135" s="33" t="s">
        <v>68</v>
      </c>
    </row>
    <row r="1136" spans="1:9" x14ac:dyDescent="0.2">
      <c r="A1136" s="33" t="s">
        <v>293</v>
      </c>
      <c r="B1136" s="33" t="s">
        <v>209</v>
      </c>
      <c r="C1136" s="33" t="s">
        <v>1668</v>
      </c>
      <c r="D1136" s="42">
        <v>0</v>
      </c>
      <c r="E1136" s="33" t="s">
        <v>224</v>
      </c>
      <c r="F1136" s="34">
        <v>16.5</v>
      </c>
      <c r="G1136" s="34">
        <v>16.5</v>
      </c>
      <c r="H1136" s="33" t="s">
        <v>1669</v>
      </c>
      <c r="I1136" s="33" t="s">
        <v>68</v>
      </c>
    </row>
    <row r="1137" spans="1:9" x14ac:dyDescent="0.2">
      <c r="A1137" s="33" t="s">
        <v>293</v>
      </c>
      <c r="B1137" s="33" t="s">
        <v>209</v>
      </c>
      <c r="C1137" s="33" t="s">
        <v>1670</v>
      </c>
      <c r="D1137" s="42">
        <v>13.5</v>
      </c>
      <c r="E1137" s="33" t="s">
        <v>224</v>
      </c>
      <c r="F1137" s="34">
        <v>16.5</v>
      </c>
      <c r="G1137" s="34">
        <v>3.0000000000000004</v>
      </c>
      <c r="H1137" s="33" t="s">
        <v>1671</v>
      </c>
      <c r="I1137" s="33" t="s">
        <v>68</v>
      </c>
    </row>
    <row r="1138" spans="1:9" x14ac:dyDescent="0.2">
      <c r="A1138" s="33" t="s">
        <v>322</v>
      </c>
      <c r="B1138" s="33" t="s">
        <v>248</v>
      </c>
      <c r="C1138" s="33" t="s">
        <v>950</v>
      </c>
      <c r="D1138" s="42">
        <v>0</v>
      </c>
      <c r="E1138" s="33" t="s">
        <v>224</v>
      </c>
      <c r="F1138" s="34">
        <v>1</v>
      </c>
      <c r="G1138" s="34">
        <v>1</v>
      </c>
      <c r="H1138" s="33" t="s">
        <v>68</v>
      </c>
      <c r="I1138" s="33" t="s">
        <v>475</v>
      </c>
    </row>
    <row r="1139" spans="1:9" x14ac:dyDescent="0.2">
      <c r="A1139" s="33" t="s">
        <v>323</v>
      </c>
      <c r="B1139" s="33" t="s">
        <v>249</v>
      </c>
      <c r="C1139" s="33" t="s">
        <v>1672</v>
      </c>
      <c r="D1139" s="42">
        <v>0</v>
      </c>
      <c r="E1139" s="33" t="s">
        <v>224</v>
      </c>
      <c r="F1139" s="34">
        <v>1</v>
      </c>
      <c r="G1139" s="34">
        <v>1</v>
      </c>
      <c r="H1139" s="33" t="s">
        <v>1673</v>
      </c>
      <c r="I1139" s="33" t="s">
        <v>68</v>
      </c>
    </row>
    <row r="1140" spans="1:9" x14ac:dyDescent="0.2">
      <c r="A1140" s="33" t="s">
        <v>324</v>
      </c>
      <c r="B1140" s="33" t="s">
        <v>250</v>
      </c>
      <c r="C1140" s="33" t="s">
        <v>1674</v>
      </c>
      <c r="D1140" s="42">
        <v>0.10000000000000009</v>
      </c>
      <c r="E1140" s="33" t="s">
        <v>224</v>
      </c>
      <c r="F1140" s="34">
        <v>1.1000000000000001</v>
      </c>
      <c r="G1140" s="34">
        <v>1</v>
      </c>
      <c r="H1140" s="33" t="s">
        <v>68</v>
      </c>
      <c r="I1140" s="33" t="s">
        <v>68</v>
      </c>
    </row>
    <row r="1141" spans="1:9" x14ac:dyDescent="0.2">
      <c r="A1141" s="33" t="s">
        <v>325</v>
      </c>
      <c r="B1141" s="33" t="s">
        <v>251</v>
      </c>
      <c r="C1141" s="33" t="s">
        <v>1675</v>
      </c>
      <c r="D1141" s="42">
        <v>0</v>
      </c>
      <c r="E1141" s="33" t="s">
        <v>224</v>
      </c>
      <c r="F1141" s="34">
        <v>1</v>
      </c>
      <c r="G1141" s="34">
        <v>1</v>
      </c>
      <c r="H1141" s="33" t="s">
        <v>68</v>
      </c>
      <c r="I1141" s="33" t="s">
        <v>68</v>
      </c>
    </row>
    <row r="1142" spans="1:9" x14ac:dyDescent="0.2">
      <c r="A1142" s="33" t="s">
        <v>326</v>
      </c>
      <c r="B1142" s="33" t="s">
        <v>252</v>
      </c>
      <c r="C1142" s="33" t="s">
        <v>1676</v>
      </c>
      <c r="D1142" s="42">
        <v>0</v>
      </c>
      <c r="E1142" s="33" t="s">
        <v>224</v>
      </c>
      <c r="F1142" s="34">
        <v>1</v>
      </c>
      <c r="G1142" s="34">
        <v>1</v>
      </c>
      <c r="H1142" s="33" t="s">
        <v>68</v>
      </c>
      <c r="I1142" s="33" t="s">
        <v>475</v>
      </c>
    </row>
    <row r="1143" spans="1:9" x14ac:dyDescent="0.2">
      <c r="A1143" s="33" t="s">
        <v>1677</v>
      </c>
      <c r="B1143" s="33" t="s">
        <v>1678</v>
      </c>
      <c r="C1143" s="33" t="s">
        <v>68</v>
      </c>
      <c r="D1143" s="42">
        <v>-1150.6999999999998</v>
      </c>
      <c r="E1143" s="33" t="s">
        <v>1679</v>
      </c>
      <c r="F1143" s="34">
        <v>206.9</v>
      </c>
      <c r="G1143" s="34">
        <v>1357.6</v>
      </c>
      <c r="H1143" s="33" t="s">
        <v>68</v>
      </c>
      <c r="I1143" s="33" t="s">
        <v>68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SC決算仕訳 原料</vt:lpstr>
      <vt:lpstr>原材料SC総括</vt:lpstr>
      <vt:lpstr>原材料SC明細</vt:lpstr>
      <vt:lpstr>原料標準単価（貼付）</vt:lpstr>
      <vt:lpstr>1.2①原材料受入</vt:lpstr>
      <vt:lpstr>1.3②原材料使用</vt:lpstr>
      <vt:lpstr>1.4原材料(その他)</vt:lpstr>
      <vt:lpstr>1.5原材料在庫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勲相 金本</dc:creator>
  <cp:lastModifiedBy>勲相 金本</cp:lastModifiedBy>
  <dcterms:created xsi:type="dcterms:W3CDTF">2026-04-06T08:35:54Z</dcterms:created>
  <dcterms:modified xsi:type="dcterms:W3CDTF">2026-04-20T03:09:33Z</dcterms:modified>
</cp:coreProperties>
</file>